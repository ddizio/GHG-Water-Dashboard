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comments2.xml" ContentType="application/vnd.openxmlformats-officedocument.spreadsheetml.comments+xml"/>
  <Override PartName="/xl/pivotTables/pivotTable2.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comments3.xml" ContentType="application/vnd.openxmlformats-officedocument.spreadsheetml.comments+xml"/>
  <Override PartName="/xl/threadedComments/threadedComment2.xml" ContentType="application/vnd.ms-excel.threaded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0.xml" ContentType="application/vnd.openxmlformats-officedocument.spreadsheetml.table+xml"/>
  <Override PartName="/xl/comments4.xml" ContentType="application/vnd.openxmlformats-officedocument.spreadsheetml.comments+xml"/>
  <Override PartName="/xl/threadedComments/threadedComment3.xml" ContentType="application/vnd.ms-excel.threadedcomments+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vantagespecialties-my.sharepoint.com/personal/dan_dizio_vantagegrp_com/Documents/Documents/Sustainability/Reporting/CDP/"/>
    </mc:Choice>
  </mc:AlternateContent>
  <xr:revisionPtr revIDLastSave="1039" documentId="8_{220AD231-C0E3-4973-B66C-FE0787FD9022}" xr6:coauthVersionLast="47" xr6:coauthVersionMax="47" xr10:uidLastSave="{67317B57-B85D-467E-BC38-10517ED6B9BC}"/>
  <bookViews>
    <workbookView xWindow="-120" yWindow="-120" windowWidth="29040" windowHeight="15720" firstSheet="4" activeTab="5" xr2:uid="{DF9A3605-F930-4A85-8572-BA66FC892902}"/>
  </bookViews>
  <sheets>
    <sheet name="Question List" sheetId="1" r:id="rId1"/>
    <sheet name="Finance" sheetId="5" r:id="rId2"/>
    <sheet name="Cmdt Sourcing Data 2024" sheetId="15" r:id="rId3"/>
    <sheet name="GHG-Water Initiatives" sheetId="4" state="hidden" r:id="rId4"/>
    <sheet name="Cmdty Sourcing $ 2024" sheetId="17" r:id="rId5"/>
    <sheet name="GHG-Water Initiatives (2)" sheetId="12" r:id="rId6"/>
    <sheet name="Target Tracking" sheetId="13" r:id="rId7"/>
    <sheet name="Summary Water 2024" sheetId="18" r:id="rId8"/>
    <sheet name="Leuna - Withdrawal + Discharge" sheetId="19" r:id="rId9"/>
    <sheet name="Soy Sourcing - Food" sheetId="6" r:id="rId10"/>
    <sheet name="Palm Sourcing - Food" sheetId="7" r:id="rId11"/>
    <sheet name="Prod Capacity" sheetId="9" r:id="rId12"/>
    <sheet name="Energy Spend" sheetId="10" r:id="rId13"/>
    <sheet name="Data 2021 to 2023" sheetId="11" r:id="rId14"/>
  </sheets>
  <calcPr calcId="191028"/>
  <pivotCaches>
    <pivotCache cacheId="2" r:id="rId15"/>
    <pivotCache cacheId="3" r:id="rId16"/>
    <pivotCache cacheId="4" r:id="rId17"/>
    <pivotCache cacheId="5" r:id="rId1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7" i="12" l="1"/>
  <c r="N66" i="12"/>
  <c r="N65" i="12"/>
  <c r="N64" i="12" l="1"/>
  <c r="N63" i="12" l="1"/>
  <c r="E33" i="13" l="1"/>
  <c r="E27" i="13"/>
  <c r="E28" i="13"/>
  <c r="E29" i="13"/>
  <c r="E30" i="13"/>
  <c r="F44" i="12"/>
  <c r="N44" i="12"/>
  <c r="N43" i="12"/>
  <c r="N42" i="12"/>
  <c r="B18" i="13"/>
  <c r="F50" i="12" l="1"/>
  <c r="N50" i="12"/>
  <c r="F51" i="12"/>
  <c r="N51" i="12"/>
  <c r="F52" i="12"/>
  <c r="N52" i="12"/>
  <c r="F49" i="12"/>
  <c r="N49" i="12"/>
  <c r="F53" i="12"/>
  <c r="N53" i="12"/>
  <c r="N39" i="12"/>
  <c r="N40" i="12"/>
  <c r="F41" i="12"/>
  <c r="N41" i="12"/>
  <c r="F45" i="12"/>
  <c r="N45" i="12"/>
  <c r="J24" i="12"/>
  <c r="N38" i="12" l="1"/>
  <c r="F62" i="12"/>
  <c r="F61" i="12"/>
  <c r="N61" i="12"/>
  <c r="F59" i="12"/>
  <c r="N59" i="12"/>
  <c r="H36" i="12"/>
  <c r="F36" i="12" s="1"/>
  <c r="H60" i="12"/>
  <c r="F60" i="12" s="1"/>
  <c r="F22" i="12" l="1"/>
  <c r="F21" i="12"/>
  <c r="N21" i="12"/>
  <c r="N62" i="12" l="1"/>
  <c r="H30" i="12" l="1"/>
  <c r="C36" i="13" l="1"/>
  <c r="C35" i="13"/>
  <c r="C34" i="13"/>
  <c r="C33" i="13"/>
  <c r="C32" i="13"/>
  <c r="C31" i="13"/>
  <c r="C30" i="13"/>
  <c r="C29" i="13"/>
  <c r="C28" i="13"/>
  <c r="C27" i="13"/>
  <c r="E53" i="13" l="1"/>
  <c r="E54" i="13"/>
  <c r="E55" i="13"/>
  <c r="E56" i="13"/>
  <c r="E57" i="13"/>
  <c r="E58" i="13"/>
  <c r="E59" i="13"/>
  <c r="E60" i="13"/>
  <c r="E61" i="13"/>
  <c r="E62" i="13"/>
  <c r="D53" i="13"/>
  <c r="D54" i="13"/>
  <c r="D55" i="13"/>
  <c r="D56" i="13"/>
  <c r="D57" i="13"/>
  <c r="D58" i="13"/>
  <c r="D59" i="13"/>
  <c r="D60" i="13"/>
  <c r="D61" i="13"/>
  <c r="D62" i="13"/>
  <c r="H56" i="12"/>
  <c r="H34" i="12"/>
  <c r="G25" i="12"/>
  <c r="F13" i="12"/>
  <c r="F16" i="12"/>
  <c r="F19" i="12"/>
  <c r="C14" i="13"/>
  <c r="C15" i="13"/>
  <c r="C16" i="13"/>
  <c r="C17" i="13"/>
  <c r="C18" i="13"/>
  <c r="C19" i="13"/>
  <c r="C20" i="13"/>
  <c r="C21" i="13"/>
  <c r="C22" i="13"/>
  <c r="C23" i="13"/>
  <c r="C57" i="13"/>
  <c r="B57" i="13"/>
  <c r="G23" i="19" l="1"/>
  <c r="F23" i="19"/>
  <c r="E23" i="19"/>
  <c r="D23" i="19"/>
  <c r="C23" i="19"/>
  <c r="B23" i="19"/>
  <c r="J28" i="18"/>
  <c r="L27" i="18"/>
  <c r="M27" i="18" s="1"/>
  <c r="H27" i="18"/>
  <c r="H26" i="18"/>
  <c r="L26" i="18" s="1"/>
  <c r="M26" i="18" s="1"/>
  <c r="H25" i="18"/>
  <c r="L24" i="18"/>
  <c r="M24" i="18" s="1"/>
  <c r="H24" i="18"/>
  <c r="L23" i="18"/>
  <c r="M23" i="18" s="1"/>
  <c r="H23" i="18"/>
  <c r="H22" i="18"/>
  <c r="L22" i="18" s="1"/>
  <c r="M22" i="18" s="1"/>
  <c r="H21" i="18"/>
  <c r="L20" i="18"/>
  <c r="M20" i="18" s="1"/>
  <c r="H19" i="18"/>
  <c r="M18" i="18"/>
  <c r="L18" i="18"/>
  <c r="L17" i="18"/>
  <c r="J17" i="18"/>
  <c r="I17" i="18"/>
  <c r="I28" i="18" s="1"/>
  <c r="H17" i="18"/>
  <c r="M17" i="18" s="1"/>
  <c r="F17" i="18"/>
  <c r="F28" i="18" s="1"/>
  <c r="L16" i="18"/>
  <c r="M16" i="18" s="1"/>
  <c r="H16" i="18"/>
  <c r="L15" i="18"/>
  <c r="H15" i="18"/>
  <c r="M15" i="18" s="1"/>
  <c r="L14" i="18"/>
  <c r="M14" i="18" s="1"/>
  <c r="H13" i="18"/>
  <c r="H12" i="18"/>
  <c r="H11" i="18"/>
  <c r="L11" i="18" s="1"/>
  <c r="M11" i="18" s="1"/>
  <c r="L10" i="18"/>
  <c r="G10" i="18"/>
  <c r="H9" i="18"/>
  <c r="L9" i="18" s="1"/>
  <c r="L32" i="18" s="1"/>
  <c r="H8" i="18"/>
  <c r="L8" i="18" s="1"/>
  <c r="H7" i="18"/>
  <c r="H6" i="18"/>
  <c r="L6" i="18" s="1"/>
  <c r="H5" i="18"/>
  <c r="L5" i="18" s="1"/>
  <c r="K4" i="18"/>
  <c r="M4" i="18" s="1"/>
  <c r="G4" i="18"/>
  <c r="G28" i="18" s="1"/>
  <c r="C58" i="13"/>
  <c r="B58" i="13"/>
  <c r="H28" i="18" l="1"/>
  <c r="H29" i="18" s="1"/>
  <c r="L19" i="18"/>
  <c r="M19" i="18" s="1"/>
  <c r="M5" i="18"/>
  <c r="M6" i="18"/>
  <c r="M8" i="18"/>
  <c r="M9" i="18"/>
  <c r="F33" i="18"/>
  <c r="F34" i="18"/>
  <c r="L25" i="18"/>
  <c r="M25" i="18" s="1"/>
  <c r="L12" i="18"/>
  <c r="M12" i="18" s="1"/>
  <c r="L13" i="18"/>
  <c r="M13" i="18" s="1"/>
  <c r="L21" i="18"/>
  <c r="M21" i="18" s="1"/>
  <c r="L7" i="18"/>
  <c r="L34" i="18" s="1"/>
  <c r="K10" i="18"/>
  <c r="K28" i="18" s="1"/>
  <c r="C59" i="13"/>
  <c r="B59" i="13"/>
  <c r="M7" i="18" l="1"/>
  <c r="L33" i="18"/>
  <c r="M10" i="18"/>
  <c r="L35" i="18"/>
  <c r="M28" i="18"/>
  <c r="L28" i="18"/>
  <c r="L29" i="18" s="1"/>
  <c r="C60" i="13"/>
  <c r="B60" i="13"/>
  <c r="C61" i="13" l="1"/>
  <c r="C62" i="13" s="1"/>
  <c r="J15" i="12"/>
  <c r="F56" i="12"/>
  <c r="F34" i="12"/>
  <c r="N56" i="12"/>
  <c r="N34" i="12"/>
  <c r="N55" i="12"/>
  <c r="N33" i="12"/>
  <c r="B61" i="13"/>
  <c r="D109" i="17" l="1"/>
  <c r="C2" i="17"/>
  <c r="C3" i="17"/>
  <c r="C4" i="17"/>
  <c r="C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69" i="17"/>
  <c r="C70" i="17"/>
  <c r="C71" i="17"/>
  <c r="C72" i="17"/>
  <c r="C73" i="17"/>
  <c r="C74" i="17"/>
  <c r="C75" i="17"/>
  <c r="C76" i="17"/>
  <c r="C77" i="17"/>
  <c r="C78" i="17"/>
  <c r="C79" i="17"/>
  <c r="C80" i="17"/>
  <c r="C81" i="17"/>
  <c r="C82" i="17"/>
  <c r="C83" i="17"/>
  <c r="C84" i="17"/>
  <c r="C85" i="17"/>
  <c r="C86" i="17"/>
  <c r="C87" i="17"/>
  <c r="C88" i="17"/>
  <c r="C89" i="17"/>
  <c r="C90" i="17"/>
  <c r="C91" i="17"/>
  <c r="C92" i="17"/>
  <c r="C93" i="17"/>
  <c r="C94" i="17"/>
  <c r="C95" i="17"/>
  <c r="C96" i="17"/>
  <c r="C97" i="17"/>
  <c r="C98" i="17"/>
  <c r="C99" i="17"/>
  <c r="C100" i="17"/>
  <c r="C101" i="17"/>
  <c r="C102" i="17"/>
  <c r="C103" i="17"/>
  <c r="C104" i="17"/>
  <c r="C105" i="17"/>
  <c r="C106" i="17"/>
  <c r="C107" i="17"/>
  <c r="C108" i="17"/>
  <c r="C109" i="17"/>
  <c r="C110" i="17"/>
  <c r="C111" i="17"/>
  <c r="C112" i="17"/>
  <c r="C113" i="17"/>
  <c r="C114" i="17"/>
  <c r="C115" i="17"/>
  <c r="C116" i="17"/>
  <c r="C117" i="17"/>
  <c r="C118" i="17"/>
  <c r="C119" i="17"/>
  <c r="C120" i="17"/>
  <c r="C121" i="17"/>
  <c r="C122" i="17"/>
  <c r="C123" i="17"/>
  <c r="C124" i="17"/>
  <c r="C125" i="17"/>
  <c r="C126" i="17"/>
  <c r="C127" i="17"/>
  <c r="C128" i="17"/>
  <c r="C129" i="17"/>
  <c r="C130" i="17"/>
  <c r="C131" i="17"/>
  <c r="C132" i="17"/>
  <c r="C133" i="17"/>
  <c r="C134" i="17"/>
  <c r="C135" i="17"/>
  <c r="C136" i="17"/>
  <c r="C137" i="17"/>
  <c r="C138" i="17"/>
  <c r="C139" i="17"/>
  <c r="C140" i="17"/>
  <c r="C141" i="17"/>
  <c r="C142" i="17"/>
  <c r="C143" i="17"/>
  <c r="C144" i="17"/>
  <c r="C145" i="17"/>
  <c r="C146" i="17"/>
  <c r="C147" i="17"/>
  <c r="C148" i="17"/>
  <c r="C149" i="17"/>
  <c r="C150" i="17"/>
  <c r="C151" i="17"/>
  <c r="C152" i="17"/>
  <c r="C153" i="17"/>
  <c r="C154" i="17"/>
  <c r="C155" i="17"/>
  <c r="C156" i="17"/>
  <c r="C157" i="17"/>
  <c r="C158" i="17"/>
  <c r="C159" i="17"/>
  <c r="C160" i="17"/>
  <c r="C161" i="17"/>
  <c r="C162" i="17"/>
  <c r="C163" i="17"/>
  <c r="C164" i="17"/>
  <c r="C165" i="17"/>
  <c r="C166" i="17"/>
  <c r="C167" i="17"/>
  <c r="C168" i="17"/>
  <c r="C169" i="17"/>
  <c r="C170" i="17"/>
  <c r="C171" i="17"/>
  <c r="C172" i="17"/>
  <c r="C173" i="17"/>
  <c r="C174" i="17"/>
  <c r="C175" i="17"/>
  <c r="C176" i="17"/>
  <c r="C177" i="17"/>
  <c r="C178" i="17"/>
  <c r="C179" i="17"/>
  <c r="C180" i="17"/>
  <c r="C181" i="17"/>
  <c r="C182" i="17"/>
  <c r="C183" i="17"/>
  <c r="C184" i="17"/>
  <c r="C185" i="17"/>
  <c r="C186" i="17"/>
  <c r="C187" i="17"/>
  <c r="C188" i="17"/>
  <c r="C189" i="17"/>
  <c r="C190" i="17"/>
  <c r="C191" i="17"/>
  <c r="C192" i="17"/>
  <c r="C193" i="17"/>
  <c r="C194" i="17"/>
  <c r="C195" i="17"/>
  <c r="C196" i="17"/>
  <c r="C197" i="17"/>
  <c r="C198" i="17"/>
  <c r="C199" i="17"/>
  <c r="C200" i="17"/>
  <c r="C201" i="17"/>
  <c r="C202" i="17"/>
  <c r="C203" i="17"/>
  <c r="C204" i="17"/>
  <c r="C205" i="17"/>
  <c r="C206" i="17"/>
  <c r="C207" i="17"/>
  <c r="C208" i="17"/>
  <c r="C209" i="17"/>
  <c r="C210" i="17"/>
  <c r="C211" i="17"/>
  <c r="C212" i="17"/>
  <c r="C213" i="17"/>
  <c r="C214" i="17"/>
  <c r="C215" i="17"/>
  <c r="C216" i="17"/>
  <c r="C217" i="17"/>
  <c r="C218" i="17"/>
  <c r="C219" i="17"/>
  <c r="C220" i="17"/>
  <c r="D2" i="17" s="1"/>
  <c r="E7" i="15"/>
  <c r="E8" i="15"/>
  <c r="E9" i="15"/>
  <c r="E10" i="15"/>
  <c r="E11" i="15"/>
  <c r="E12" i="15"/>
  <c r="E13" i="15"/>
  <c r="E14" i="15"/>
  <c r="E15" i="15"/>
  <c r="E16" i="15"/>
  <c r="E17" i="15"/>
  <c r="E18" i="15"/>
  <c r="E19" i="15"/>
  <c r="E20" i="15"/>
  <c r="E21" i="15"/>
  <c r="E22" i="15"/>
  <c r="E23" i="15"/>
  <c r="E29" i="15"/>
  <c r="E30" i="15"/>
  <c r="E31" i="15"/>
  <c r="E32" i="15"/>
  <c r="E33" i="15"/>
  <c r="E34" i="15"/>
  <c r="E35" i="15"/>
  <c r="E36" i="15"/>
  <c r="E37" i="15"/>
  <c r="E38" i="15"/>
  <c r="E39" i="15"/>
  <c r="E40" i="15"/>
  <c r="E41" i="15"/>
  <c r="E42" i="15"/>
  <c r="E43" i="15"/>
  <c r="E44" i="15"/>
  <c r="E45" i="15"/>
  <c r="E51" i="15"/>
  <c r="E52" i="15"/>
  <c r="E53" i="15"/>
  <c r="E54" i="15"/>
  <c r="E55" i="15"/>
  <c r="E56" i="15"/>
  <c r="E57" i="15"/>
  <c r="E58" i="15"/>
  <c r="E59" i="15"/>
  <c r="E60" i="15"/>
  <c r="E61" i="15"/>
  <c r="E62" i="15"/>
  <c r="E63" i="15"/>
  <c r="E64" i="15"/>
  <c r="E65" i="15"/>
  <c r="E66" i="15"/>
  <c r="E67" i="15"/>
  <c r="E73" i="15"/>
  <c r="E74" i="15"/>
  <c r="E75" i="15"/>
  <c r="E76" i="15"/>
  <c r="E77" i="15"/>
  <c r="E78" i="15"/>
  <c r="E79" i="15"/>
  <c r="E80" i="15"/>
  <c r="E81" i="15"/>
  <c r="E82" i="15"/>
  <c r="E83" i="15"/>
  <c r="E84" i="15"/>
  <c r="E85" i="15"/>
  <c r="E86" i="15"/>
  <c r="E87" i="15"/>
  <c r="E88" i="15"/>
  <c r="E89" i="15"/>
  <c r="E95" i="15"/>
  <c r="E96" i="15"/>
  <c r="E97" i="15"/>
  <c r="E98" i="15"/>
  <c r="E99" i="15"/>
  <c r="E100" i="15"/>
  <c r="E101" i="15"/>
  <c r="E102" i="15"/>
  <c r="E103" i="15"/>
  <c r="E104" i="15"/>
  <c r="E105" i="15"/>
  <c r="E106" i="15"/>
  <c r="E107" i="15"/>
  <c r="E108" i="15"/>
  <c r="E109" i="15"/>
  <c r="E110" i="15"/>
  <c r="E111" i="15"/>
  <c r="E117" i="15"/>
  <c r="E118" i="15"/>
  <c r="E119" i="15"/>
  <c r="E120" i="15"/>
  <c r="E121" i="15"/>
  <c r="E122" i="15"/>
  <c r="E123" i="15"/>
  <c r="E124" i="15"/>
  <c r="E125" i="15"/>
  <c r="E126" i="15"/>
  <c r="E127" i="15"/>
  <c r="E128" i="15"/>
  <c r="E129" i="15"/>
  <c r="E130" i="15"/>
  <c r="E131" i="15"/>
  <c r="E132" i="15"/>
  <c r="E133" i="15"/>
  <c r="E139" i="15"/>
  <c r="E140" i="15"/>
  <c r="E141" i="15"/>
  <c r="E142" i="15"/>
  <c r="E143" i="15"/>
  <c r="E144" i="15"/>
  <c r="E145" i="15"/>
  <c r="E146" i="15"/>
  <c r="E147" i="15"/>
  <c r="E148" i="15"/>
  <c r="E149" i="15"/>
  <c r="E150" i="15"/>
  <c r="E151" i="15"/>
  <c r="E152" i="15"/>
  <c r="E153" i="15"/>
  <c r="E154" i="15"/>
  <c r="E155" i="15"/>
  <c r="E161" i="15"/>
  <c r="E162" i="15"/>
  <c r="E163" i="15"/>
  <c r="E164" i="15"/>
  <c r="E165" i="15"/>
  <c r="E166" i="15"/>
  <c r="E167" i="15"/>
  <c r="E168" i="15"/>
  <c r="E169" i="15"/>
  <c r="E170" i="15"/>
  <c r="E171" i="15"/>
  <c r="E172" i="15"/>
  <c r="E173" i="15"/>
  <c r="E174" i="15"/>
  <c r="E175" i="15"/>
  <c r="E176" i="15"/>
  <c r="E177" i="15"/>
  <c r="E183" i="15"/>
  <c r="E184" i="15"/>
  <c r="E185" i="15"/>
  <c r="E186" i="15"/>
  <c r="E188" i="15"/>
  <c r="E189" i="15"/>
  <c r="E190" i="15"/>
  <c r="E191" i="15"/>
  <c r="E192" i="15"/>
  <c r="E193" i="15"/>
  <c r="E194" i="15"/>
  <c r="E195" i="15"/>
  <c r="E196" i="15"/>
  <c r="E197" i="15"/>
  <c r="E198" i="15"/>
  <c r="E199" i="15"/>
  <c r="E205" i="15"/>
  <c r="E206" i="15"/>
  <c r="E207" i="15"/>
  <c r="E208" i="15"/>
  <c r="E209" i="15"/>
  <c r="E210" i="15"/>
  <c r="E211" i="15"/>
  <c r="E212" i="15"/>
  <c r="E213" i="15"/>
  <c r="E214" i="15"/>
  <c r="E215" i="15"/>
  <c r="E216" i="15"/>
  <c r="E217" i="15"/>
  <c r="E218" i="15"/>
  <c r="E219" i="15"/>
  <c r="D2" i="15"/>
  <c r="E2" i="15" s="1"/>
  <c r="D3" i="15"/>
  <c r="E3" i="15" s="1"/>
  <c r="D4" i="15"/>
  <c r="E4" i="15" s="1"/>
  <c r="D5" i="15"/>
  <c r="E5" i="15" s="1"/>
  <c r="D6" i="15"/>
  <c r="E6" i="15" s="1"/>
  <c r="D7" i="15"/>
  <c r="D8" i="15"/>
  <c r="D9" i="15"/>
  <c r="D10" i="15"/>
  <c r="D11" i="15"/>
  <c r="D12" i="15"/>
  <c r="D13" i="15"/>
  <c r="D14" i="15"/>
  <c r="D15" i="15"/>
  <c r="D16" i="15"/>
  <c r="D17" i="15"/>
  <c r="D18" i="15"/>
  <c r="D19" i="15"/>
  <c r="D20" i="15"/>
  <c r="D21" i="15"/>
  <c r="D22" i="15"/>
  <c r="D23" i="15"/>
  <c r="D24" i="15"/>
  <c r="E24" i="15" s="1"/>
  <c r="D25" i="15"/>
  <c r="E25" i="15" s="1"/>
  <c r="D26" i="15"/>
  <c r="E26" i="15" s="1"/>
  <c r="D27" i="15"/>
  <c r="E27" i="15" s="1"/>
  <c r="D28" i="15"/>
  <c r="E28" i="15" s="1"/>
  <c r="D29" i="15"/>
  <c r="D30" i="15"/>
  <c r="D31" i="15"/>
  <c r="D32" i="15"/>
  <c r="D33" i="15"/>
  <c r="D34" i="15"/>
  <c r="D35" i="15"/>
  <c r="D36" i="15"/>
  <c r="D37" i="15"/>
  <c r="D38" i="15"/>
  <c r="D39" i="15"/>
  <c r="D40" i="15"/>
  <c r="D41" i="15"/>
  <c r="D42" i="15"/>
  <c r="D43" i="15"/>
  <c r="D44" i="15"/>
  <c r="D45" i="15"/>
  <c r="D46" i="15"/>
  <c r="E46" i="15" s="1"/>
  <c r="D47" i="15"/>
  <c r="E47" i="15" s="1"/>
  <c r="D48" i="15"/>
  <c r="E48" i="15" s="1"/>
  <c r="D49" i="15"/>
  <c r="E49" i="15" s="1"/>
  <c r="D50" i="15"/>
  <c r="E50" i="15" s="1"/>
  <c r="D51" i="15"/>
  <c r="D52" i="15"/>
  <c r="D53" i="15"/>
  <c r="D54" i="15"/>
  <c r="D55" i="15"/>
  <c r="D56" i="15"/>
  <c r="D57" i="15"/>
  <c r="D58" i="15"/>
  <c r="D59" i="15"/>
  <c r="D60" i="15"/>
  <c r="D61" i="15"/>
  <c r="D62" i="15"/>
  <c r="D63" i="15"/>
  <c r="D64" i="15"/>
  <c r="D65" i="15"/>
  <c r="D66" i="15"/>
  <c r="D67" i="15"/>
  <c r="D68" i="15"/>
  <c r="E68" i="15" s="1"/>
  <c r="D69" i="15"/>
  <c r="E69" i="15" s="1"/>
  <c r="D70" i="15"/>
  <c r="E70" i="15" s="1"/>
  <c r="D71" i="15"/>
  <c r="E71" i="15" s="1"/>
  <c r="D72" i="15"/>
  <c r="E72" i="15" s="1"/>
  <c r="D73" i="15"/>
  <c r="D74" i="15"/>
  <c r="D75" i="15"/>
  <c r="D76" i="15"/>
  <c r="D77" i="15"/>
  <c r="D78" i="15"/>
  <c r="D79" i="15"/>
  <c r="D80" i="15"/>
  <c r="D81" i="15"/>
  <c r="D82" i="15"/>
  <c r="D83" i="15"/>
  <c r="D84" i="15"/>
  <c r="D85" i="15"/>
  <c r="D86" i="15"/>
  <c r="D87" i="15"/>
  <c r="D88" i="15"/>
  <c r="D89" i="15"/>
  <c r="D90" i="15"/>
  <c r="E90" i="15" s="1"/>
  <c r="D91" i="15"/>
  <c r="E91" i="15" s="1"/>
  <c r="D92" i="15"/>
  <c r="E92" i="15" s="1"/>
  <c r="D93" i="15"/>
  <c r="E93" i="15" s="1"/>
  <c r="D94" i="15"/>
  <c r="E94" i="15" s="1"/>
  <c r="D95" i="15"/>
  <c r="D96" i="15"/>
  <c r="D97" i="15"/>
  <c r="D98" i="15"/>
  <c r="D99" i="15"/>
  <c r="D100" i="15"/>
  <c r="D101" i="15"/>
  <c r="D102" i="15"/>
  <c r="D103" i="15"/>
  <c r="D104" i="15"/>
  <c r="D105" i="15"/>
  <c r="D106" i="15"/>
  <c r="D107" i="15"/>
  <c r="D108" i="15"/>
  <c r="D109" i="15"/>
  <c r="D110" i="15"/>
  <c r="D111" i="15"/>
  <c r="D112" i="15"/>
  <c r="E112" i="15" s="1"/>
  <c r="D113" i="15"/>
  <c r="E113" i="15" s="1"/>
  <c r="D114" i="15"/>
  <c r="E114" i="15" s="1"/>
  <c r="D115" i="15"/>
  <c r="E115" i="15" s="1"/>
  <c r="D116" i="15"/>
  <c r="E116" i="15" s="1"/>
  <c r="D117" i="15"/>
  <c r="D118" i="15"/>
  <c r="D119" i="15"/>
  <c r="D120" i="15"/>
  <c r="D121" i="15"/>
  <c r="D122" i="15"/>
  <c r="D123" i="15"/>
  <c r="D124" i="15"/>
  <c r="D125" i="15"/>
  <c r="D126" i="15"/>
  <c r="D127" i="15"/>
  <c r="D128" i="15"/>
  <c r="D129" i="15"/>
  <c r="D130" i="15"/>
  <c r="D131" i="15"/>
  <c r="D132" i="15"/>
  <c r="D133" i="15"/>
  <c r="D134" i="15"/>
  <c r="E134" i="15" s="1"/>
  <c r="D135" i="15"/>
  <c r="E135" i="15" s="1"/>
  <c r="D136" i="15"/>
  <c r="E136" i="15" s="1"/>
  <c r="D137" i="15"/>
  <c r="E137" i="15" s="1"/>
  <c r="D138" i="15"/>
  <c r="E138" i="15" s="1"/>
  <c r="D139" i="15"/>
  <c r="D140" i="15"/>
  <c r="D141" i="15"/>
  <c r="D142" i="15"/>
  <c r="D143" i="15"/>
  <c r="D144" i="15"/>
  <c r="D145" i="15"/>
  <c r="D146" i="15"/>
  <c r="D147" i="15"/>
  <c r="D148" i="15"/>
  <c r="D149" i="15"/>
  <c r="D150" i="15"/>
  <c r="D151" i="15"/>
  <c r="D152" i="15"/>
  <c r="D153" i="15"/>
  <c r="D154" i="15"/>
  <c r="D155" i="15"/>
  <c r="D156" i="15"/>
  <c r="E156" i="15" s="1"/>
  <c r="D157" i="15"/>
  <c r="E157" i="15" s="1"/>
  <c r="D158" i="15"/>
  <c r="E158" i="15" s="1"/>
  <c r="D159" i="15"/>
  <c r="E159" i="15" s="1"/>
  <c r="D160" i="15"/>
  <c r="E160" i="15" s="1"/>
  <c r="D161" i="15"/>
  <c r="D162" i="15"/>
  <c r="D163" i="15"/>
  <c r="D164" i="15"/>
  <c r="D165" i="15"/>
  <c r="D166" i="15"/>
  <c r="D167" i="15"/>
  <c r="D168" i="15"/>
  <c r="D169" i="15"/>
  <c r="D170" i="15"/>
  <c r="D171" i="15"/>
  <c r="D172" i="15"/>
  <c r="D173" i="15"/>
  <c r="D174" i="15"/>
  <c r="D175" i="15"/>
  <c r="D176" i="15"/>
  <c r="D177" i="15"/>
  <c r="D178" i="15"/>
  <c r="E178" i="15" s="1"/>
  <c r="D179" i="15"/>
  <c r="E179" i="15" s="1"/>
  <c r="D180" i="15"/>
  <c r="E180" i="15" s="1"/>
  <c r="D181" i="15"/>
  <c r="E181" i="15" s="1"/>
  <c r="D182" i="15"/>
  <c r="E182" i="15" s="1"/>
  <c r="D183" i="15"/>
  <c r="D184" i="15"/>
  <c r="D185" i="15"/>
  <c r="D186" i="15"/>
  <c r="D187" i="15"/>
  <c r="E187" i="15" s="1"/>
  <c r="D188" i="15"/>
  <c r="D189" i="15"/>
  <c r="D190" i="15"/>
  <c r="D191" i="15"/>
  <c r="D192" i="15"/>
  <c r="D193" i="15"/>
  <c r="D194" i="15"/>
  <c r="D195" i="15"/>
  <c r="D196" i="15"/>
  <c r="D197" i="15"/>
  <c r="D198" i="15"/>
  <c r="D199" i="15"/>
  <c r="D200" i="15"/>
  <c r="E200" i="15" s="1"/>
  <c r="D201" i="15"/>
  <c r="E201" i="15" s="1"/>
  <c r="D202" i="15"/>
  <c r="E202" i="15" s="1"/>
  <c r="D203" i="15"/>
  <c r="E203" i="15" s="1"/>
  <c r="D204" i="15"/>
  <c r="E204" i="15" s="1"/>
  <c r="D205" i="15"/>
  <c r="D206" i="15"/>
  <c r="D207" i="15"/>
  <c r="D208" i="15"/>
  <c r="D209" i="15"/>
  <c r="D210" i="15"/>
  <c r="D211" i="15"/>
  <c r="D212" i="15"/>
  <c r="D213" i="15"/>
  <c r="D214" i="15"/>
  <c r="D215" i="15"/>
  <c r="D216" i="15"/>
  <c r="D217" i="15"/>
  <c r="D218" i="15"/>
  <c r="D219" i="15"/>
  <c r="F30" i="12"/>
  <c r="N30" i="12"/>
  <c r="N31" i="12"/>
  <c r="B62" i="13"/>
  <c r="D197" i="17" l="1"/>
  <c r="D175" i="17"/>
  <c r="D153" i="17"/>
  <c r="D87" i="17"/>
  <c r="D20" i="17"/>
  <c r="D195" i="17"/>
  <c r="D41" i="17"/>
  <c r="D150" i="17"/>
  <c r="D18" i="17"/>
  <c r="D214" i="17"/>
  <c r="D38" i="17"/>
  <c r="D191" i="17"/>
  <c r="D169" i="17"/>
  <c r="D147" i="17"/>
  <c r="D103" i="17"/>
  <c r="D36" i="17"/>
  <c r="D199" i="17"/>
  <c r="D133" i="17"/>
  <c r="D67" i="17"/>
  <c r="D23" i="17"/>
  <c r="D177" i="17"/>
  <c r="D155" i="17"/>
  <c r="D111" i="17"/>
  <c r="D89" i="17"/>
  <c r="D45" i="17"/>
  <c r="D220" i="17"/>
  <c r="D198" i="17"/>
  <c r="D176" i="17"/>
  <c r="D154" i="17"/>
  <c r="D132" i="17"/>
  <c r="D110" i="17"/>
  <c r="D88" i="17"/>
  <c r="D66" i="17"/>
  <c r="D44" i="17"/>
  <c r="D22" i="17"/>
  <c r="D21" i="17"/>
  <c r="D16" i="17"/>
  <c r="D15" i="17"/>
  <c r="D14" i="17"/>
  <c r="D131" i="17"/>
  <c r="D86" i="17"/>
  <c r="D63" i="17"/>
  <c r="D62" i="17"/>
  <c r="D149" i="17"/>
  <c r="D17" i="17"/>
  <c r="D82" i="17"/>
  <c r="D81" i="17"/>
  <c r="D58" i="17"/>
  <c r="D13" i="17"/>
  <c r="D34" i="17"/>
  <c r="D187" i="17"/>
  <c r="D121" i="17"/>
  <c r="D99" i="17"/>
  <c r="D11" i="17"/>
  <c r="D208" i="17"/>
  <c r="D186" i="17"/>
  <c r="D164" i="17"/>
  <c r="D98" i="17"/>
  <c r="D76" i="17"/>
  <c r="D54" i="17"/>
  <c r="D32" i="17"/>
  <c r="D10" i="17"/>
  <c r="D207" i="17"/>
  <c r="D185" i="17"/>
  <c r="D163" i="17"/>
  <c r="D141" i="17"/>
  <c r="D119" i="17"/>
  <c r="D97" i="17"/>
  <c r="D75" i="17"/>
  <c r="D53" i="17"/>
  <c r="D31" i="17"/>
  <c r="D9" i="17"/>
  <c r="D8" i="17"/>
  <c r="D7" i="17"/>
  <c r="D6" i="17"/>
  <c r="D181" i="17"/>
  <c r="D159" i="17"/>
  <c r="D137" i="17"/>
  <c r="D115" i="17"/>
  <c r="D93" i="17"/>
  <c r="D71" i="17"/>
  <c r="D49" i="17"/>
  <c r="D27" i="17"/>
  <c r="D5" i="17"/>
  <c r="D43" i="17"/>
  <c r="D42" i="17"/>
  <c r="D173" i="17"/>
  <c r="D129" i="17"/>
  <c r="D19" i="17"/>
  <c r="D216" i="17"/>
  <c r="D172" i="17"/>
  <c r="D128" i="17"/>
  <c r="D84" i="17"/>
  <c r="D171" i="17"/>
  <c r="D61" i="17"/>
  <c r="D192" i="17"/>
  <c r="D170" i="17"/>
  <c r="D148" i="17"/>
  <c r="D126" i="17"/>
  <c r="D104" i="17"/>
  <c r="D37" i="17"/>
  <c r="D212" i="17"/>
  <c r="D102" i="17"/>
  <c r="D211" i="17"/>
  <c r="D167" i="17"/>
  <c r="D57" i="17"/>
  <c r="D210" i="17"/>
  <c r="D12" i="17"/>
  <c r="D165" i="17"/>
  <c r="D33" i="17"/>
  <c r="D120" i="17"/>
  <c r="D206" i="17"/>
  <c r="D162" i="17"/>
  <c r="D118" i="17"/>
  <c r="D74" i="17"/>
  <c r="D52" i="17"/>
  <c r="D205" i="17"/>
  <c r="D161" i="17"/>
  <c r="D117" i="17"/>
  <c r="D51" i="17"/>
  <c r="D182" i="17"/>
  <c r="D138" i="17"/>
  <c r="D50" i="17"/>
  <c r="D203" i="17"/>
  <c r="D202" i="17"/>
  <c r="D180" i="17"/>
  <c r="D158" i="17"/>
  <c r="D136" i="17"/>
  <c r="D114" i="17"/>
  <c r="D92" i="17"/>
  <c r="D70" i="17"/>
  <c r="D48" i="17"/>
  <c r="D26" i="17"/>
  <c r="D4" i="17"/>
  <c r="D107" i="17"/>
  <c r="D106" i="17"/>
  <c r="D193" i="17"/>
  <c r="D125" i="17"/>
  <c r="D79" i="17"/>
  <c r="D77" i="17"/>
  <c r="D73" i="17"/>
  <c r="D72" i="17"/>
  <c r="D201" i="17"/>
  <c r="D179" i="17"/>
  <c r="D157" i="17"/>
  <c r="D135" i="17"/>
  <c r="D113" i="17"/>
  <c r="D91" i="17"/>
  <c r="D69" i="17"/>
  <c r="D47" i="17"/>
  <c r="D25" i="17"/>
  <c r="D3" i="17"/>
  <c r="D219" i="17"/>
  <c r="D65" i="17"/>
  <c r="D218" i="17"/>
  <c r="D196" i="17"/>
  <c r="D174" i="17"/>
  <c r="D152" i="17"/>
  <c r="D130" i="17"/>
  <c r="D108" i="17"/>
  <c r="D64" i="17"/>
  <c r="D217" i="17"/>
  <c r="D151" i="17"/>
  <c r="D85" i="17"/>
  <c r="D194" i="17"/>
  <c r="D40" i="17"/>
  <c r="D215" i="17"/>
  <c r="D127" i="17"/>
  <c r="D105" i="17"/>
  <c r="D83" i="17"/>
  <c r="D39" i="17"/>
  <c r="D60" i="17"/>
  <c r="D213" i="17"/>
  <c r="D59" i="17"/>
  <c r="D190" i="17"/>
  <c r="D168" i="17"/>
  <c r="D146" i="17"/>
  <c r="D124" i="17"/>
  <c r="D80" i="17"/>
  <c r="D189" i="17"/>
  <c r="D145" i="17"/>
  <c r="D123" i="17"/>
  <c r="D101" i="17"/>
  <c r="D35" i="17"/>
  <c r="D188" i="17"/>
  <c r="D166" i="17"/>
  <c r="D144" i="17"/>
  <c r="D122" i="17"/>
  <c r="D100" i="17"/>
  <c r="D78" i="17"/>
  <c r="D56" i="17"/>
  <c r="D209" i="17"/>
  <c r="D143" i="17"/>
  <c r="D55" i="17"/>
  <c r="D142" i="17"/>
  <c r="D184" i="17"/>
  <c r="D140" i="17"/>
  <c r="D96" i="17"/>
  <c r="D30" i="17"/>
  <c r="D183" i="17"/>
  <c r="D139" i="17"/>
  <c r="D95" i="17"/>
  <c r="D29" i="17"/>
  <c r="D204" i="17"/>
  <c r="D160" i="17"/>
  <c r="D116" i="17"/>
  <c r="D94" i="17"/>
  <c r="D28" i="17"/>
  <c r="D200" i="17"/>
  <c r="D178" i="17"/>
  <c r="D156" i="17"/>
  <c r="D134" i="17"/>
  <c r="D112" i="17"/>
  <c r="D90" i="17"/>
  <c r="D68" i="17"/>
  <c r="D46" i="17"/>
  <c r="D24" i="17"/>
  <c r="N28" i="12" l="1"/>
  <c r="J14" i="12"/>
  <c r="J18" i="12"/>
  <c r="J17" i="12"/>
  <c r="N46" i="12"/>
  <c r="N27" i="12"/>
  <c r="N47" i="12"/>
  <c r="N19" i="12"/>
  <c r="N48" i="12"/>
  <c r="N29" i="12"/>
  <c r="N35" i="12"/>
  <c r="F25" i="12" l="1"/>
  <c r="L22" i="12"/>
  <c r="N54" i="12"/>
  <c r="L48" i="13"/>
  <c r="O48" i="13" s="1"/>
  <c r="L49" i="13"/>
  <c r="O49" i="13" s="1"/>
  <c r="L47" i="13"/>
  <c r="O47" i="13" s="1"/>
  <c r="M48" i="13" l="1"/>
  <c r="N48" i="13" s="1"/>
  <c r="P48" i="13" s="1"/>
  <c r="M49" i="13"/>
  <c r="N49" i="13" s="1"/>
  <c r="P49" i="13" s="1"/>
  <c r="M47" i="13"/>
  <c r="N47" i="13" s="1"/>
  <c r="P47" i="13" s="1"/>
  <c r="B31" i="13"/>
  <c r="E31" i="13" l="1"/>
  <c r="N25" i="12"/>
  <c r="I12" i="12"/>
  <c r="J20" i="12"/>
  <c r="B19" i="13"/>
  <c r="B32" i="13"/>
  <c r="E32" i="13" l="1"/>
  <c r="N60" i="12"/>
  <c r="N36" i="12"/>
  <c r="N22" i="12"/>
  <c r="B20" i="13"/>
  <c r="B33" i="13"/>
  <c r="M37" i="12" l="1"/>
  <c r="N37" i="12" s="1"/>
  <c r="B21" i="13"/>
  <c r="B34" i="13"/>
  <c r="N58" i="12" l="1"/>
  <c r="N57" i="12"/>
  <c r="B22" i="13"/>
  <c r="B35" i="13"/>
  <c r="K10" i="11" l="1"/>
  <c r="K6" i="11"/>
  <c r="N57" i="11"/>
  <c r="N56" i="11"/>
  <c r="N55" i="11"/>
  <c r="N54" i="11"/>
  <c r="N53" i="11"/>
  <c r="S2" i="11"/>
  <c r="R2" i="11"/>
  <c r="B23" i="13"/>
  <c r="B36" i="13"/>
  <c r="M32" i="12" l="1"/>
  <c r="I32" i="12"/>
  <c r="M16" i="12"/>
  <c r="M13" i="12" l="1"/>
  <c r="N13" i="12" s="1"/>
  <c r="N12" i="12"/>
  <c r="N16" i="12"/>
  <c r="N26" i="12"/>
  <c r="J26" i="12"/>
  <c r="I26" i="12"/>
  <c r="N14" i="12"/>
  <c r="N20" i="12"/>
  <c r="N17" i="12"/>
  <c r="N32" i="12"/>
  <c r="N18" i="12"/>
  <c r="N11" i="12"/>
  <c r="N15" i="12"/>
  <c r="N23" i="12"/>
  <c r="J23" i="12"/>
  <c r="N24" i="12"/>
  <c r="I24" i="12"/>
  <c r="B6" i="12"/>
  <c r="B5" i="12"/>
  <c r="B4" i="12"/>
  <c r="B3" i="12"/>
  <c r="B2" i="12"/>
  <c r="S7" i="11" l="1"/>
  <c r="S8" i="11"/>
  <c r="S9" i="11"/>
  <c r="S10" i="11"/>
  <c r="S11" i="11"/>
  <c r="S12" i="11"/>
  <c r="S13" i="11"/>
  <c r="S14" i="11"/>
  <c r="S15" i="11"/>
  <c r="S16" i="11"/>
  <c r="S17" i="11"/>
  <c r="S18" i="11"/>
  <c r="S19" i="11"/>
  <c r="S20" i="11"/>
  <c r="S21" i="11"/>
  <c r="S22" i="11"/>
  <c r="S23" i="11"/>
  <c r="S24" i="11"/>
  <c r="S25" i="11"/>
  <c r="S26" i="11"/>
  <c r="S27" i="11"/>
  <c r="S28" i="11"/>
  <c r="S29" i="11"/>
  <c r="S30" i="11"/>
  <c r="S31" i="11"/>
  <c r="S32" i="11"/>
  <c r="S33" i="11"/>
  <c r="S34" i="11"/>
  <c r="S6" i="11"/>
  <c r="R7" i="1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6" i="11"/>
  <c r="B10" i="10" l="1"/>
  <c r="F10" i="10"/>
  <c r="K34" i="11" l="1"/>
  <c r="D8" i="11"/>
  <c r="G8" i="11"/>
  <c r="K8" i="11"/>
  <c r="M8" i="11"/>
  <c r="D7" i="11"/>
  <c r="G7" i="11"/>
  <c r="K7" i="11"/>
  <c r="M7" i="11"/>
  <c r="K29" i="11"/>
  <c r="K31" i="11"/>
  <c r="K21" i="11"/>
  <c r="K22" i="11"/>
  <c r="K23" i="11"/>
  <c r="K24" i="11"/>
  <c r="K25" i="11"/>
  <c r="K26" i="11"/>
  <c r="K27" i="11"/>
  <c r="K28" i="11"/>
  <c r="K30" i="11"/>
  <c r="K32" i="11"/>
  <c r="L36" i="11"/>
  <c r="H36" i="11"/>
  <c r="N9" i="11"/>
  <c r="N10" i="11"/>
  <c r="N13" i="11"/>
  <c r="N14" i="11"/>
  <c r="N18" i="11"/>
  <c r="N20" i="11"/>
  <c r="N6"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6" i="11"/>
  <c r="B36" i="11"/>
  <c r="C36" i="11"/>
  <c r="E36" i="11"/>
  <c r="F36" i="11"/>
  <c r="I36" i="11"/>
  <c r="J36" i="11"/>
  <c r="K13" i="11"/>
  <c r="K14" i="11"/>
  <c r="K12" i="11"/>
  <c r="K11" i="11"/>
  <c r="K16" i="11"/>
  <c r="K20" i="11"/>
  <c r="K15" i="11"/>
  <c r="K19" i="11"/>
  <c r="K17" i="11"/>
  <c r="K18" i="11"/>
  <c r="K33" i="11"/>
  <c r="K35" i="11"/>
  <c r="K9" i="11"/>
  <c r="G10" i="11"/>
  <c r="G13" i="11"/>
  <c r="G14" i="11"/>
  <c r="G12" i="11"/>
  <c r="G11" i="11"/>
  <c r="G16" i="11"/>
  <c r="G6" i="11"/>
  <c r="P6" i="11" s="1"/>
  <c r="G20" i="11"/>
  <c r="G15" i="11"/>
  <c r="G22" i="11"/>
  <c r="G24" i="11"/>
  <c r="G19" i="11"/>
  <c r="G34" i="11"/>
  <c r="G17" i="11"/>
  <c r="G23" i="11"/>
  <c r="G18" i="11"/>
  <c r="G25" i="11"/>
  <c r="G27" i="11"/>
  <c r="G30" i="11"/>
  <c r="G31" i="11"/>
  <c r="G21" i="11"/>
  <c r="G26" i="11"/>
  <c r="G28" i="11"/>
  <c r="G29" i="11"/>
  <c r="G33" i="11"/>
  <c r="G32" i="11"/>
  <c r="G35" i="11"/>
  <c r="G9" i="11"/>
  <c r="D10" i="11"/>
  <c r="D13" i="11"/>
  <c r="D14" i="11"/>
  <c r="D12" i="11"/>
  <c r="D11" i="11"/>
  <c r="D16" i="11"/>
  <c r="D6" i="11"/>
  <c r="D20" i="11"/>
  <c r="D15" i="11"/>
  <c r="D22" i="11"/>
  <c r="D24" i="11"/>
  <c r="D19" i="11"/>
  <c r="D34" i="11"/>
  <c r="D17" i="11"/>
  <c r="D23" i="11"/>
  <c r="D18" i="11"/>
  <c r="D25" i="11"/>
  <c r="D27" i="11"/>
  <c r="D30" i="11"/>
  <c r="D31" i="11"/>
  <c r="D21" i="11"/>
  <c r="D26" i="11"/>
  <c r="D28" i="11"/>
  <c r="D29" i="11"/>
  <c r="D33" i="11"/>
  <c r="D32" i="11"/>
  <c r="D35" i="11"/>
  <c r="D9" i="11"/>
  <c r="F24" i="4"/>
  <c r="F23" i="4"/>
  <c r="L12" i="4"/>
  <c r="H22" i="4"/>
  <c r="G22" i="4"/>
  <c r="H11" i="4"/>
  <c r="H21" i="4"/>
  <c r="L18" i="4"/>
  <c r="L19" i="4"/>
  <c r="L20" i="4"/>
  <c r="L21" i="4"/>
  <c r="L22" i="4"/>
  <c r="L13" i="4"/>
  <c r="L14" i="4"/>
  <c r="L15" i="4"/>
  <c r="L16" i="4"/>
  <c r="L17" i="4"/>
  <c r="L11" i="4"/>
  <c r="B6" i="4"/>
  <c r="H19" i="4"/>
  <c r="H17" i="4"/>
  <c r="H13" i="4"/>
  <c r="H12" i="4"/>
  <c r="K36" i="11" l="1"/>
  <c r="T40" i="11" s="1"/>
  <c r="P10" i="11"/>
  <c r="P9" i="11"/>
  <c r="O8" i="11"/>
  <c r="O7" i="11"/>
  <c r="N36" i="11"/>
  <c r="M36" i="11"/>
  <c r="O9" i="11"/>
  <c r="O17" i="11"/>
  <c r="O18" i="11"/>
  <c r="O12" i="11"/>
  <c r="O35" i="11"/>
  <c r="O23" i="11"/>
  <c r="O31" i="11"/>
  <c r="O20" i="11"/>
  <c r="O30" i="11"/>
  <c r="O32" i="11"/>
  <c r="O34" i="11"/>
  <c r="O10" i="11"/>
  <c r="P27" i="11"/>
  <c r="P16" i="11"/>
  <c r="P25" i="11"/>
  <c r="P11" i="11"/>
  <c r="O6" i="11"/>
  <c r="P19" i="11"/>
  <c r="P24" i="11"/>
  <c r="O26" i="11"/>
  <c r="O21" i="11"/>
  <c r="P18" i="11"/>
  <c r="O13" i="11"/>
  <c r="P29" i="11"/>
  <c r="P28" i="11"/>
  <c r="O22" i="11"/>
  <c r="O15" i="11"/>
  <c r="P12" i="11"/>
  <c r="O14" i="11"/>
  <c r="O25" i="11"/>
  <c r="O11" i="11"/>
  <c r="O29" i="11"/>
  <c r="P31" i="11"/>
  <c r="O28" i="11"/>
  <c r="O27" i="11"/>
  <c r="O24" i="11"/>
  <c r="P32" i="11"/>
  <c r="P17" i="11"/>
  <c r="P13" i="11"/>
  <c r="O19" i="11"/>
  <c r="P20" i="11"/>
  <c r="O16" i="11"/>
  <c r="P30" i="11"/>
  <c r="P15" i="11"/>
  <c r="P33" i="11"/>
  <c r="P34" i="11"/>
  <c r="O33" i="11"/>
  <c r="P26" i="11"/>
  <c r="P22" i="11"/>
  <c r="P21" i="11"/>
  <c r="P23" i="11"/>
  <c r="P14" i="11"/>
  <c r="D36" i="11"/>
  <c r="G36" i="11"/>
  <c r="N43" i="11" s="1"/>
  <c r="T37" i="11" l="1"/>
  <c r="T39" i="11"/>
  <c r="T36" i="11"/>
  <c r="P36" i="11"/>
  <c r="O36" i="11"/>
  <c r="U40" i="11" l="1"/>
  <c r="U37" i="11"/>
  <c r="B18" i="7" l="1"/>
  <c r="B19" i="7" s="1"/>
  <c r="B17" i="6"/>
  <c r="B18" i="6" s="1"/>
  <c r="G11" i="4" l="1"/>
  <c r="G18" i="4" l="1"/>
  <c r="B2" i="4" l="1"/>
  <c r="B3" i="4"/>
  <c r="B4" i="4"/>
  <c r="B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tc={AA1FEB10-C06A-4A53-9AD3-E07A803506F0}</author>
    <author>tc={1273D0F3-8D71-40B3-80BF-CC88E82AFB14}</author>
    <author>tc={186EAE34-D99E-48D1-8231-392FF38AE0B3}</author>
    <author>tc={64206A78-1DCC-4CAD-91F8-BEB6DCB3BBB4}</author>
    <author>tc={38B32CA2-3487-4D46-AD58-92EB3A94D24C}</author>
    <author>tc={4A7A9AF1-4113-4D45-89F4-A6D6AA97EC34}</author>
    <author>tc={D9FC4CD2-E889-477F-83CA-6824577D4A73}</author>
    <author>tc={B979860F-E507-46FA-8E15-00439F598FFA}</author>
  </authors>
  <commentList>
    <comment ref="B5" authorId="0" shapeId="0" xr:uid="{AA1FEB10-C06A-4A53-9AD3-E07A803506F0}">
      <text>
        <t xml:space="preserve">[Threaded comment]
Your version of Excel allows you to read this threaded comment; however, any edits to it will get removed if the file is opened in a newer version of Excel. Learn more: https://go.microsoft.com/fwlink/?linkid=870924
Comment:
    Briefly describe how you determine whether an agricultural commodity is significant to your organization in terms of revenue </t>
      </text>
    </comment>
    <comment ref="B9" authorId="1" shapeId="0" xr:uid="{1273D0F3-8D71-40B3-80BF-CC88E82AFB14}">
      <text>
        <t>[Threaded comment]
Your version of Excel allows you to read this threaded comment; however, any edits to it will get removed if the file is opened in a newer version of Excel. Learn more: https://go.microsoft.com/fwlink/?linkid=870924
Comment:
    Explanation of Terms
Manage: the approach adopted by an organization to address and respond, which includes but is not limited to prioritizing and monitoring.
Dependencies (on the environment): aspects of environmental assets and ecosystem services that an organization relies on to function (TNFD, 2023).
Impacts (on the environment): changes in the condition of nature (quality or quantity), which may result in changes to the capacity of nature to provide social and economic functions (adapted from TNFD, 2023).
Reply:
    Dependencies - what do we rely on (clean water and regular water supply). Impacts, how do we impact the environment (neg or positive)</t>
      </text>
    </comment>
    <comment ref="B17" authorId="2" shapeId="0" xr:uid="{186EAE34-D99E-48D1-8231-392FF38AE0B3}">
      <text>
        <t xml:space="preserve">[Threaded comment]
Your version of Excel allows you to read this threaded comment; however, any edits to it will get removed if the file is opened in a newer version of Excel. Learn more: https://go.microsoft.com/fwlink/?linkid=870924
Comment:
    What frequency do they meet?
What type of directors (exec/nonexec)?
Board DEI policy? Yes/No?
</t>
      </text>
    </comment>
    <comment ref="B20" authorId="3" shapeId="0" xr:uid="{64206A78-1DCC-4CAD-91F8-BEB6DCB3BBB4}">
      <text>
        <t>[Threaded comment]
Your version of Excel allows you to read this threaded comment; however, any edits to it will get removed if the file is opened in a newer version of Excel. Learn more: https://go.microsoft.com/fwlink/?linkid=870924
Comment:
    Yes</t>
      </text>
    </comment>
    <comment ref="B23" authorId="4" shapeId="0" xr:uid="{38B32CA2-3487-4D46-AD58-92EB3A94D24C}">
      <text>
        <t>[Threaded comment]
Your version of Excel allows you to read this threaded comment; however, any edits to it will get removed if the file is opened in a newer version of Excel. Learn more: https://go.microsoft.com/fwlink/?linkid=870924
Comment:
    Trade Assn? Like CICI or other than can provide input? Manufacturer's Alliance?</t>
      </text>
    </comment>
    <comment ref="B24" authorId="5" shapeId="0" xr:uid="{4A7A9AF1-4113-4D45-89F4-A6D6AA97EC34}">
      <text>
        <t>[Threaded comment]
Your version of Excel allows you to read this threaded comment; however, any edits to it will get removed if the file is opened in a newer version of Excel. Learn more: https://go.microsoft.com/fwlink/?linkid=870924
Comment:
    Confirm this is no and that we plan to in near future (via ESG Reporting etc)</t>
      </text>
    </comment>
    <comment ref="B25" authorId="6" shapeId="0" xr:uid="{D9FC4CD2-E889-477F-83CA-6824577D4A73}">
      <text>
        <t>[Threaded comment]
Your version of Excel allows you to read this threaded comment; however, any edits to it will get removed if the file is opened in a newer version of Excel. Learn more: https://go.microsoft.com/fwlink/?linkid=870924
Comment:
    Answer likely no but confirm</t>
      </text>
    </comment>
    <comment ref="B27" authorId="7" shapeId="0" xr:uid="{B979860F-E507-46FA-8E15-00439F598FFA}">
      <text>
        <t>[Threaded comment]
Your version of Excel allows you to read this threaded comment; however, any edits to it will get removed if the file is opened in a newer version of Excel. Learn more: https://go.microsoft.com/fwlink/?linkid=870924
Comment:
    Products and Services; Upstream/Downstream value chain; Investment in R&amp;D; Operations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 DiZio</author>
  </authors>
  <commentList>
    <comment ref="A2" authorId="0" shapeId="0" xr:uid="{AA3CEAE4-6787-4BDF-9F6F-2D0FB5FC5F44}">
      <text>
        <r>
          <rPr>
            <b/>
            <sz val="9"/>
            <color indexed="81"/>
            <rFont val="Tahoma"/>
            <family val="2"/>
          </rPr>
          <t>Dan DiZio:</t>
        </r>
        <r>
          <rPr>
            <sz val="9"/>
            <color indexed="81"/>
            <rFont val="Tahoma"/>
            <family val="2"/>
          </rPr>
          <t xml:space="preserve">
Idea stage</t>
        </r>
      </text>
    </comment>
    <comment ref="A3" authorId="0" shapeId="0" xr:uid="{8C62D458-E801-4B11-939E-96E109931F0C}">
      <text>
        <r>
          <rPr>
            <b/>
            <sz val="9"/>
            <color indexed="81"/>
            <rFont val="Tahoma"/>
            <family val="2"/>
          </rPr>
          <t>Dan DiZio:</t>
        </r>
        <r>
          <rPr>
            <sz val="9"/>
            <color indexed="81"/>
            <rFont val="Tahoma"/>
            <family val="2"/>
          </rPr>
          <t xml:space="preserve">
Capital request submitted and approved</t>
        </r>
      </text>
    </comment>
    <comment ref="A4" authorId="0" shapeId="0" xr:uid="{2AF526D3-DCAA-4EF9-9618-66566F2EE3DA}">
      <text>
        <r>
          <rPr>
            <b/>
            <sz val="9"/>
            <color indexed="81"/>
            <rFont val="Tahoma"/>
            <family val="2"/>
          </rPr>
          <t>Dan DiZio:</t>
        </r>
        <r>
          <rPr>
            <sz val="9"/>
            <color indexed="81"/>
            <rFont val="Tahoma"/>
            <family val="2"/>
          </rPr>
          <t xml:space="preserve">
In construction /ongoing</t>
        </r>
      </text>
    </comment>
    <comment ref="A5" authorId="0" shapeId="0" xr:uid="{FD63414F-D60A-43A0-9682-F58546F0A46F}">
      <text>
        <r>
          <rPr>
            <b/>
            <sz val="9"/>
            <color indexed="81"/>
            <rFont val="Tahoma"/>
            <family val="2"/>
          </rPr>
          <t>Dan DiZio:</t>
        </r>
        <r>
          <rPr>
            <sz val="9"/>
            <color indexed="81"/>
            <rFont val="Tahoma"/>
            <family val="2"/>
          </rPr>
          <t xml:space="preserve">
Complete</t>
        </r>
      </text>
    </comment>
    <comment ref="A6" authorId="0" shapeId="0" xr:uid="{4D4028EF-29E8-4EC4-9881-379CB19ACB56}">
      <text>
        <r>
          <rPr>
            <b/>
            <sz val="9"/>
            <color indexed="81"/>
            <rFont val="Tahoma"/>
            <family val="2"/>
          </rPr>
          <t>Dan DiZio:</t>
        </r>
        <r>
          <rPr>
            <sz val="9"/>
            <color indexed="81"/>
            <rFont val="Tahoma"/>
            <family val="2"/>
          </rPr>
          <t xml:space="preserve">
Cancelled</t>
        </r>
      </text>
    </comment>
    <comment ref="I12" authorId="0" shapeId="0" xr:uid="{1ED17144-A802-460C-B81A-5B2B8EE16A3F}">
      <text>
        <r>
          <rPr>
            <b/>
            <sz val="9"/>
            <color indexed="81"/>
            <rFont val="Tahoma"/>
            <family val="2"/>
          </rPr>
          <t>Dan DiZio:</t>
        </r>
        <r>
          <rPr>
            <sz val="9"/>
            <color indexed="81"/>
            <rFont val="Tahoma"/>
            <family val="2"/>
          </rPr>
          <t xml:space="preserve">
potentially more depending on availability of funds (per GOS)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Dan DiZio</author>
    <author>tc={F3FF3672-13D6-4D79-B3C5-ADCFAE2FB025}</author>
    <author>tc={78855105-5FFC-44F1-8D42-110C164ADCB6}</author>
    <author>tc={6836ED75-B97E-4499-AABB-D14DBD61913E}</author>
    <author>tc={D2AA43D8-D2C8-432E-8A33-EF4142B36106}</author>
    <author>tc={5E5F89F4-8887-41AA-A09A-42A10BDA3D54}</author>
    <author>tc={818064A7-ECC6-492C-87B9-FF25AED5BAF9}</author>
    <author>tc={807B2810-DB38-4C09-8B93-881BB7A042C4}</author>
    <author>tc={CFA96EDF-3140-46E4-8FC8-D4DD8DC9AC83}</author>
    <author>tc={4D53657C-22C6-4779-A6C1-840BA5A99E13}</author>
    <author>tc={12B17377-FE7F-4836-907D-811070081610}</author>
    <author>tc={7DBF419C-6CAD-48BA-8702-C8299B58DFC3}</author>
    <author>tc={46A2D733-4811-4F10-9BA7-9174973B3932}</author>
    <author>tc={87021575-6BA3-4AE0-8D3F-0F38CCDAC768}</author>
    <author>tc={B15307F7-A096-40B1-BA7B-2845DAC28390}</author>
    <author>tc={4B6974E0-E044-40D0-822F-491CA54372D6}</author>
    <author>tc={28B9B009-D5D7-4294-A55D-F517EA823402}</author>
    <author>tc={E418DB22-0AEF-4C7C-8C63-C17338B98670}</author>
    <author>tc={91F240DB-0CAB-4C36-AF51-D164F1B822D9}</author>
    <author>tc={92135D42-48AD-4E86-9973-0CD467A2E3F7}</author>
    <author>tc={86BDBA93-C34D-408D-A661-091BDD68D0B8}</author>
    <author>tc={34779434-01E6-4FF9-BB93-22444D80D62D}</author>
    <author>tc={16BCCA45-FECC-40CF-8E03-F90E11618B94}</author>
    <author>tc={13F58707-8608-4C18-A0CD-76C1369EE232}</author>
    <author>tc={C4B8A684-884C-42CD-A827-84BB86BF2AAE}</author>
    <author>tc={0E440DD2-7FFC-41AF-BE02-BEBE7A2CFB04}</author>
    <author>tc={A4335206-4A01-45D8-8083-8A50B07FCA58}</author>
    <author>tc={99F263C4-8726-45BF-AD86-24100FDC8EE6}</author>
    <author>tc={9D4F63C4-BCC3-4879-9229-588BA9DC2454}</author>
    <author>tc={993F1805-AA0F-40E0-875E-B89D43F81187}</author>
    <author>tc={71F105DC-4E05-449D-9D65-445A270070CE}</author>
    <author>tc={877381EA-9F70-419E-AE04-1A570199A35F}</author>
    <author>tc={CACF9252-50C2-4A31-BE93-CF52481190BE}</author>
    <author>tc={49DC6BE1-D433-4A18-956F-1A77045DB92E}</author>
    <author>tc={064F655F-73CB-4A3A-A24C-97E21EE45F3D}</author>
    <author>tc={AB5BA4EB-0C5D-4783-8017-5CC26413F7AD}</author>
    <author>tc={7B3DE585-1B4E-47F6-A27D-A9FEA078B747}</author>
    <author>tc={9CCD3A9A-0E64-401E-9AB0-E85C85F25DDC}</author>
    <author>tc={9F649C57-97D0-420A-BB81-37FC4CA18320}</author>
    <author>tc={DCF46BCC-EA16-47B8-9113-6C858FD31F6F}</author>
    <author>tc={B55E4A92-C5EE-4E7F-9DB9-B6E2EB5E8B8C}</author>
    <author>tc={61EBECF1-B9DB-489C-9EA2-7334C2604886}</author>
    <author>tc={2CE7E248-6CE9-4C2A-AC71-7BD8A98C57E0}</author>
    <author>tc={EE8D28ED-54C2-4311-BD1E-608F903D4084}</author>
    <author>tc={DC9E59E9-166A-4F24-81F9-99D41BD4723B}</author>
    <author>tc={889EE921-B676-4981-972C-1CFC61FD1C0A}</author>
    <author>tc={CA6E88B0-2250-4C47-9A94-671F57557E58}</author>
    <author>tc={75FB7197-25F1-4C40-8B43-7C10B0B0EB3E}</author>
    <author>tc={B08F07D3-7EC9-478F-9F5D-E1BC93A58538}</author>
    <author>tc={F77E7306-1A7D-4EC7-ACD2-4F821673A947}</author>
    <author>tc={B74DAF68-E18A-43AD-AEB8-6F473CB3AB97}</author>
    <author>tc={25A93943-AD98-49F1-A9A1-1CB19E268587}</author>
  </authors>
  <commentList>
    <comment ref="A2" authorId="0" shapeId="0" xr:uid="{0DB9720F-1078-4259-8892-6FA06B1EED7D}">
      <text>
        <r>
          <rPr>
            <b/>
            <sz val="9"/>
            <color indexed="81"/>
            <rFont val="Tahoma"/>
            <family val="2"/>
          </rPr>
          <t>Dan DiZio:</t>
        </r>
        <r>
          <rPr>
            <sz val="9"/>
            <color indexed="81"/>
            <rFont val="Tahoma"/>
            <family val="2"/>
          </rPr>
          <t xml:space="preserve">
Idea stage</t>
        </r>
      </text>
    </comment>
    <comment ref="A3" authorId="0" shapeId="0" xr:uid="{00FED2E5-0766-46F4-B930-ABDDD2E434BD}">
      <text>
        <r>
          <rPr>
            <b/>
            <sz val="9"/>
            <color indexed="81"/>
            <rFont val="Tahoma"/>
            <family val="2"/>
          </rPr>
          <t>Dan DiZio:</t>
        </r>
        <r>
          <rPr>
            <sz val="9"/>
            <color indexed="81"/>
            <rFont val="Tahoma"/>
            <family val="2"/>
          </rPr>
          <t xml:space="preserve">
Capital request submitted and approved</t>
        </r>
      </text>
    </comment>
    <comment ref="A4" authorId="0" shapeId="0" xr:uid="{6EDC0214-47C3-48B3-ABFD-25FD6B2D6101}">
      <text>
        <r>
          <rPr>
            <b/>
            <sz val="9"/>
            <color indexed="81"/>
            <rFont val="Tahoma"/>
            <family val="2"/>
          </rPr>
          <t>Dan DiZio:</t>
        </r>
        <r>
          <rPr>
            <sz val="9"/>
            <color indexed="81"/>
            <rFont val="Tahoma"/>
            <family val="2"/>
          </rPr>
          <t xml:space="preserve">
In construction /ongoing</t>
        </r>
      </text>
    </comment>
    <comment ref="A5" authorId="0" shapeId="0" xr:uid="{801B667B-7BF2-4CA6-906C-A42D0BBA0DAC}">
      <text>
        <r>
          <rPr>
            <b/>
            <sz val="9"/>
            <color indexed="81"/>
            <rFont val="Tahoma"/>
            <family val="2"/>
          </rPr>
          <t>Dan DiZio:</t>
        </r>
        <r>
          <rPr>
            <sz val="9"/>
            <color indexed="81"/>
            <rFont val="Tahoma"/>
            <family val="2"/>
          </rPr>
          <t xml:space="preserve">
Complete</t>
        </r>
      </text>
    </comment>
    <comment ref="A6" authorId="0" shapeId="0" xr:uid="{417B6E51-3ADD-4414-A343-935093398CA3}">
      <text>
        <r>
          <rPr>
            <b/>
            <sz val="9"/>
            <color indexed="81"/>
            <rFont val="Tahoma"/>
            <family val="2"/>
          </rPr>
          <t>Dan DiZio:</t>
        </r>
        <r>
          <rPr>
            <sz val="9"/>
            <color indexed="81"/>
            <rFont val="Tahoma"/>
            <family val="2"/>
          </rPr>
          <t xml:space="preserve">
Cancelled</t>
        </r>
      </text>
    </comment>
    <comment ref="I12" authorId="1" shapeId="0" xr:uid="{F3FF3672-13D6-4D79-B3C5-ADCFAE2FB025}">
      <text>
        <t>[Threaded comment]
Your version of Excel allows you to read this threaded comment; however, any edits to it will get removed if the file is opened in a newer version of Excel. Learn more: https://go.microsoft.com/fwlink/?linkid=870924
Comment:
    70K per year 10.70 per tgal
Reply:
    1.2 cents per gallon water</t>
      </text>
    </comment>
    <comment ref="A15" authorId="2" shapeId="0" xr:uid="{78855105-5FFC-44F1-8D42-110C164ADCB6}">
      <text>
        <t>[Threaded comment]
Your version of Excel allows you to read this threaded comment; however, any edits to it will get removed if the file is opened in a newer version of Excel. Learn more: https://go.microsoft.com/fwlink/?linkid=870924
Comment:
    Late 2023 survey, 2024 steam trap replacement work (Hayes Mechanical)</t>
      </text>
    </comment>
    <comment ref="K15" authorId="3" shapeId="0" xr:uid="{6836ED75-B97E-4499-AABB-D14DBD61913E}">
      <text>
        <t xml:space="preserve">[Threaded comment]
Your version of Excel allows you to read this threaded comment; however, any edits to it will get removed if the file is opened in a newer version of Excel. Learn more: https://go.microsoft.com/fwlink/?linkid=870924
Comment:
    $38,943.17 total rebate per STR App from North Shore signed in Dec 2024. </t>
      </text>
    </comment>
    <comment ref="K16" authorId="4" shapeId="0" xr:uid="{D2AA43D8-D2C8-432E-8A33-EF4142B36106}">
      <text>
        <t>[Threaded comment]
Your version of Excel allows you to read this threaded comment; however, any edits to it will get removed if the file is opened in a newer version of Excel. Learn more: https://go.microsoft.com/fwlink/?linkid=870924
Comment:
    Reserved $, not issued until invoices provided</t>
      </text>
    </comment>
    <comment ref="N16" authorId="5" shapeId="0" xr:uid="{5E5F89F4-8887-41AA-A09A-42A10BDA3D54}">
      <text>
        <t>[Threaded comment]
Your version of Excel allows you to read this threaded comment; however, any edits to it will get removed if the file is opened in a newer version of Excel. Learn more: https://go.microsoft.com/fwlink/?linkid=870924
Comment:
    2.5 year payback period</t>
      </text>
    </comment>
    <comment ref="K17" authorId="6" shapeId="0" xr:uid="{818064A7-ECC6-492C-87B9-FF25AED5BAF9}">
      <text>
        <t>[Threaded comment]
Your version of Excel allows you to read this threaded comment; however, any edits to it will get removed if the file is opened in a newer version of Excel. Learn more: https://go.microsoft.com/fwlink/?linkid=870924
Comment:
    Cost of audit and execution.
50K went to vendor to reduce cost of work execution</t>
      </text>
    </comment>
    <comment ref="L17" authorId="7" shapeId="0" xr:uid="{807B2810-DB38-4C09-8B93-881BB7A042C4}">
      <text>
        <t>[Threaded comment]
Your version of Excel allows you to read this threaded comment; however, any edits to it will get removed if the file is opened in a newer version of Excel. Learn more: https://go.microsoft.com/fwlink/?linkid=870924
Comment:
    81K capital submittal, using 50K from rebate to pay vendor</t>
      </text>
    </comment>
    <comment ref="A19" authorId="8" shapeId="0" xr:uid="{CFA96EDF-3140-46E4-8FC8-D4DD8DC9AC83}">
      <text>
        <t>[Threaded comment]
Your version of Excel allows you to read this threaded comment; however, any edits to it will get removed if the file is opened in a newer version of Excel. Learn more: https://go.microsoft.com/fwlink/?linkid=870924
Comment:
    5-15 hp agitators, don’t need to be on 24/7. if we turn them off for a period of time can get similar mixing results (1 hour at a time). Program in DCS (deltaV) so instead of on all the time they turn on and off and power cycle and save 90K per year.
Reply:
    Oct 1 2024 install</t>
      </text>
    </comment>
    <comment ref="J19" authorId="9" shapeId="0" xr:uid="{4D53657C-22C6-4779-A6C1-840BA5A99E13}">
      <text>
        <t>[Threaded comment]
Your version of Excel allows you to read this threaded comment; however, any edits to it will get removed if the file is opened in a newer version of Excel. Learn more: https://go.microsoft.com/fwlink/?linkid=870924
Comment:
    400,000 kWh savings from Jan through June</t>
      </text>
    </comment>
    <comment ref="A20" authorId="10" shapeId="0" xr:uid="{12B17377-FE7F-4836-907D-811070081610}">
      <text>
        <t>[Threaded comment]
Your version of Excel allows you to read this threaded comment; however, any edits to it will get removed if the file is opened in a newer version of Excel. Learn more: https://go.microsoft.com/fwlink/?linkid=870924
Comment:
    Finishing up in September outage</t>
      </text>
    </comment>
    <comment ref="F20" authorId="0" shapeId="0" xr:uid="{F6D38FE6-C5EF-4A79-B583-3A2FD6B900BD}">
      <text>
        <r>
          <rPr>
            <b/>
            <sz val="9"/>
            <color indexed="81"/>
            <rFont val="Tahoma"/>
            <family val="2"/>
          </rPr>
          <t>Dan DiZio:</t>
        </r>
        <r>
          <rPr>
            <sz val="9"/>
            <color indexed="81"/>
            <rFont val="Tahoma"/>
            <family val="2"/>
          </rPr>
          <t xml:space="preserve">
5.3 MM lb CO2 per energy report
9/25 - adjusted from 2,000 to 1,000 MT CO2e (conservative est)</t>
        </r>
      </text>
    </comment>
    <comment ref="G20" authorId="0" shapeId="0" xr:uid="{788674F5-5250-4620-B5FF-8710126FDD2F}">
      <text>
        <r>
          <rPr>
            <b/>
            <sz val="9"/>
            <color indexed="81"/>
            <rFont val="Tahoma"/>
            <family val="2"/>
          </rPr>
          <t>Dan DiZio:</t>
        </r>
        <r>
          <rPr>
            <sz val="9"/>
            <color indexed="81"/>
            <rFont val="Tahoma"/>
            <family val="2"/>
          </rPr>
          <t xml:space="preserve">
5.3 MM lb CO2 per energy report
9/25 - adjusted from 2,000 to 1,000 MT CO2e (conservative est)</t>
        </r>
      </text>
    </comment>
    <comment ref="M20" authorId="11" shapeId="0" xr:uid="{7DBF419C-6CAD-48BA-8702-C8299B58DFC3}">
      <text>
        <t>[Threaded comment]
Your version of Excel allows you to read this threaded comment; however, any edits to it will get removed if the file is opened in a newer version of Excel. Learn more: https://go.microsoft.com/fwlink/?linkid=870924
Comment:
    81 locations in the plant</t>
      </text>
    </comment>
    <comment ref="H21" authorId="12" shapeId="0" xr:uid="{46A2D733-4811-4F10-9BA7-9174973B3932}">
      <text>
        <t>[Threaded comment]
Your version of Excel allows you to read this threaded comment; however, any edits to it will get removed if the file is opened in a newer version of Excel. Learn more: https://go.microsoft.com/fwlink/?linkid=870924
Comment:
    Emission Factor = 720 kg CO2e/MWh
0.72 t CO2e/MWh x 55 MWh = 40 tons CO2e</t>
      </text>
    </comment>
    <comment ref="J21" authorId="13" shapeId="0" xr:uid="{87021575-6BA3-4AE0-8D3F-0F38CCDAC768}">
      <text>
        <t>[Threaded comment]
Your version of Excel allows you to read this threaded comment; however, any edits to it will get removed if the file is opened in a newer version of Excel. Learn more: https://go.microsoft.com/fwlink/?linkid=870924
Comment:
    From Nico Hackel (Leuna site)</t>
      </text>
    </comment>
    <comment ref="A22" authorId="14" shapeId="0" xr:uid="{B15307F7-A096-40B1-BA7B-2845DAC28390}">
      <text>
        <t>[Threaded comment]
Your version of Excel allows you to read this threaded comment; however, any edits to it will get removed if the file is opened in a newer version of Excel. Learn more: https://go.microsoft.com/fwlink/?linkid=870924
Comment:
    Price per ton of steam is 43.24 EUR</t>
      </text>
    </comment>
    <comment ref="H22" authorId="15" shapeId="0" xr:uid="{4B6974E0-E044-40D0-822F-491CA54372D6}">
      <text>
        <t>[Threaded comment]
Your version of Excel allows you to read this threaded comment; however, any edits to it will get removed if the file is opened in a newer version of Excel. Learn more: https://go.microsoft.com/fwlink/?linkid=870924
Comment:
    EF per DEFRA
CO2 = 177.91 g/kwh
CH4 = 1.21644 g/kwh
N2O = 0.53235 g/kwh
Reply:
    871 MWh steam x 0.178 t/MWh = 155 t CO2e</t>
      </text>
    </comment>
    <comment ref="J22" authorId="16" shapeId="0" xr:uid="{28B9B009-D5D7-4294-A55D-F517EA823402}">
      <text>
        <t>[Threaded comment]
Your version of Excel allows you to read this threaded comment; however, any edits to it will get removed if the file is opened in a newer version of Excel. Learn more: https://go.microsoft.com/fwlink/?linkid=870924
Comment:
    1,122 t steam = 871 MWh
(2792.9 kJ/kg
1 kJ = 2.78 x 10^-7 MWh)</t>
      </text>
    </comment>
    <comment ref="L22" authorId="17" shapeId="0" xr:uid="{E418DB22-0AEF-4C7C-8C63-C17338B98670}">
      <text>
        <t>[Threaded comment]
Your version of Excel allows you to read this threaded comment; however, any edits to it will get removed if the file is opened in a newer version of Excel. Learn more: https://go.microsoft.com/fwlink/?linkid=870924
Comment:
    Convert EUR to USD</t>
      </text>
    </comment>
    <comment ref="M22" authorId="18" shapeId="0" xr:uid="{91F240DB-0CAB-4C36-AF51-D164F1B822D9}">
      <text>
        <t>[Threaded comment]
Your version of Excel allows you to read this threaded comment; however, any edits to it will get removed if the file is opened in a newer version of Excel. Learn more: https://go.microsoft.com/fwlink/?linkid=870924
Comment:
    Convert EUR to USD
Reply:
    R341-R346 = 46,015 Euro</t>
      </text>
    </comment>
    <comment ref="F23" authorId="19" shapeId="0" xr:uid="{92135D42-48AD-4E86-9973-0CD467A2E3F7}">
      <text>
        <t>[Threaded comment]
Your version of Excel allows you to read this threaded comment; however, any edits to it will get removed if the file is opened in a newer version of Excel. Learn more: https://go.microsoft.com/fwlink/?linkid=870924
Comment:
    Not an absolute reduction in 2024+ as the project will be an avoidance of 1058 MT CO2e that, if not done, would yield that amount (additional).</t>
      </text>
    </comment>
    <comment ref="K23" authorId="0" shapeId="0" xr:uid="{D94B4C2A-9E25-48E7-9A53-5CBAA89D46C2}">
      <text>
        <r>
          <rPr>
            <b/>
            <sz val="9"/>
            <color indexed="81"/>
            <rFont val="Tahoma"/>
            <family val="2"/>
          </rPr>
          <t>Dan DiZio:</t>
        </r>
        <r>
          <rPr>
            <sz val="9"/>
            <color indexed="81"/>
            <rFont val="Tahoma"/>
            <family val="2"/>
          </rPr>
          <t xml:space="preserve">
potentially more depending on availability of funds (per GOS)</t>
        </r>
      </text>
    </comment>
    <comment ref="A27" authorId="20" shapeId="0" xr:uid="{86BDBA93-C34D-408D-A661-091BDD68D0B8}">
      <text>
        <t>[Threaded comment]
Your version of Excel allows you to read this threaded comment; however, any edits to it will get removed if the file is opened in a newer version of Excel. Learn more: https://go.microsoft.com/fwlink/?linkid=870924
Comment:
    Reduce maintenance and less water usage by removing scale etc
Reply:
    20 gpm savings</t>
      </text>
    </comment>
    <comment ref="A30" authorId="21" shapeId="0" xr:uid="{34779434-01E6-4FF9-BB93-22444D80D62D}">
      <text>
        <t xml:space="preserve">[Threaded comment]
Your version of Excel allows you to read this threaded comment; however, any edits to it will get removed if the file is opened in a newer version of Excel. Learn more: https://go.microsoft.com/fwlink/?linkid=870924
Comment:
    Running dry frac crystallizers more efficiently. Don’t need all crystallizers running at all times. Turn them off at lower feed rates. Lowering the VFD set points during different recipe steps. When filling crystallizer with fluid we don’t need. 
Reply:
    The scrapers running on inside of crystallizers were running at 60%. We found that we could run from 60 to 35% for ⅓ of the time. $10K in electrical savings. 
1. Lowering VFD set point
2. Running at slower rates we don’t need to run all the crystallizers. Always have at least 1 down.
</t>
      </text>
    </comment>
    <comment ref="A31" authorId="22" shapeId="0" xr:uid="{16BCCA45-FECC-40CF-8E03-F90E11618B94}">
      <text>
        <t>[Threaded comment]
Your version of Excel allows you to read this threaded comment; however, any edits to it will get removed if the file is opened in a newer version of Excel. Learn more: https://go.microsoft.com/fwlink/?linkid=870924
Comment:
    Piping off chillers/dry frac. Piping is not insulated and coming out of chillers at 31 deg fahrenheit...by insulating we could save kWh.
Rebate possibility...can we get a rebate? Pending with Graphet.</t>
      </text>
    </comment>
    <comment ref="M32" authorId="23" shapeId="0" xr:uid="{13F58707-8608-4C18-A0CD-76C1369EE232}">
      <text>
        <t>[Threaded comment]
Your version of Excel allows you to read this threaded comment; however, any edits to it will get removed if the file is opened in a newer version of Excel. Learn more: https://go.microsoft.com/fwlink/?linkid=870924
Comment:
    Tie to cost of water at the site</t>
      </text>
    </comment>
    <comment ref="A33" authorId="24" shapeId="0" xr:uid="{C4B8A684-884C-42CD-A827-84BB86BF2AAE}">
      <text>
        <t>[Threaded comment]
Your version of Excel allows you to read this threaded comment; however, any edits to it will get removed if the file is opened in a newer version of Excel. Learn more: https://go.microsoft.com/fwlink/?linkid=870924
Comment:
    Per Alberto note on 8/8/25</t>
      </text>
    </comment>
    <comment ref="F33" authorId="25" shapeId="0" xr:uid="{0E440DD2-7FFC-41AF-BE02-BEBE7A2CFB04}">
      <text>
        <t>[Threaded comment]
Your version of Excel allows you to read this threaded comment; however, any edits to it will get removed if the file is opened in a newer version of Excel. Learn more: https://go.microsoft.com/fwlink/?linkid=870924
Comment:
    311 kg/MWh per IEA, multiplied by MWh savings</t>
      </text>
    </comment>
    <comment ref="H33" authorId="26" shapeId="0" xr:uid="{A4335206-4A01-45D8-8083-8A50B07FCA58}">
      <text>
        <t>[Threaded comment]
Your version of Excel allows you to read this threaded comment; however, any edits to it will get removed if the file is opened in a newer version of Excel. Learn more: https://go.microsoft.com/fwlink/?linkid=870924
Comment:
    311 kg/MWh per IEA, multiplied by MWh savings</t>
      </text>
    </comment>
    <comment ref="F34" authorId="27" shapeId="0" xr:uid="{99F263C4-8726-45BF-AD86-24100FDC8EE6}">
      <text>
        <t>[Threaded comment]
Your version of Excel allows you to read this threaded comment; however, any edits to it will get removed if the file is opened in a newer version of Excel. Learn more: https://go.microsoft.com/fwlink/?linkid=870924
Comment:
    Market based EF = 0.415 metric tons per Mwh in 2024</t>
      </text>
    </comment>
    <comment ref="H34" authorId="28" shapeId="0" xr:uid="{9D4F63C4-BCC3-4879-9229-588BA9DC2454}">
      <text>
        <t>[Threaded comment]
Your version of Excel allows you to read this threaded comment; however, any edits to it will get removed if the file is opened in a newer version of Excel. Learn more: https://go.microsoft.com/fwlink/?linkid=870924
Comment:
    Market based EF = 0.415 metric tons per Mwh in 2024</t>
      </text>
    </comment>
    <comment ref="A36" authorId="29" shapeId="0" xr:uid="{993F1805-AA0F-40E0-875E-B89D43F81187}">
      <text>
        <t>[Threaded comment]
Your version of Excel allows you to read this threaded comment; however, any edits to it will get removed if the file is opened in a newer version of Excel. Learn more: https://go.microsoft.com/fwlink/?linkid=870924
Comment:
    Expansion of taurate capacity. By expanding the N-Methyl Taurine capacity and investing in the newest technology, it will also improve energy efficiency by reducing steam consumption by approximately 40% annually, which equals approximately 1,000 MT CO2e per year.
Reply:
    Economizer project</t>
      </text>
    </comment>
    <comment ref="F36" authorId="30" shapeId="0" xr:uid="{71F105DC-4E05-449D-9D65-445A270070CE}">
      <text>
        <t>[Threaded comment]
Your version of Excel allows you to read this threaded comment; however, any edits to it will get removed if the file is opened in a newer version of Excel. Learn more: https://go.microsoft.com/fwlink/?linkid=870924
Comment:
    CO2 MB EF per European Residual Mix 2022 = 684.03 g/kWh
Reply:
    Ajdusted from 1,368 mt co2e to 1,000 (conservative est)</t>
      </text>
    </comment>
    <comment ref="H36" authorId="31" shapeId="0" xr:uid="{877381EA-9F70-419E-AE04-1A570199A35F}">
      <text>
        <t>[Threaded comment]
Your version of Excel allows you to read this threaded comment; however, any edits to it will get removed if the file is opened in a newer version of Excel. Learn more: https://go.microsoft.com/fwlink/?linkid=870924
Comment:
    CO2 MB EF per European Residual Mix 2022 = 684.03 g/kWh
Reply:
    Ajdusted from 1,368 mt co2e to 1,000 (conservative est)</t>
      </text>
    </comment>
    <comment ref="J36" authorId="32" shapeId="0" xr:uid="{CACF9252-50C2-4A31-BE93-CF52481190BE}">
      <text>
        <t>[Threaded comment]
Your version of Excel allows you to read this threaded comment; however, any edits to it will get removed if the file is opened in a newer version of Excel. Learn more: https://go.microsoft.com/fwlink/?linkid=870924
Comment:
    2000/15000 MWh = approx 13% of total electricity use</t>
      </text>
    </comment>
    <comment ref="M36" authorId="33" shapeId="0" xr:uid="{49DC6BE1-D433-4A18-956F-1A77045DB92E}">
      <text>
        <t>[Threaded comment]
Your version of Excel allows you to read this threaded comment; however, any edits to it will get removed if the file is opened in a newer version of Excel. Learn more: https://go.microsoft.com/fwlink/?linkid=870924
Comment:
    0.3 MM EURO opex savings per presentation from site. This is approx 353,000 USD</t>
      </text>
    </comment>
    <comment ref="F37" authorId="34" shapeId="0" xr:uid="{064F655F-73CB-4A3A-A24C-97E21EE45F3D}">
      <text>
        <t>[Threaded comment]
Your version of Excel allows you to read this threaded comment; however, any edits to it will get removed if the file is opened in a newer version of Excel. Learn more: https://go.microsoft.com/fwlink/?linkid=870924
Comment:
    Project not submitted and therefore won’t happen in 2025</t>
      </text>
    </comment>
    <comment ref="H37" authorId="35" shapeId="0" xr:uid="{AB5BA4EB-0C5D-4783-8017-5CC26413F7AD}">
      <text>
        <t>[Threaded comment]
Your version of Excel allows you to read this threaded comment; however, any edits to it will get removed if the file is opened in a newer version of Excel. Learn more: https://go.microsoft.com/fwlink/?linkid=870924
Comment:
    Project not submitted and therefore won’t happen in 2025</t>
      </text>
    </comment>
    <comment ref="J37" authorId="0" shapeId="0" xr:uid="{AC7EB434-879D-4D04-9405-129E3824916A}">
      <text>
        <r>
          <rPr>
            <b/>
            <sz val="9"/>
            <color indexed="81"/>
            <rFont val="Tahoma"/>
            <family val="2"/>
          </rPr>
          <t>Dan DiZio:</t>
        </r>
        <r>
          <rPr>
            <sz val="9"/>
            <color indexed="81"/>
            <rFont val="Tahoma"/>
            <family val="2"/>
          </rPr>
          <t xml:space="preserve">
Eventually savings closer to 400 MWh as the sites adjust to the drip irrigation (starting with a hybrid watering program)</t>
        </r>
      </text>
    </comment>
    <comment ref="M37" authorId="0" shapeId="0" xr:uid="{91767159-7D32-4D11-B1BE-7D39BEBF790E}">
      <text>
        <r>
          <rPr>
            <b/>
            <sz val="9"/>
            <color indexed="81"/>
            <rFont val="Tahoma"/>
            <family val="2"/>
          </rPr>
          <t>Dan DiZio:</t>
        </r>
        <r>
          <rPr>
            <sz val="9"/>
            <color indexed="81"/>
            <rFont val="Tahoma"/>
            <family val="2"/>
          </rPr>
          <t xml:space="preserve">
$0.13/kWh cost for electricity in 2023
Now, closer to $0.10/kWh</t>
        </r>
      </text>
    </comment>
    <comment ref="A43" authorId="36" shapeId="0" xr:uid="{7B3DE585-1B4E-47F6-A27D-A9FEA078B747}">
      <text>
        <t>[Threaded comment]
Your version of Excel allows you to read this threaded comment; however, any edits to it will get removed if the file is opened in a newer version of Excel. Learn more: https://go.microsoft.com/fwlink/?linkid=870924
Comment:
    It recirculates water to spray down odor collection, if it gets too hot it doesn’t scrub anything from the system. Manual valve to add more water and it was being used all the time. NOW it’s only opened 1 hour per day. 17 gpm for 23 hours per day.
8.5 MM gallons water saved.</t>
      </text>
    </comment>
    <comment ref="A44" authorId="37" shapeId="0" xr:uid="{9CCD3A9A-0E64-401E-9AB0-E85C85F25DDC}">
      <text>
        <t xml:space="preserve">[Threaded comment]
Your version of Excel allows you to read this threaded comment; however, any edits to it will get removed if the file is opened in a newer version of Excel. Learn more: https://go.microsoft.com/fwlink/?linkid=870924
Comment:
    Every time they switch filters, they drop into a spent catalyst bag. The fewer times we do that, the less waste.
Reply:
    Able to lower IV to CONTI and therefore able to use less. Also following procedure.
Reply:
    They were switching filters every 12 hours, now it’s as needed. Extended times from 12 hour frequency, now it’s every 23 hours.
Reply:
    $65K per year in nitrogen savings. PLUS catalyst purchase and disposal </t>
      </text>
    </comment>
    <comment ref="A47" authorId="38" shapeId="0" xr:uid="{9F649C57-97D0-420A-BB81-37FC4CA18320}">
      <text>
        <t>[Threaded comment]
Your version of Excel allows you to read this threaded comment; however, any edits to it will get removed if the file is opened in a newer version of Excel. Learn more: https://go.microsoft.com/fwlink/?linkid=870924
Comment:
    Instead of trucking it in we’d have our own</t>
      </text>
    </comment>
    <comment ref="A48" authorId="39" shapeId="0" xr:uid="{DCF46BCC-EA16-47B8-9113-6C858FD31F6F}">
      <text>
        <t>[Threaded comment]
Your version of Excel allows you to read this threaded comment; however, any edits to it will get removed if the file is opened in a newer version of Excel. Learn more: https://go.microsoft.com/fwlink/?linkid=870924
Comment:
    Deaerator replacement and replace tank</t>
      </text>
    </comment>
    <comment ref="I57" authorId="40" shapeId="0" xr:uid="{B55E4A92-C5EE-4E7F-9DB9-B6E2EB5E8B8C}">
      <text>
        <t>[Threaded comment]
Your version of Excel allows you to read this threaded comment; however, any edits to it will get removed if the file is opened in a newer version of Excel. Learn more: https://go.microsoft.com/fwlink/?linkid=870924
Comment:
    711 ML estimated</t>
      </text>
    </comment>
    <comment ref="I58" authorId="41" shapeId="0" xr:uid="{61EBECF1-B9DB-489C-9EA2-7334C2604886}">
      <text>
        <t>[Threaded comment]
Your version of Excel allows you to read this threaded comment; however, any edits to it will get removed if the file is opened in a newer version of Excel. Learn more: https://go.microsoft.com/fwlink/?linkid=870924
Comment:
    711 ML estimated</t>
      </text>
    </comment>
    <comment ref="H59" authorId="42" shapeId="0" xr:uid="{2CE7E248-6CE9-4C2A-AC71-7BD8A98C57E0}">
      <text>
        <t xml:space="preserve">[Threaded comment]
Your version of Excel allows you to read this threaded comment; however, any edits to it will get removed if the file is opened in a newer version of Excel. Learn more: https://go.microsoft.com/fwlink/?linkid=870924
Comment:
    EF per DEFRA
CO2 = 177.91 g/kwh
CH4 = 1.21644 g/kwh
N2O = 0.53235 g/kwh
Reply:
    330 MWh steam x 0.178 t/MWh = 59 t CO2e
</t>
      </text>
    </comment>
    <comment ref="J59" authorId="43" shapeId="0" xr:uid="{EE8D28ED-54C2-4311-BD1E-608F903D4084}">
      <text>
        <t>[Threaded comment]
Your version of Excel allows you to read this threaded comment; however, any edits to it will get removed if the file is opened in a newer version of Excel. Learn more: https://go.microsoft.com/fwlink/?linkid=870924
Comment:
    33300 MWh steam consumption in 2024. This project will result in approximate 1% reduction in steam use across the operation. This equals approximately 333 MWh steam</t>
      </text>
    </comment>
    <comment ref="A60" authorId="44" shapeId="0" xr:uid="{DC9E59E9-166A-4F24-81F9-99D41BD4723B}">
      <text>
        <t xml:space="preserve">[Threaded comment]
Your version of Excel allows you to read this threaded comment; however, any edits to it will get removed if the file is opened in a newer version of Excel. Learn more: https://go.microsoft.com/fwlink/?linkid=870924
Comment:
    14000 tons of steam at 23 kT NMT40
Approx 30-35% reduction in steam use across the plant
Steam has a pressure around 15 bar. In this case the steam has an energy value of 2792,9 kJ/ kg. This value in MWh (1 kJ =2,78*10^-7 MWh)
Reply:
    Unused condensate. 2000 tons steam savings per year. </t>
      </text>
    </comment>
    <comment ref="F60" authorId="45" shapeId="0" xr:uid="{889EE921-B676-4981-972C-1CFC61FD1C0A}">
      <text>
        <t>[Threaded comment]
Your version of Excel allows you to read this threaded comment; however, any edits to it will get removed if the file is opened in a newer version of Excel. Learn more: https://go.microsoft.com/fwlink/?linkid=870924
Comment:
    EF per DEFRA
CO2 = 177.91 g/kwh
CH4 = 1.21644 g/kwh
N2O = 0.53235 g/kwh
Reply:
    1,951 to 1,500 conservative</t>
      </text>
    </comment>
    <comment ref="H60" authorId="46" shapeId="0" xr:uid="{CA6E88B0-2250-4C47-9A94-671F57557E58}">
      <text>
        <t xml:space="preserve">[Threaded comment]
Your version of Excel allows you to read this threaded comment; however, any edits to it will get removed if the file is opened in a newer version of Excel. Learn more: https://go.microsoft.com/fwlink/?linkid=870924
Comment:
    EF per DEFRA
CO2 = 177.91 g/kwh
CH4 = 1.21644 g/kwh
N2O = 0.53235 g/kwh
Reply:
    0.178 t co2e x 1,552 = 276 t co2e
</t>
      </text>
    </comment>
    <comment ref="J60" authorId="47" shapeId="0" xr:uid="{75FB7197-25F1-4C40-8B43-7C10B0B0EB3E}">
      <text>
        <t>[Threaded comment]
Your version of Excel allows you to read this threaded comment; however, any edits to it will get removed if the file is opened in a newer version of Excel. Learn more: https://go.microsoft.com/fwlink/?linkid=870924
Comment:
    2000 t steam = 1,552 MWh steam</t>
      </text>
    </comment>
    <comment ref="G61" authorId="48" shapeId="0" xr:uid="{B08F07D3-7EC9-478F-9F5D-E1BC93A58538}">
      <text>
        <t>[Threaded comment]
Your version of Excel allows you to read this threaded comment; however, any edits to it will get removed if the file is opened in a newer version of Excel. Learn more: https://go.microsoft.com/fwlink/?linkid=870924
Comment:
    53.06 kg/MMBTU * 8,478 MMBTU = 450 t CO2e</t>
      </text>
    </comment>
    <comment ref="J61" authorId="49" shapeId="0" xr:uid="{F77E7306-1A7D-4EC7-ACD2-4F821673A947}">
      <text>
        <t>[Threaded comment]
Your version of Excel allows you to read this threaded comment; however, any edits to it will get removed if the file is opened in a newer version of Excel. Learn more: https://go.microsoft.com/fwlink/?linkid=870924
Comment:
    8,478 MMBtu = 2,483 MWh (natural gas)</t>
      </text>
    </comment>
    <comment ref="G62" authorId="50" shapeId="0" xr:uid="{B74DAF68-E18A-43AD-AEB8-6F473CB3AB97}">
      <text>
        <t>[Threaded comment]
Your version of Excel allows you to read this threaded comment; however, any edits to it will get removed if the file is opened in a newer version of Excel. Learn more: https://go.microsoft.com/fwlink/?linkid=870924
Comment:
    53.06 kg/MMBTU * 3,260 MMBTU = 173 t CO2e</t>
      </text>
    </comment>
    <comment ref="M62" authorId="51" shapeId="0" xr:uid="{25A93943-AD98-49F1-A9A1-1CB19E268587}">
      <text>
        <t xml:space="preserve">[Threaded comment]
Your version of Excel allows you to read this threaded comment; however, any edits to it will get removed if the file is opened in a newer version of Excel. Learn more: https://go.microsoft.com/fwlink/?linkid=870924
Comment:
    32,595 therm savings
Approx 45 cents per therm
$14,668/yr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tc={0EE05B27-0280-46F0-8287-81B1A2B8011E}</author>
    <author>tc={9EAAA07F-7E94-44F2-9605-8565035CC197}</author>
    <author>tc={8C108754-E58B-4E49-9C37-4DC89381010F}</author>
    <author>tc={226D3BEC-571E-4348-8092-73EB203E1DE5}</author>
  </authors>
  <commentList>
    <comment ref="L9" authorId="0" shapeId="0" xr:uid="{0EE05B27-0280-46F0-8287-81B1A2B8011E}">
      <text>
        <t>[Threaded comment]
Your version of Excel allows you to read this threaded comment; however, any edits to it will get removed if the file is opened in a newer version of Excel. Learn more: https://go.microsoft.com/fwlink/?linkid=870924
Comment:
    20% of water consumed in process - Kai Slaasted</t>
      </text>
    </comment>
    <comment ref="L15" authorId="1" shapeId="0" xr:uid="{9EAAA07F-7E94-44F2-9605-8565035CC197}">
      <text>
        <t>[Threaded comment]
Your version of Excel allows you to read this threaded comment; however, any edits to it will get removed if the file is opened in a newer version of Excel. Learn more: https://go.microsoft.com/fwlink/?linkid=870924
Comment:
    Discharge to NSWD + FRAC Tanks</t>
      </text>
    </comment>
    <comment ref="I17" authorId="2" shapeId="0" xr:uid="{8C108754-E58B-4E49-9C37-4DC89381010F}">
      <text>
        <t>[Threaded comment]
Your version of Excel allows you to read this threaded comment; however, any edits to it will get removed if the file is opened in a newer version of Excel. Learn more: https://go.microsoft.com/fwlink/?linkid=870924
Comment:
    Water used as a result of  steam condensation (used for production/cleaning)</t>
      </text>
    </comment>
    <comment ref="L26" authorId="3" shapeId="0" xr:uid="{226D3BEC-571E-4348-8092-73EB203E1DE5}">
      <text>
        <t>[Threaded comment]
Your version of Excel allows you to read this threaded comment; however, any edits to it will get removed if the file is opened in a newer version of Excel. Learn more: https://go.microsoft.com/fwlink/?linkid=870924
Comment:
    70% goes down drain (Amber S)</t>
      </text>
    </comment>
  </commentList>
</comments>
</file>

<file path=xl/sharedStrings.xml><?xml version="1.0" encoding="utf-8"?>
<sst xmlns="http://schemas.openxmlformats.org/spreadsheetml/2006/main" count="1551" uniqueCount="690">
  <si>
    <t>CDP Question Follow Up Tracking</t>
  </si>
  <si>
    <t>Question #</t>
  </si>
  <si>
    <t>Question Content</t>
  </si>
  <si>
    <t>Dept Owner</t>
  </si>
  <si>
    <t>% of revenue dependent on soybean oil, tallow, and palm oil</t>
  </si>
  <si>
    <t>Procurement/Finance</t>
  </si>
  <si>
    <t>Why is palm, soybean, cattle significant to our business in terms of revenue?</t>
  </si>
  <si>
    <t>Finance/Strategy</t>
  </si>
  <si>
    <t>Mapping of the value chain</t>
  </si>
  <si>
    <t>Procurement</t>
  </si>
  <si>
    <t>1.24.2</t>
  </si>
  <si>
    <t>Mapping of Tier 1, 2, 3, and 4 suppliers</t>
  </si>
  <si>
    <t>How does organization define short-medium-long-term time horizons in relation to ID, assessment, and management of environmental dependencies, impacts, risks, and opportunities</t>
  </si>
  <si>
    <t>heavy rain and impacts to business (specifically farms) - controller could assist with financial impacts there</t>
  </si>
  <si>
    <t>Does your organization have a process for identifying, assessing, and managing environmental dependencies and/or impacts?</t>
  </si>
  <si>
    <t>2.2.2</t>
  </si>
  <si>
    <t>Provide details of your organization’s process for identifying, assessing, and managing environmental dependencies, impacts, risks, and/or opportunities.</t>
  </si>
  <si>
    <t>How does your organization define substantive effects on your organization?</t>
  </si>
  <si>
    <t>Finance/Strategy and/or ESG Steerco</t>
  </si>
  <si>
    <t>2.5.1</t>
  </si>
  <si>
    <t>Describe how your organization minimizes the adverse impacts of potential water pollutants on water ecosystems or human health associated with your activities.</t>
  </si>
  <si>
    <t>EHS and Legal</t>
  </si>
  <si>
    <t>3.1.1</t>
  </si>
  <si>
    <t>Provide details of the environmental risks identified which have had a substantive effect on your organization in the reporting year, or are anticipated to have a substantive effect on your organization in the future.</t>
  </si>
  <si>
    <t>Finance</t>
  </si>
  <si>
    <t>3.1.2</t>
  </si>
  <si>
    <t>Provide the amount and proportion of your financial metrics from the reporting year that are vulnerable to the substantive effects of environmental risks.</t>
  </si>
  <si>
    <t>In the reporting year, was your organization subject to any fines, enforcement orders, and/or other penalties for water-related regulatory violations?</t>
  </si>
  <si>
    <t>3.5.4</t>
  </si>
  <si>
    <t>What is your strategy for complying with the systems you are regulated by or anticipate being regulated by?</t>
  </si>
  <si>
    <t>Finance and/or Legal</t>
  </si>
  <si>
    <t>Does your organization have a board of directors or an equivalent governing body?</t>
  </si>
  <si>
    <t>Legal</t>
  </si>
  <si>
    <t>4.1.2</t>
  </si>
  <si>
    <t>Identify the positions (do not include any names) of the individuals or committees on the board with accountability for environmental issues and provide details of the board’s oversight of environmental issues.</t>
  </si>
  <si>
    <t>Does your organization’s board have competency on environmental issues?</t>
  </si>
  <si>
    <t>Is there management-level responsibility for environmental issues within your organization?</t>
  </si>
  <si>
    <t>4.3.1</t>
  </si>
  <si>
    <t>Provide the highest senior management-level positions or committees with responsibility for environmental issues (do not include the names of individuals).</t>
  </si>
  <si>
    <t>Do you provide monetary incentives for the management of environmental issues, including the attainment of targets? What % of total C-suite board level monetary incentives are linked to the management of this environmental issue?  Climate, Water, Forests</t>
  </si>
  <si>
    <t>Finance and Legal</t>
  </si>
  <si>
    <t>In the reporting year, did your organization engage in activities that could directly or indirectly influence policy, law, or regulation that may (positively or negatively) impact the environment?</t>
  </si>
  <si>
    <t>Have you published information about your organization’s response to environmental issues for this reporting year in places other than your CDP response?</t>
  </si>
  <si>
    <t>Does your organization use scenario analysis to identify environmental outcomes?</t>
  </si>
  <si>
    <t>Have environmental risks and opportunities affected your strategy and/or financial planning?</t>
  </si>
  <si>
    <t>5.3.1</t>
  </si>
  <si>
    <t>Describe where and how environmental risks and opportunities have affected your strategy.</t>
  </si>
  <si>
    <t>In your organization’s financial accounting, do you identify spending/revenue that is aligned with your organization’s climate transition?</t>
  </si>
  <si>
    <t>Does your organization invest in research and development (R&amp;D) of low-carbon products or services related to your sector activities?</t>
  </si>
  <si>
    <t>R&amp;D/Finance</t>
  </si>
  <si>
    <t>5.5.3</t>
  </si>
  <si>
    <t>Provide details of your organization’s investments in low-carbon R&amp;D for chemical production activities over the last three years.</t>
  </si>
  <si>
    <t>What is the trend in your organization’s water-related capital expenditure (CAPEX) and operating expenditure (OPEX) for the reporting year, and the anticipated trend for the next reporting year?</t>
  </si>
  <si>
    <t>What percentage of your total operational spend in the reporting year was on energy?</t>
  </si>
  <si>
    <t>Provide details on your organization's chemical products.
-Production
-Capacity</t>
  </si>
  <si>
    <t>Provide origins of sourced volumes (volume sourced by area)</t>
  </si>
  <si>
    <r>
      <t xml:space="preserve">Data requested for </t>
    </r>
    <r>
      <rPr>
        <b/>
        <sz val="16"/>
        <color theme="1"/>
        <rFont val="Aptos Narrow"/>
        <family val="2"/>
        <scheme val="minor"/>
      </rPr>
      <t>2023</t>
    </r>
    <r>
      <rPr>
        <sz val="16"/>
        <color theme="1"/>
        <rFont val="Aptos Narrow"/>
        <family val="2"/>
        <scheme val="minor"/>
      </rPr>
      <t xml:space="preserve"> (CDP)</t>
    </r>
  </si>
  <si>
    <t>Section</t>
  </si>
  <si>
    <t>Type of Feedback Requested</t>
  </si>
  <si>
    <t>Parent Question</t>
  </si>
  <si>
    <t>Answer</t>
  </si>
  <si>
    <t>Answer Needed</t>
  </si>
  <si>
    <t>Does your organization have an ISIN code or another unique identifier (e.g., Ticker, CUSIP, etc.)?</t>
  </si>
  <si>
    <r>
      <t xml:space="preserve">DUNS #:
</t>
    </r>
    <r>
      <rPr>
        <i/>
        <sz val="11"/>
        <color theme="1"/>
        <rFont val="Aptos Narrow"/>
        <family val="2"/>
        <scheme val="minor"/>
      </rPr>
      <t>OR</t>
    </r>
    <r>
      <rPr>
        <sz val="11"/>
        <color theme="1"/>
        <rFont val="Aptos Narrow"/>
        <family val="2"/>
        <scheme val="minor"/>
      </rPr>
      <t xml:space="preserve">
LEI #:</t>
    </r>
  </si>
  <si>
    <t>What percentage of our final revenue does tallow, palm oil, and soybean oil provide?</t>
  </si>
  <si>
    <t>Palm:
Cattle/Tallow:
Soy:</t>
  </si>
  <si>
    <t>Briefly describe how you determine whether an agricultural commodity is significant to your organization in terms of revenue, as reported in column 15 “Is this commodity considered significant to your business in terms of revenue?”. Include any thresholds and additional indicators beyond revenue.</t>
  </si>
  <si>
    <t>Review Needed</t>
  </si>
  <si>
    <r>
      <rPr>
        <b/>
        <sz val="11"/>
        <color theme="1"/>
        <rFont val="Aptos Narrow"/>
        <family val="2"/>
        <scheme val="minor"/>
      </rPr>
      <t>short term</t>
    </r>
    <r>
      <rPr>
        <sz val="11"/>
        <color theme="1"/>
        <rFont val="Aptos Narrow"/>
        <family val="2"/>
        <scheme val="minor"/>
      </rPr>
      <t xml:space="preserve">: The 0-1 year timeframe aligns with the Company's capital expenditure process and financial planning analysis horizons.
</t>
    </r>
    <r>
      <rPr>
        <b/>
        <sz val="11"/>
        <color theme="1"/>
        <rFont val="Aptos Narrow"/>
        <family val="2"/>
        <scheme val="minor"/>
      </rPr>
      <t>medium term</t>
    </r>
    <r>
      <rPr>
        <sz val="11"/>
        <color theme="1"/>
        <rFont val="Aptos Narrow"/>
        <family val="2"/>
        <scheme val="minor"/>
      </rPr>
      <t xml:space="preserve">: This 1-3 year timeframe aligns with longer-term planning for larger, more complex capital expenditures as they relate to maintaining and continuously improving our operations to meet the growing needs of our customers.
</t>
    </r>
    <r>
      <rPr>
        <b/>
        <sz val="11"/>
        <color theme="1"/>
        <rFont val="Aptos Narrow"/>
        <family val="2"/>
        <scheme val="minor"/>
      </rPr>
      <t>long term</t>
    </r>
    <r>
      <rPr>
        <sz val="11"/>
        <color theme="1"/>
        <rFont val="Aptos Narrow"/>
        <family val="2"/>
        <scheme val="minor"/>
      </rPr>
      <t>:This 3-5 year timeframe aligns with longest-term planning as it relates to the strategic vision for the Company. Understanding the growing needs of the marketplace and the adjustments/refinements that need to be made in order to safely and sustainably reach new geographies and customers are crucial to grow the business.</t>
    </r>
  </si>
  <si>
    <r>
      <rPr>
        <b/>
        <sz val="11"/>
        <color theme="1"/>
        <rFont val="Aptos Narrow"/>
        <family val="2"/>
        <scheme val="minor"/>
      </rPr>
      <t>Risks</t>
    </r>
    <r>
      <rPr>
        <sz val="11"/>
        <color theme="1"/>
        <rFont val="Aptos Narrow"/>
        <family val="2"/>
        <scheme val="minor"/>
      </rPr>
      <t xml:space="preserve">: Vantage has a climate-specific risk assessment process used to evaluate substantive financial, strategic and operational impacts to the business. The risk assessment process addresses the following areas: 1. Actual or potential operational impact (production capacity, raw material supply, process failure) leading to: - The inability to provide customer service and meet expectations, or - Noncompliance with laws, regulations, policies and procedures 2. Actual or potential impact to Vantage’s reputation and license to operate. 3. Potential or actual loss impacting earnings before interest, taxes, depreciation, and amortization (EBIDTA) in any 12-month period. 4. Actual or potential impact arising from inability to meet changing customer and consumer preferences and demands. Vantage defines substantive financial impact as an impact that exceeds 5% of EBIDTA. A substantive strategic risk is a negative impact on company reputation or the inability or failure to implement a strategic priority.
</t>
    </r>
    <r>
      <rPr>
        <b/>
        <sz val="11"/>
        <color theme="1"/>
        <rFont val="Aptos Narrow"/>
        <family val="2"/>
        <scheme val="minor"/>
      </rPr>
      <t>Opportunities</t>
    </r>
    <r>
      <rPr>
        <sz val="11"/>
        <color theme="1"/>
        <rFont val="Aptos Narrow"/>
        <family val="2"/>
        <scheme val="minor"/>
      </rPr>
      <t>: Vantage has a climate-specific risk assessment process used to evaluate substantive financial, strategic and operational impacts to the business. The risk assessment process addresses the following areas: 1. Actual or potential operational impact (production capacity, raw material supply, process failure) leading to: - The inability to provide customer service and meet expectations, or - Noncompliance with laws, regulations, policies and procedures 2. Actual or potential impact to Vantage’s reputation and license to operate. 3. Potential or actual loss impacting earnings before interest, taxes, depreciation, and amortization (EBIDTA) in any 12-month period. 4. Actual or potential impact arising from inability to meet changing customer and consumer preferences and demands. Vantage defines substantive financial impact as an impact that exceeds 5% of EBIDTA. A substantive strategic opportunity is a positive impact on company reputation or the ability or realization to implementation of a a strategic priority.</t>
    </r>
  </si>
  <si>
    <r>
      <rPr>
        <b/>
        <sz val="11"/>
        <color theme="1"/>
        <rFont val="Aptos Narrow"/>
        <family val="2"/>
        <scheme val="minor"/>
      </rPr>
      <t>Heavy Rains:</t>
    </r>
    <r>
      <rPr>
        <sz val="11"/>
        <color theme="1"/>
        <rFont val="Aptos Narrow"/>
        <family val="2"/>
        <scheme val="minor"/>
      </rPr>
      <t xml:space="preserve">
Effect/Anticipated effect of the risk on the financial position, financial performance and cash flows of the organization:
Anticipated financial effect figure in the short/med/long term (minimum USD):
Anticipated financial effect figure in the short/med/long term (minimum USD):
Primary response to risk (i.e., what we doing to minimize impact going forward, if anything):
Cost of response to risk:
Explanation of Cost Calculation:
</t>
    </r>
    <r>
      <rPr>
        <b/>
        <sz val="11"/>
        <color theme="1"/>
        <rFont val="Aptos Narrow"/>
        <family val="2"/>
        <scheme val="minor"/>
      </rPr>
      <t>Drought:</t>
    </r>
    <r>
      <rPr>
        <sz val="11"/>
        <color theme="1"/>
        <rFont val="Aptos Narrow"/>
        <family val="2"/>
        <scheme val="minor"/>
      </rPr>
      <t xml:space="preserve">
Effect/Anticipated effect of the risk on the financial position, financial performance and cash flows of the organization:
Anticipated financial effect figure in the short/med/long term (minimum USD):
Anticipated financial effect figure in the short/med/long term (minimum USD):
Primary response to risk (i.e., what we doing to minimize impact going forward, if anything):
Cost of response to risk:
Explanation of Cost Calculation:</t>
    </r>
  </si>
  <si>
    <r>
      <t xml:space="preserve">Climate Change
</t>
    </r>
    <r>
      <rPr>
        <sz val="11"/>
        <color theme="1"/>
        <rFont val="Aptos Narrow"/>
        <family val="2"/>
        <scheme val="minor"/>
      </rPr>
      <t xml:space="preserve">Financial metric (i.e., OPEX, CAPEX, liabilities, assets, revenue):
Amt of financial metric vulnerable to transition risks for the issue:
% of total financial metric vulnerable to transition risks from environmental issue:
% of financial metric vulnerable to physical risks for this environmental issue:
Explanation of financial figures:
</t>
    </r>
    <r>
      <rPr>
        <b/>
        <sz val="11"/>
        <color theme="1"/>
        <rFont val="Aptos Narrow"/>
        <family val="2"/>
        <scheme val="minor"/>
      </rPr>
      <t xml:space="preserve">Forests
</t>
    </r>
    <r>
      <rPr>
        <sz val="11"/>
        <color theme="1"/>
        <rFont val="Aptos Narrow"/>
        <family val="2"/>
        <scheme val="minor"/>
      </rPr>
      <t xml:space="preserve">Financial metric (i.e., OPEX, CAPEX, liabilities, assets, revenue):
Amt of financial metric vulnerable to transition risks for the issue:
% of total financial metric vulnerable to transition risks from environmental issue:
% of financial metric vulnerable to physical risks for this environmental issue:
Explanation of financial figures:
</t>
    </r>
    <r>
      <rPr>
        <b/>
        <sz val="11"/>
        <color theme="1"/>
        <rFont val="Aptos Narrow"/>
        <family val="2"/>
        <scheme val="minor"/>
      </rPr>
      <t xml:space="preserve">Water
</t>
    </r>
    <r>
      <rPr>
        <sz val="11"/>
        <color theme="1"/>
        <rFont val="Aptos Narrow"/>
        <family val="2"/>
        <scheme val="minor"/>
      </rPr>
      <t>Financial metric (i.e., OPEX, CAPEX, liabilities, assets, revenue):
Amt of financial metric vulnerable to transition risks for the issue:
% of total financial metric vulnerable to transition risks from environmental issue:
% of financial metric vulnerable to physical risks for this environmental issue:
Explanation of financial figures:</t>
    </r>
  </si>
  <si>
    <t>% of organization's total global revenue affected by river basin. Help here would be revenue data by site. I could aggregate based on river basin(s).</t>
  </si>
  <si>
    <t>revenue by site</t>
  </si>
  <si>
    <t>What is your strategy for complying with the systems you are regulated by or anticipate being regulated by? This is for potential carbon tax regulations (i.e., in EU)</t>
  </si>
  <si>
    <t>3.6.2</t>
  </si>
  <si>
    <t>Provide the amount and proportion of your financial metrics in the reporting year that are aligned with the substantive effects of environmental opportunities.</t>
  </si>
  <si>
    <r>
      <rPr>
        <b/>
        <sz val="11"/>
        <color theme="1"/>
        <rFont val="Aptos Narrow"/>
        <family val="2"/>
        <scheme val="minor"/>
      </rPr>
      <t>Climate Change - Tolan Project (Steam)</t>
    </r>
    <r>
      <rPr>
        <sz val="11"/>
        <color theme="1"/>
        <rFont val="Aptos Narrow"/>
        <family val="2"/>
        <scheme val="minor"/>
      </rPr>
      <t xml:space="preserve">
Financial metric (i.e., OPEX, CAPEX, liabilities, assets, revenue):
Amt of financial metric aligned with opportunities for this environmental issue:
% of total financial metric aligned with opportunities for this environmental issue:
Explanation of financial figures:
</t>
    </r>
    <r>
      <rPr>
        <b/>
        <sz val="11"/>
        <color theme="1"/>
        <rFont val="Aptos Narrow"/>
        <family val="2"/>
        <scheme val="minor"/>
      </rPr>
      <t>Forests - EUDR Compliance/RSPO Certification (how much did we spend on it in 2023)</t>
    </r>
    <r>
      <rPr>
        <sz val="11"/>
        <color theme="1"/>
        <rFont val="Aptos Narrow"/>
        <family val="2"/>
        <scheme val="minor"/>
      </rPr>
      <t xml:space="preserve">
Financial metric (i.e., OPEX, CAPEX, liabilities, assets, revenue):
Amt of financial metric aligned with opportunities for this environmental issue:
% of total financial metric aligned with opportunities for this environmental issue:
Explanation of financial figures:
</t>
    </r>
    <r>
      <rPr>
        <b/>
        <sz val="11"/>
        <color theme="1"/>
        <rFont val="Aptos Narrow"/>
        <family val="2"/>
        <scheme val="minor"/>
      </rPr>
      <t xml:space="preserve">Water - Furrow to Drip Irrigation
</t>
    </r>
    <r>
      <rPr>
        <sz val="11"/>
        <color theme="1"/>
        <rFont val="Aptos Narrow"/>
        <family val="2"/>
        <scheme val="minor"/>
      </rPr>
      <t>Financial metric (i.e., OPEX, CAPEX, liabilities, assets, revenue):
Amt of financial metric aligned with opportunities for this environmental issue:
% of total financial metric aligned with opportunities for this environmental issue:
Explanation of financial figures:</t>
    </r>
  </si>
  <si>
    <t>Frequency with which the board of directors meets, and types of directors the board is comprised of?</t>
  </si>
  <si>
    <t>Frequency board meets:
Types of directors (executive directors, non-executive directors, independent non-executive directors):</t>
  </si>
  <si>
    <t>Details of investments in low-carbon R&amp;D for chemical production activities in the last 3 years</t>
  </si>
  <si>
    <t>Jeesperse - how much do we put into that product specifically (USD)?</t>
  </si>
  <si>
    <t>5.11.6</t>
  </si>
  <si>
    <t>Provide details of the environmental requirements that suppliers have to meet as part of your organization’s purchasing process, and the compliance measures in place.</t>
  </si>
  <si>
    <t>Do we have a procedure to engage non-compliant supplier(s)?</t>
  </si>
  <si>
    <t>nat gas/elec costs divided by total spend</t>
  </si>
  <si>
    <t>7.74.1</t>
  </si>
  <si>
    <t>How much revenue was generated from low-carbon products as a % of total revenue in reporting year? I.e., how much revenue did we generate from Jeesperse as a percentage of total company revenue?</t>
  </si>
  <si>
    <t>What is your company's total revenue?
What is your company's total production?</t>
  </si>
  <si>
    <t>2023 revenue - $939,400,000
2023 total production - 328,707 metric tons</t>
  </si>
  <si>
    <t>Breakdown of disclosure volume by commodity (sourced)</t>
  </si>
  <si>
    <t>Palm Oil: 17922 metric tons
Soy: 12935 metric tons
Cattle: 138647 metric tons</t>
  </si>
  <si>
    <t>Sourced Volumes by Country</t>
  </si>
  <si>
    <t>Palm Oil:
Soy:
Cattle:</t>
  </si>
  <si>
    <t>Category Level 3</t>
  </si>
  <si>
    <t>Category Level 4</t>
  </si>
  <si>
    <t>Total Volume (k)</t>
  </si>
  <si>
    <t>lbs</t>
  </si>
  <si>
    <t>metric tons</t>
  </si>
  <si>
    <t>pulled from Procurement PowerBI database</t>
  </si>
  <si>
    <t>0</t>
  </si>
  <si>
    <t>palm</t>
  </si>
  <si>
    <t>Acids</t>
  </si>
  <si>
    <t>soy</t>
  </si>
  <si>
    <t>Food grade acids</t>
  </si>
  <si>
    <t>cattle</t>
  </si>
  <si>
    <t>Acetic Acid</t>
  </si>
  <si>
    <t>Lactic Acid</t>
  </si>
  <si>
    <t>Amino Acids</t>
  </si>
  <si>
    <t>Active Ingredients</t>
  </si>
  <si>
    <t>Skin Active Ingredients</t>
  </si>
  <si>
    <t>Additive</t>
  </si>
  <si>
    <t>Additives</t>
  </si>
  <si>
    <t>Emollients</t>
  </si>
  <si>
    <t>Food emulsifiers</t>
  </si>
  <si>
    <t>Resin</t>
  </si>
  <si>
    <t>Food Additives</t>
  </si>
  <si>
    <t>Agar</t>
  </si>
  <si>
    <t>Specialty Agars</t>
  </si>
  <si>
    <t>Alcohols</t>
  </si>
  <si>
    <t>Behenyl Alcohol</t>
  </si>
  <si>
    <t>Almond Flour</t>
  </si>
  <si>
    <t>Almond</t>
  </si>
  <si>
    <t>Almond Oil</t>
  </si>
  <si>
    <t>Crude Almond</t>
  </si>
  <si>
    <t>Amine</t>
  </si>
  <si>
    <t>Tallow Amine</t>
  </si>
  <si>
    <t>Apricot Kernel Oil</t>
  </si>
  <si>
    <t>Apricot</t>
  </si>
  <si>
    <t>Argan oil</t>
  </si>
  <si>
    <t>Virgin/ Organic</t>
  </si>
  <si>
    <t>Avocado Oil</t>
  </si>
  <si>
    <t>Refined Avocado</t>
  </si>
  <si>
    <t>Bags</t>
  </si>
  <si>
    <t>Finished Good Bags</t>
  </si>
  <si>
    <t>Benzoyl Peroxide</t>
  </si>
  <si>
    <t>Boxes</t>
  </si>
  <si>
    <t>Corrugate Boxes</t>
  </si>
  <si>
    <t>boxes</t>
  </si>
  <si>
    <t>Bunges</t>
  </si>
  <si>
    <t>Calcium Carbonate</t>
  </si>
  <si>
    <t>Food Grade Calcium Carbonate</t>
  </si>
  <si>
    <t>Calcium Sulfate</t>
  </si>
  <si>
    <t>Food Grade Calcium Sulfate</t>
  </si>
  <si>
    <t>Canola Oil</t>
  </si>
  <si>
    <t>Refined Canola Oil</t>
  </si>
  <si>
    <t>Organic/NGMO/IP</t>
  </si>
  <si>
    <t>Cans</t>
  </si>
  <si>
    <t>Metal Cans</t>
  </si>
  <si>
    <t>Caps</t>
  </si>
  <si>
    <t>Castor Oil</t>
  </si>
  <si>
    <t>Hydrogenated Castor Oil</t>
  </si>
  <si>
    <t>Caustics</t>
  </si>
  <si>
    <t>Sodium Hydroxide</t>
  </si>
  <si>
    <t>Potassium Hydroxide</t>
  </si>
  <si>
    <t>Coconut Oil</t>
  </si>
  <si>
    <t>Refined Coconut Oil</t>
  </si>
  <si>
    <t>Crude Coconut Oil</t>
  </si>
  <si>
    <t>Colloids &amp; Gels</t>
  </si>
  <si>
    <t>Corn Oil</t>
  </si>
  <si>
    <t>Refined Corn Oil</t>
  </si>
  <si>
    <t>Cottonseed Oil</t>
  </si>
  <si>
    <t>Desiccant</t>
  </si>
  <si>
    <t>Drums</t>
  </si>
  <si>
    <t>Metal Drums</t>
  </si>
  <si>
    <t>Fiber Drums</t>
  </si>
  <si>
    <t>Plastic Drums</t>
  </si>
  <si>
    <t>Equipment Parts</t>
  </si>
  <si>
    <t>Production Equipment Parts</t>
  </si>
  <si>
    <t>General MRO</t>
  </si>
  <si>
    <t>Essential Oil</t>
  </si>
  <si>
    <t>Esters</t>
  </si>
  <si>
    <t>Emulsifiers</t>
  </si>
  <si>
    <t>Ethoxylates</t>
  </si>
  <si>
    <t>Exfoliants</t>
  </si>
  <si>
    <t>Fatty Acids</t>
  </si>
  <si>
    <t>Oleic Acid</t>
  </si>
  <si>
    <t>Stearic Acid</t>
  </si>
  <si>
    <t>Coconut Fatty Acid</t>
  </si>
  <si>
    <t>Tall Oil</t>
  </si>
  <si>
    <t>Fatty Acid C12-18</t>
  </si>
  <si>
    <t>Vegetable Fatty Acids</t>
  </si>
  <si>
    <t>Myristic Acid</t>
  </si>
  <si>
    <t>Lauric Acid</t>
  </si>
  <si>
    <t>Fatty Acid C08-18</t>
  </si>
  <si>
    <t>Borago Oil</t>
  </si>
  <si>
    <t>Fatty Alcohol</t>
  </si>
  <si>
    <t>Cetearyl Alcohol</t>
  </si>
  <si>
    <t>Cetyl Alcohol</t>
  </si>
  <si>
    <t>Stearyl Alcohol</t>
  </si>
  <si>
    <t>Lauryl Alcohol</t>
  </si>
  <si>
    <t>Ethoxylate</t>
  </si>
  <si>
    <t>Decyl Alcohol</t>
  </si>
  <si>
    <t>Methyl Oleate</t>
  </si>
  <si>
    <t>Myristyl Alcohol</t>
  </si>
  <si>
    <t>Alkane</t>
  </si>
  <si>
    <t>unsaturated fatty alcohol 1618</t>
  </si>
  <si>
    <t>Alcohol Blends</t>
  </si>
  <si>
    <t>Fatty Amine</t>
  </si>
  <si>
    <t>Oleyl Amine</t>
  </si>
  <si>
    <t>Ethanol Amine</t>
  </si>
  <si>
    <t>Flavors &amp; Fragrance</t>
  </si>
  <si>
    <t>Flavors</t>
  </si>
  <si>
    <t>Gases</t>
  </si>
  <si>
    <t>Ethylene Oxide</t>
  </si>
  <si>
    <t>Sulfur Dioxide</t>
  </si>
  <si>
    <t>Chlorine</t>
  </si>
  <si>
    <t>Glycerine</t>
  </si>
  <si>
    <t>Vege Crude Glycerine</t>
  </si>
  <si>
    <t>Tallow Crude Glycerine</t>
  </si>
  <si>
    <t>Refined Glycerine</t>
  </si>
  <si>
    <t>Refined Glycerine Kosher for Passover</t>
  </si>
  <si>
    <t>Glycols</t>
  </si>
  <si>
    <t>Diethylene Glycol</t>
  </si>
  <si>
    <t>Glycol Ether</t>
  </si>
  <si>
    <t>Propylene Glycol</t>
  </si>
  <si>
    <t>Mono Ethylene Glycol</t>
  </si>
  <si>
    <t>Ethylene Glycol</t>
  </si>
  <si>
    <t>Polyglycol</t>
  </si>
  <si>
    <t>Dipropylene glycol</t>
  </si>
  <si>
    <t>Uncategorized</t>
  </si>
  <si>
    <t>Butylene Glycol</t>
  </si>
  <si>
    <t>Grapeseed Oil</t>
  </si>
  <si>
    <t>Refined Grapeseed Oil</t>
  </si>
  <si>
    <t>Hydrogen Peroxide</t>
  </si>
  <si>
    <t>Industrial Equipment</t>
  </si>
  <si>
    <t>Custom Engraving and Signs</t>
  </si>
  <si>
    <t>Jojoba Seed Oil</t>
  </si>
  <si>
    <t>Jojoba Wax Flakes</t>
  </si>
  <si>
    <t>Jojoba Oil</t>
  </si>
  <si>
    <t>Jojoba Esters</t>
  </si>
  <si>
    <t>DW Jojoba Golden Oil</t>
  </si>
  <si>
    <t>Jojoba Glaze</t>
  </si>
  <si>
    <t>Lanolin</t>
  </si>
  <si>
    <t>Lanolin Products</t>
  </si>
  <si>
    <t>Liquid</t>
  </si>
  <si>
    <t>Propylene Oxide</t>
  </si>
  <si>
    <t>Macadamia Oil</t>
  </si>
  <si>
    <t>Refined / Crude Macadamia</t>
  </si>
  <si>
    <t>Mineral Oil</t>
  </si>
  <si>
    <t>Misc Vegetable Oil</t>
  </si>
  <si>
    <t>Refined Misc Vegetable Oil</t>
  </si>
  <si>
    <t>Crude Misc Vegetable Oil</t>
  </si>
  <si>
    <t>Monomethylamin</t>
  </si>
  <si>
    <t>Paraffin Waxes</t>
  </si>
  <si>
    <t>MRO</t>
  </si>
  <si>
    <t>Filter Paper and Filter Bags</t>
  </si>
  <si>
    <t>Pipes Valves Fittings</t>
  </si>
  <si>
    <t>Fasteners</t>
  </si>
  <si>
    <t>Electrical</t>
  </si>
  <si>
    <t>Production Maintenance Parts</t>
  </si>
  <si>
    <t>Safety Supplies</t>
  </si>
  <si>
    <t>Pumps &amp; Motors</t>
  </si>
  <si>
    <t>Shipping and Packing Supplies</t>
  </si>
  <si>
    <t>Hydraulics</t>
  </si>
  <si>
    <t>Instrumentation</t>
  </si>
  <si>
    <t>N/A</t>
  </si>
  <si>
    <t>Nylon Powder</t>
  </si>
  <si>
    <t>Olive Oil</t>
  </si>
  <si>
    <t>Refined Pomace</t>
  </si>
  <si>
    <t>Refined Olive Oil</t>
  </si>
  <si>
    <t>Extra Virgin</t>
  </si>
  <si>
    <t>Other Chemicals</t>
  </si>
  <si>
    <t>Other Chemicals (D)</t>
  </si>
  <si>
    <t>NPB</t>
  </si>
  <si>
    <t>Phosphorus Trichloride</t>
  </si>
  <si>
    <t>Preservatives</t>
  </si>
  <si>
    <t>Microsphere</t>
  </si>
  <si>
    <t>Sun Filters</t>
  </si>
  <si>
    <t>MICA</t>
  </si>
  <si>
    <t>Flow Aid</t>
  </si>
  <si>
    <t>Pharma</t>
  </si>
  <si>
    <t>Humectants</t>
  </si>
  <si>
    <t>Packaging</t>
  </si>
  <si>
    <t>Pails</t>
  </si>
  <si>
    <t>Plastic Pails</t>
  </si>
  <si>
    <t>Steel Pails</t>
  </si>
  <si>
    <t>Pallets</t>
  </si>
  <si>
    <t>Wood Pallets</t>
  </si>
  <si>
    <t>Plastic Pallets</t>
  </si>
  <si>
    <t>Palm oil</t>
  </si>
  <si>
    <t>Palm olein</t>
  </si>
  <si>
    <t>Palm stearin</t>
  </si>
  <si>
    <t>Refined Palm Oil</t>
  </si>
  <si>
    <t>Personal Care</t>
  </si>
  <si>
    <t>Specialty Care Ingredient</t>
  </si>
  <si>
    <t>Petrochemicals</t>
  </si>
  <si>
    <t>Polyethlyenes</t>
  </si>
  <si>
    <t>Rheologic/Modifiers</t>
  </si>
  <si>
    <t>Motor Oil</t>
  </si>
  <si>
    <t>Petrolatum</t>
  </si>
  <si>
    <t>Pigments</t>
  </si>
  <si>
    <t>Food Grade Pigments</t>
  </si>
  <si>
    <t>Industrial Grade Pigments</t>
  </si>
  <si>
    <t>Cosmetic Grade Pigments</t>
  </si>
  <si>
    <t>Polymers and Powders</t>
  </si>
  <si>
    <t>Polyols</t>
  </si>
  <si>
    <t>Sorbitol</t>
  </si>
  <si>
    <t>Safflower Oil</t>
  </si>
  <si>
    <t>High Oleic/ Linoleic</t>
  </si>
  <si>
    <t>Salt</t>
  </si>
  <si>
    <t>Magnesium</t>
  </si>
  <si>
    <t>Sodium Bicarbonate</t>
  </si>
  <si>
    <t>Sensate</t>
  </si>
  <si>
    <t>Sesame Oil</t>
  </si>
  <si>
    <t>Refined Sesame</t>
  </si>
  <si>
    <t>Virgin / Organic Sesame</t>
  </si>
  <si>
    <t>Silicone</t>
  </si>
  <si>
    <t>Performance Blends</t>
  </si>
  <si>
    <t>Solvents</t>
  </si>
  <si>
    <t>Distillate</t>
  </si>
  <si>
    <t>Actives</t>
  </si>
  <si>
    <t>Solvent Cleaner</t>
  </si>
  <si>
    <t>Hyrogen Peroxide</t>
  </si>
  <si>
    <t>Soybean Oil</t>
  </si>
  <si>
    <t>Refined soybean oil</t>
  </si>
  <si>
    <t>Crude Soybean Oil</t>
  </si>
  <si>
    <t>High Oleic Soybean</t>
  </si>
  <si>
    <t>High Oleic</t>
  </si>
  <si>
    <t>Specialty Vegetable Oil</t>
  </si>
  <si>
    <t>Soy Lecithin</t>
  </si>
  <si>
    <t>MCT oil</t>
  </si>
  <si>
    <t>Sunflower Lecithin</t>
  </si>
  <si>
    <t>Oil Derivative Flakes</t>
  </si>
  <si>
    <t>Aloe Vera</t>
  </si>
  <si>
    <t>Tea Tree Oil</t>
  </si>
  <si>
    <t>Squalane</t>
  </si>
  <si>
    <t>Starches</t>
  </si>
  <si>
    <t>Sugars</t>
  </si>
  <si>
    <t>Sunflower Oil</t>
  </si>
  <si>
    <t>Oleic</t>
  </si>
  <si>
    <t>Conventional Sun Flower Oil</t>
  </si>
  <si>
    <t>Oleic Sunflower Oil</t>
  </si>
  <si>
    <t>Organic Sunflower</t>
  </si>
  <si>
    <t>Surfactant</t>
  </si>
  <si>
    <t>Antistatic Agent</t>
  </si>
  <si>
    <t>Synthetic Polymer</t>
  </si>
  <si>
    <t>Inhibitor</t>
  </si>
  <si>
    <t>Tallows</t>
  </si>
  <si>
    <t>Packer BFT</t>
  </si>
  <si>
    <t>Choice White Grease</t>
  </si>
  <si>
    <t>Render BFT</t>
  </si>
  <si>
    <t>Yellow Grease</t>
  </si>
  <si>
    <t>Row Labels</t>
  </si>
  <si>
    <t>Sum of metric tons</t>
  </si>
  <si>
    <t>Grand Total</t>
  </si>
  <si>
    <t>Stage</t>
  </si>
  <si>
    <t>Count</t>
  </si>
  <si>
    <t>Conversions</t>
  </si>
  <si>
    <t>Under Investigation</t>
  </si>
  <si>
    <t>therms to MWh</t>
  </si>
  <si>
    <t>To be implemented</t>
  </si>
  <si>
    <t>gal to ML</t>
  </si>
  <si>
    <t>Implementation commenced</t>
  </si>
  <si>
    <t>Implemented</t>
  </si>
  <si>
    <t>Not to be implemented</t>
  </si>
  <si>
    <t>Background</t>
  </si>
  <si>
    <t>Sustainability</t>
  </si>
  <si>
    <t>Economics</t>
  </si>
  <si>
    <t>Project</t>
  </si>
  <si>
    <t>Site</t>
  </si>
  <si>
    <t>Year</t>
  </si>
  <si>
    <t>Type(s)</t>
  </si>
  <si>
    <t>GHG Savings (MT CO2e)</t>
  </si>
  <si>
    <t>Water Savings (ML)</t>
  </si>
  <si>
    <t>Energy Savings (MWh)</t>
  </si>
  <si>
    <t>Incentive</t>
  </si>
  <si>
    <t>CapEx Required</t>
  </si>
  <si>
    <t>Annual OpEx Savings</t>
  </si>
  <si>
    <t>ROI (w/ incentive)</t>
  </si>
  <si>
    <t>(GOS 2023) Recover splitter flash to preheat makeup water</t>
  </si>
  <si>
    <t>Chicago</t>
  </si>
  <si>
    <t>GHG, Water</t>
  </si>
  <si>
    <t>(Custom Project) Tolan Evaporator steam efficiency improvements</t>
  </si>
  <si>
    <t>Gurnee</t>
  </si>
  <si>
    <t>GHG</t>
  </si>
  <si>
    <t>NA</t>
  </si>
  <si>
    <t>Steam trap replacements</t>
  </si>
  <si>
    <t>Dateland removal of every other row in several fields to reduce water use</t>
  </si>
  <si>
    <t>Dateland</t>
  </si>
  <si>
    <t>Water</t>
  </si>
  <si>
    <t>Expansion of taurate capacity to meet growing customer demand for mild surfactants, particularly in personal care. By expanding the N-Methyl Taurine capacity and investing in the newest technology, it will also improve energy efficiency by reducing steam consumption by approximately 40% annually, which equals approximately 1,000 MT CO2e per year.</t>
  </si>
  <si>
    <t>Leuna</t>
  </si>
  <si>
    <t>Dateland facility to continue adjusting its irrigation practices from furrow to drip at Field Seven Eleven (7-11) Stage 1</t>
  </si>
  <si>
    <t>(GOS 2023) Fully Shut Boiler Makeup Water Valve to Tank T99</t>
  </si>
  <si>
    <t>(Custom Project) Installation of reciculation system on the alkoxidazation vacuum pumps</t>
  </si>
  <si>
    <t>Steam line insulation</t>
  </si>
  <si>
    <t>(GOS 2023) Replace Steam Trap on Stearic Acid Drop Tank A in Dry Frac</t>
  </si>
  <si>
    <t>(GOS 2023) Automate skimming blowdown control</t>
  </si>
  <si>
    <t>Cooling tower fan VFD (50 hp)</t>
  </si>
  <si>
    <t>Decommissioning of 6 mixer motors no longer in use</t>
  </si>
  <si>
    <t>Total Spend (k)</t>
  </si>
  <si>
    <t>Total Spend ($)</t>
  </si>
  <si>
    <t>% total</t>
  </si>
  <si>
    <t>Sum of Total Spend ($)</t>
  </si>
  <si>
    <t>Sum of % total</t>
  </si>
  <si>
    <t>last update</t>
  </si>
  <si>
    <t>12 cents/ kWh = electricity</t>
  </si>
  <si>
    <t>qualitative items that should yield additional initiatives (not yet ID'ed)</t>
  </si>
  <si>
    <t>48 cents/therm nat gas</t>
  </si>
  <si>
    <t>83% boiler efficiency</t>
  </si>
  <si>
    <t xml:space="preserve">global OPEX team </t>
  </si>
  <si>
    <t>utility partnerships - ongoing (expand to include additional sites)</t>
  </si>
  <si>
    <t>increased awareness and engagement via internal and external communication</t>
  </si>
  <si>
    <t>launch of potential idea management initiative or innovation contest?</t>
  </si>
  <si>
    <t>Scope 1</t>
  </si>
  <si>
    <t>Scope 2</t>
  </si>
  <si>
    <t>Incentive ($)</t>
  </si>
  <si>
    <t>CapEx Required ($)</t>
  </si>
  <si>
    <t>Annual OpEx Savings ($)</t>
  </si>
  <si>
    <t>Simple payback w/ incentive (yr)</t>
  </si>
  <si>
    <t>Distillation Barametric water savings</t>
  </si>
  <si>
    <t>(ComEd SEM) Cooling tower fan VFD (50 hp)</t>
  </si>
  <si>
    <t>(ComEd SEM) Decommissioning of 6 mixer motors no longer in use (Dry frac mixer motors)</t>
  </si>
  <si>
    <t>Tank Farm Agitator Programming</t>
  </si>
  <si>
    <t>Steam trap replacements and reduced boiler blowdown</t>
  </si>
  <si>
    <t>Heat Savings at Metaupon by insulating K522 Tank (Electricity)</t>
  </si>
  <si>
    <t>Heat Savings at Metaupon by insulating R341-R346 stirring tanks (Steam)</t>
  </si>
  <si>
    <t>Condensate Tie in for Spray Congealing Tower</t>
  </si>
  <si>
    <t>Englewood</t>
  </si>
  <si>
    <t>Optimizing Cooling Towers</t>
  </si>
  <si>
    <t>Air Compressor Replacement to replace current</t>
  </si>
  <si>
    <t>Compressed Air Leak Fixes</t>
  </si>
  <si>
    <t>Crystallizer Optimization</t>
  </si>
  <si>
    <t>Glycol Piping Insulation</t>
  </si>
  <si>
    <t>Solar project at Argentina Farm (Phase 1)</t>
  </si>
  <si>
    <t>Agrinsa</t>
  </si>
  <si>
    <t>Optimizations of Electricity at Dateland</t>
  </si>
  <si>
    <t>Solar PPA</t>
  </si>
  <si>
    <t>New taurine synthesis heat exchanger. Recover 90% of heat and save electricity</t>
  </si>
  <si>
    <t>Dateland facility to continue adjusting its irrigation practices from furrow to drip at Field Seven Eleven (7-11) Stage 1 (160 acres)</t>
  </si>
  <si>
    <t>New Dry Frac Air Compressor (SEM Incentive Pending)</t>
  </si>
  <si>
    <t>Supply temperature reset with OA WB conditions to slow fans on VFD during winter</t>
  </si>
  <si>
    <t>Oleic acid temperature controls</t>
  </si>
  <si>
    <t>Improve approach temperature on cooling water supply temperature</t>
  </si>
  <si>
    <t>Shut off chiller and chiller pump when flaker rolls are off</t>
  </si>
  <si>
    <t>Low Nox burners for Boiler 11</t>
  </si>
  <si>
    <t>Larger Nitrogen Generator</t>
  </si>
  <si>
    <t>Condensate Tank Replacement</t>
  </si>
  <si>
    <t>Optimize D1 and D2 Loading to improve efficiency</t>
  </si>
  <si>
    <t>Utilize free cooling below 30F DBT to reduce chiller energy usage (Flaking)</t>
  </si>
  <si>
    <t>Reduce pump flow during winter and increase cooling tower fan speeds (Conti water tower)</t>
  </si>
  <si>
    <t>Install and utilize VFDs on Boiler 11 feedwater pumps</t>
  </si>
  <si>
    <t>Install Advanced O2 Trim Controls on B1 and B11 (1% to 2% increase in eff): Flue Gas Test Recommended</t>
  </si>
  <si>
    <t>Regenerative Thermal Oxidizer</t>
  </si>
  <si>
    <t>Solar project at Argentina Farm (Phase 2)</t>
  </si>
  <si>
    <t>Cocopah Furrow to Drip Irrigation Phase 2 (320 acres)</t>
  </si>
  <si>
    <t>Cocopah Furrow to Drip Irrigation Phase 3 (320 acres)</t>
  </si>
  <si>
    <t>Chlorinated parrafins product exit (not optimization)</t>
  </si>
  <si>
    <t>New amine distillation. Install preheating for cool NMT/MMA mixture with the warm NMT outlet so that less steam is required in the process.</t>
  </si>
  <si>
    <t>Steam Trap Survey and Fixes</t>
  </si>
  <si>
    <t>RTO</t>
  </si>
  <si>
    <t>Sum of GHG Savings (MT CO2e)</t>
  </si>
  <si>
    <t>Sum of Water Savings (ML)</t>
  </si>
  <si>
    <t>GHG Emissions Scope 1 and 2 (tCO2e)</t>
  </si>
  <si>
    <t>Target</t>
  </si>
  <si>
    <t>Water Use (ML)</t>
  </si>
  <si>
    <t>Budget Costs</t>
  </si>
  <si>
    <t>Estimated Utilities</t>
  </si>
  <si>
    <t>Estimated Emissions</t>
  </si>
  <si>
    <t>Equipment Cost</t>
  </si>
  <si>
    <t>Installation Cost</t>
  </si>
  <si>
    <t>Startup Cost</t>
  </si>
  <si>
    <t>Electrical Usage</t>
  </si>
  <si>
    <t>FLA</t>
  </si>
  <si>
    <t>Gas Usage</t>
  </si>
  <si>
    <t>NOx Generation</t>
  </si>
  <si>
    <t>CO Generation</t>
  </si>
  <si>
    <t>CO2 Generation</t>
  </si>
  <si>
    <t>Destruction Efficiency</t>
  </si>
  <si>
    <t>Elec</t>
  </si>
  <si>
    <t>Nat Gas</t>
  </si>
  <si>
    <t>Scope 2 (MB)</t>
  </si>
  <si>
    <t>Scopes 1 and 2 Total</t>
  </si>
  <si>
    <t>Units</t>
  </si>
  <si>
    <t>USD</t>
  </si>
  <si>
    <t>kW</t>
  </si>
  <si>
    <t>Amps</t>
  </si>
  <si>
    <t>Mmbtu/hr</t>
  </si>
  <si>
    <t>Lbs/hr</t>
  </si>
  <si>
    <t>% VOCs</t>
  </si>
  <si>
    <t>MWh</t>
  </si>
  <si>
    <t>mmBTU</t>
  </si>
  <si>
    <t>tCO2</t>
  </si>
  <si>
    <t>10k RTO</t>
  </si>
  <si>
    <t>10k DTO</t>
  </si>
  <si>
    <t>waste heat boiler NET benefits?</t>
  </si>
  <si>
    <t>20k RTO</t>
  </si>
  <si>
    <t>*based on 24/7 operation (8,760 hr per year)</t>
  </si>
  <si>
    <t>Scope 1 (tCO2e)</t>
  </si>
  <si>
    <t>Scope 2 (tCO2e)</t>
  </si>
  <si>
    <t>Target (S1)</t>
  </si>
  <si>
    <t>Target (S2)</t>
  </si>
  <si>
    <t>Sum of Scope 1</t>
  </si>
  <si>
    <t>Sum of Scope 2</t>
  </si>
  <si>
    <t>Water Withdrawn</t>
  </si>
  <si>
    <t>Water Discharged</t>
  </si>
  <si>
    <t>m^3 to ML</t>
  </si>
  <si>
    <t>Facility Type</t>
  </si>
  <si>
    <t>River Basin</t>
  </si>
  <si>
    <t>WWF Water Stress</t>
  </si>
  <si>
    <t>WWF Water Risk Level</t>
  </si>
  <si>
    <t>Surface Water</t>
  </si>
  <si>
    <t>Groundwater</t>
  </si>
  <si>
    <t>Third-party</t>
  </si>
  <si>
    <t>Recycled Water</t>
  </si>
  <si>
    <t>Fresh Surface Water Discharge</t>
  </si>
  <si>
    <t>Groundwater Discharge</t>
  </si>
  <si>
    <t>Third-party Discharge</t>
  </si>
  <si>
    <t>Consumption (W-D)</t>
  </si>
  <si>
    <t>L to ML</t>
  </si>
  <si>
    <t>Farm</t>
  </si>
  <si>
    <t>WMOBB374</t>
  </si>
  <si>
    <t>Medium</t>
  </si>
  <si>
    <t>Barcelona</t>
  </si>
  <si>
    <t>Office</t>
  </si>
  <si>
    <t>Bogota</t>
  </si>
  <si>
    <t>Buenos Aires</t>
  </si>
  <si>
    <t>Carnegie, PA</t>
  </si>
  <si>
    <t>Factory</t>
  </si>
  <si>
    <t>Ohio</t>
  </si>
  <si>
    <t>Chicago, IL</t>
  </si>
  <si>
    <t>Michigan</t>
  </si>
  <si>
    <t>High</t>
  </si>
  <si>
    <t>Colorado</t>
  </si>
  <si>
    <t>Deerfield</t>
  </si>
  <si>
    <t>Englewood, OH</t>
  </si>
  <si>
    <t>Fairfield</t>
  </si>
  <si>
    <t>Warehouse</t>
  </si>
  <si>
    <t>North Atlantic (419)</t>
  </si>
  <si>
    <t>Granollers</t>
  </si>
  <si>
    <t>Gurnee, IL</t>
  </si>
  <si>
    <t>Mississippi (419)</t>
  </si>
  <si>
    <t>Les Borges</t>
  </si>
  <si>
    <t>Ebro</t>
  </si>
  <si>
    <t>Elbe</t>
  </si>
  <si>
    <t>Linden, NJ</t>
  </si>
  <si>
    <t>Mexico City</t>
  </si>
  <si>
    <t>Mumbai</t>
  </si>
  <si>
    <t>Pittsburgh, PA</t>
  </si>
  <si>
    <t>Santiago</t>
  </si>
  <si>
    <t>Sao Paulo</t>
  </si>
  <si>
    <t>Shanghai</t>
  </si>
  <si>
    <t>South Africa</t>
  </si>
  <si>
    <t>Tucson</t>
  </si>
  <si>
    <t>Warren, NJ</t>
  </si>
  <si>
    <t>Totals</t>
  </si>
  <si>
    <t>Primary Treatment (3 sites)</t>
  </si>
  <si>
    <t>High Water Stress</t>
  </si>
  <si>
    <t>Discharge to Nature (no treatment)</t>
  </si>
  <si>
    <t>High Water Risk</t>
  </si>
  <si>
    <t>Discharge to third party (no treatment)</t>
  </si>
  <si>
    <t>Vantage Leuna GmbH</t>
  </si>
  <si>
    <t>Water/Wastewater 2024</t>
  </si>
  <si>
    <t>Intake</t>
  </si>
  <si>
    <t>Discharge / wastewater</t>
  </si>
  <si>
    <t>Condensation Water</t>
  </si>
  <si>
    <t>Freshwater</t>
  </si>
  <si>
    <t>Municipal Water</t>
  </si>
  <si>
    <t>deionat/purified water</t>
  </si>
  <si>
    <t>discgarge to treatment plant</t>
  </si>
  <si>
    <t>direct discharge to the river</t>
  </si>
  <si>
    <t>Cooling Units</t>
  </si>
  <si>
    <t>Cooling plant 1</t>
  </si>
  <si>
    <t>Cooling plant 2</t>
  </si>
  <si>
    <r>
      <t>m</t>
    </r>
    <r>
      <rPr>
        <b/>
        <vertAlign val="superscript"/>
        <sz val="10"/>
        <rFont val="Arial"/>
        <family val="2"/>
      </rPr>
      <t>3</t>
    </r>
  </si>
  <si>
    <t>January</t>
  </si>
  <si>
    <t>Febuary</t>
  </si>
  <si>
    <t>March</t>
  </si>
  <si>
    <t>April</t>
  </si>
  <si>
    <t>May</t>
  </si>
  <si>
    <t>June</t>
  </si>
  <si>
    <t>July</t>
  </si>
  <si>
    <t>*</t>
  </si>
  <si>
    <t>August</t>
  </si>
  <si>
    <t>September</t>
  </si>
  <si>
    <t>October</t>
  </si>
  <si>
    <t>November</t>
  </si>
  <si>
    <t>December</t>
  </si>
  <si>
    <r>
      <t>* - no data, due to defective flow meter, ~1.000 m</t>
    </r>
    <r>
      <rPr>
        <vertAlign val="superscript"/>
        <sz val="10"/>
        <rFont val="Arial"/>
        <family val="2"/>
      </rPr>
      <t>3</t>
    </r>
  </si>
  <si>
    <t>Conventional RBD Soybean Oil</t>
  </si>
  <si>
    <t>Supplier</t>
  </si>
  <si>
    <t>Qty</t>
  </si>
  <si>
    <t>%</t>
  </si>
  <si>
    <t>Source refinery</t>
  </si>
  <si>
    <t>Input</t>
  </si>
  <si>
    <t>Bunge</t>
  </si>
  <si>
    <t>Bellevue OH</t>
  </si>
  <si>
    <t>US grown soybeans</t>
  </si>
  <si>
    <t>Zeeland Farm Services</t>
  </si>
  <si>
    <t>Zeeland MI</t>
  </si>
  <si>
    <t>Perdue Agribusiness</t>
  </si>
  <si>
    <t>Salisbury MD</t>
  </si>
  <si>
    <t>High Oleic RBD Soybean Oil</t>
  </si>
  <si>
    <t>Archer Daniels Midland</t>
  </si>
  <si>
    <t>Decatur IL</t>
  </si>
  <si>
    <t>US grown HO soybeans</t>
  </si>
  <si>
    <t>Palm Oils</t>
  </si>
  <si>
    <t>Palm Shortening</t>
  </si>
  <si>
    <t>Bunge Loders Croklaan</t>
  </si>
  <si>
    <t>Channahon IL</t>
  </si>
  <si>
    <t>Fuji Vegetable Oil Inc.</t>
  </si>
  <si>
    <t>Savannah GA</t>
  </si>
  <si>
    <t>Golden Agri Resources, Tarahan Refinery or Tarjun Refinery, Indonesia</t>
  </si>
  <si>
    <t>Perdue AgriBusiness LLC</t>
  </si>
  <si>
    <t>Apical Group, PT Jutai Refinery, Indonesia</t>
  </si>
  <si>
    <t>Palm Olein</t>
  </si>
  <si>
    <t>Alnor Oil Company Inc.</t>
  </si>
  <si>
    <t>Newark NJ</t>
  </si>
  <si>
    <t>Production Capacity (lb)</t>
  </si>
  <si>
    <t>Capacity</t>
  </si>
  <si>
    <t>Oleo</t>
  </si>
  <si>
    <t>Utilitie</t>
  </si>
  <si>
    <t>Expense 2023</t>
  </si>
  <si>
    <t>Productivity</t>
  </si>
  <si>
    <t>Rates</t>
  </si>
  <si>
    <t xml:space="preserve">Volume </t>
  </si>
  <si>
    <t>Expense 2024</t>
  </si>
  <si>
    <t>Electric Power</t>
  </si>
  <si>
    <t>Gas</t>
  </si>
  <si>
    <t>GNL</t>
  </si>
  <si>
    <t>Steam</t>
  </si>
  <si>
    <t>Nitrogen</t>
  </si>
  <si>
    <t>Liquid Fuels</t>
  </si>
  <si>
    <t>Diesel / Gasoline</t>
  </si>
  <si>
    <t>Market (tCO2e)</t>
  </si>
  <si>
    <t>Column1</t>
  </si>
  <si>
    <t>Scope 1 (2021)</t>
  </si>
  <si>
    <t>Scope 2 (2021)</t>
  </si>
  <si>
    <t>2021 SUM</t>
  </si>
  <si>
    <t>Scope 1 (2022)</t>
  </si>
  <si>
    <t>Scope 2 (2022)</t>
  </si>
  <si>
    <t>2022 SUM</t>
  </si>
  <si>
    <t>2022 Prod (ton)</t>
  </si>
  <si>
    <t>Scope 1 (2023)</t>
  </si>
  <si>
    <t>Scope 2 (2023)</t>
  </si>
  <si>
    <t>2023 SUM</t>
  </si>
  <si>
    <t>2023 Prod (ton)</t>
  </si>
  <si>
    <t>Delta Prod</t>
  </si>
  <si>
    <t>YoY Prod</t>
  </si>
  <si>
    <t>Delta Emissions</t>
  </si>
  <si>
    <t>% YoY Emissions</t>
  </si>
  <si>
    <t>Yoy Scope 1</t>
  </si>
  <si>
    <t>YoY Scope 2</t>
  </si>
  <si>
    <t>Vantage_Leuna</t>
  </si>
  <si>
    <t>Vantage_Barcelona</t>
  </si>
  <si>
    <t>Vantage_ Mexico City</t>
  </si>
  <si>
    <t>Vantage_Chicago</t>
  </si>
  <si>
    <t>Vantage_Gurnee</t>
  </si>
  <si>
    <t>Vantage_Argentina Farm (Agrinsa)</t>
  </si>
  <si>
    <t>Vantage_Dateland</t>
  </si>
  <si>
    <t>Vantage_Englewood</t>
  </si>
  <si>
    <t>Vantage_Carnegie</t>
  </si>
  <si>
    <t>Vantage_Linden</t>
  </si>
  <si>
    <t>Vantage_Fairfield</t>
  </si>
  <si>
    <t>Vantage_Warren</t>
  </si>
  <si>
    <t>Vantage_Tucson</t>
  </si>
  <si>
    <t>Vantage_Pittsburgh</t>
  </si>
  <si>
    <t>Vantage_Les Borges</t>
  </si>
  <si>
    <t>Vantage_South Africa</t>
  </si>
  <si>
    <t>Vantage_Delta</t>
  </si>
  <si>
    <t>Vantage_Deerfield</t>
  </si>
  <si>
    <t>Vantage_Tlalnepantla de Baz</t>
  </si>
  <si>
    <t>Vantage_Shanghai</t>
  </si>
  <si>
    <t>Vantage_Granollers</t>
  </si>
  <si>
    <t>Vantage_Bogotá</t>
  </si>
  <si>
    <t>Vantage_Santiago</t>
  </si>
  <si>
    <t>Vantage_Guatemala City</t>
  </si>
  <si>
    <t>Vantage_Sao Paulo</t>
  </si>
  <si>
    <t>Vantage_Buenos Aires</t>
  </si>
  <si>
    <t>Vantage_Mumbai</t>
  </si>
  <si>
    <t>Vantage_Lima</t>
  </si>
  <si>
    <t>Vantage_Costa_Rica</t>
  </si>
  <si>
    <t>Vantage_Paris</t>
  </si>
  <si>
    <t>2022 revenue</t>
  </si>
  <si>
    <t>2023 revenue</t>
  </si>
  <si>
    <t>2022 prod</t>
  </si>
  <si>
    <t>2023 prod</t>
  </si>
  <si>
    <t>Dry Frac Chillers - Running 1 vs 2</t>
  </si>
  <si>
    <t xml:space="preserve">Conti Odor scrubber system </t>
  </si>
  <si>
    <t>Spent Catalyst Reduction (also reduction in nitrogen)</t>
  </si>
  <si>
    <t>Target 25%</t>
  </si>
  <si>
    <t>Target 50%</t>
  </si>
  <si>
    <t>Water Use No ENF (ML)</t>
  </si>
  <si>
    <t>GHG/Water</t>
  </si>
  <si>
    <t>LED Lighting Replacement Project</t>
  </si>
  <si>
    <t>Steam Trap Survey and Fixes (Bldg 1)</t>
  </si>
  <si>
    <t>Insulation of steam lines (North Shore incentive) - Phase 1
Boiler Room in Bldg one, outdoor process areas</t>
  </si>
  <si>
    <t>Insulation of steam lines (North Shore incentive) - Phase 2 (Bldg 1) does not include oxide room</t>
  </si>
  <si>
    <t>HVAC Bldg 2 2nd Floor (7.5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</si>
</sst>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_);[Red]\(&quot;$&quot;#,##0\)"/>
    <numFmt numFmtId="44" formatCode="_(&quot;$&quot;* #,##0.00_);_(&quot;$&quot;* \(#,##0.00\);_(&quot;$&quot;* &quot;-&quot;??_);_(@_)"/>
    <numFmt numFmtId="43" formatCode="_(* #,##0.00_);_(* \(#,##0.00\);_(* &quot;-&quot;??_);_(@_)"/>
    <numFmt numFmtId="164" formatCode="\$#,##0;\(\$#,##0\);\$#,##0"/>
    <numFmt numFmtId="165" formatCode="_(* #,##0_);_(* \(#,##0\);_(* &quot;-&quot;??_);_(@_)"/>
    <numFmt numFmtId="166" formatCode="0.0%"/>
    <numFmt numFmtId="167" formatCode="_(* #,##0.0_);_(* \(#,##0.0\);_(* &quot;-&quot;??_);_(@_)"/>
    <numFmt numFmtId="168" formatCode="0.0"/>
    <numFmt numFmtId="169" formatCode="\$#,##0.0;\(\$#,##0.0\);\$#,##0.0"/>
    <numFmt numFmtId="170" formatCode="_(* #,##0.000_);_(* \(#,##0.000\);_(* &quot;-&quot;??????_);_(@_)"/>
    <numFmt numFmtId="171" formatCode="_(* #,##0.000_);_(* \(#,##0.000\);_(* &quot;-&quot;??_);_(@_)"/>
    <numFmt numFmtId="172" formatCode="_(* #,##0.000000_);_(* \(#,##0.000000\);_(* &quot;-&quot;??_);_(@_)"/>
  </numFmts>
  <fonts count="30" x14ac:knownFonts="1">
    <font>
      <sz val="11"/>
      <color theme="1"/>
      <name val="Aptos Narrow"/>
      <family val="2"/>
      <scheme val="minor"/>
    </font>
    <font>
      <sz val="11"/>
      <color theme="1"/>
      <name val="Aptos Narrow"/>
      <family val="2"/>
      <scheme val="minor"/>
    </font>
    <font>
      <sz val="11"/>
      <name val="Aptos Narrow"/>
      <family val="2"/>
    </font>
    <font>
      <b/>
      <sz val="11"/>
      <name val="Aptos Narrow"/>
      <family val="2"/>
    </font>
    <font>
      <sz val="11"/>
      <name val="Aptos Narrow"/>
      <family val="2"/>
    </font>
    <font>
      <u/>
      <sz val="11"/>
      <color theme="10"/>
      <name val="Aptos Narrow"/>
      <family val="2"/>
      <scheme val="minor"/>
    </font>
    <font>
      <i/>
      <u/>
      <sz val="11"/>
      <color theme="10"/>
      <name val="Aptos Narrow"/>
      <family val="2"/>
      <scheme val="minor"/>
    </font>
    <font>
      <b/>
      <sz val="12"/>
      <color theme="1"/>
      <name val="Aptos Narrow"/>
      <family val="2"/>
      <scheme val="minor"/>
    </font>
    <font>
      <b/>
      <sz val="11"/>
      <color theme="1"/>
      <name val="Aptos Narrow"/>
      <family val="2"/>
      <scheme val="minor"/>
    </font>
    <font>
      <i/>
      <sz val="11"/>
      <color theme="1"/>
      <name val="Aptos Narrow"/>
      <family val="2"/>
      <scheme val="minor"/>
    </font>
    <font>
      <sz val="16"/>
      <color theme="1"/>
      <name val="Aptos Narrow"/>
      <family val="2"/>
      <scheme val="minor"/>
    </font>
    <font>
      <b/>
      <sz val="16"/>
      <color theme="1"/>
      <name val="Aptos Narrow"/>
      <family val="2"/>
      <scheme val="minor"/>
    </font>
    <font>
      <b/>
      <sz val="11"/>
      <color theme="0"/>
      <name val="Aptos Narrow"/>
      <family val="2"/>
      <scheme val="minor"/>
    </font>
    <font>
      <sz val="11"/>
      <color theme="0"/>
      <name val="Aptos Narrow"/>
      <family val="2"/>
      <scheme val="minor"/>
    </font>
    <font>
      <b/>
      <u/>
      <sz val="12"/>
      <color theme="1"/>
      <name val="Aptos Narrow"/>
      <family val="2"/>
      <scheme val="minor"/>
    </font>
    <font>
      <b/>
      <u/>
      <sz val="11"/>
      <color theme="1"/>
      <name val="Aptos Narrow"/>
      <family val="2"/>
      <scheme val="minor"/>
    </font>
    <font>
      <sz val="9"/>
      <color indexed="81"/>
      <name val="Tahoma"/>
      <family val="2"/>
    </font>
    <font>
      <b/>
      <sz val="9"/>
      <color indexed="81"/>
      <name val="Tahoma"/>
      <family val="2"/>
    </font>
    <font>
      <sz val="8"/>
      <name val="Aptos Narrow"/>
      <family val="2"/>
      <scheme val="minor"/>
    </font>
    <font>
      <b/>
      <i/>
      <sz val="11"/>
      <color theme="1"/>
      <name val="Aptos Narrow"/>
      <family val="2"/>
      <scheme val="minor"/>
    </font>
    <font>
      <sz val="10"/>
      <color theme="1"/>
      <name val="Arial"/>
      <family val="2"/>
    </font>
    <font>
      <b/>
      <sz val="10"/>
      <color rgb="FF000000"/>
      <name val="Arial"/>
      <family val="2"/>
    </font>
    <font>
      <sz val="10"/>
      <color rgb="FF000000"/>
      <name val="Arial"/>
      <family val="2"/>
    </font>
    <font>
      <b/>
      <sz val="11"/>
      <color rgb="FF000000"/>
      <name val="Arial"/>
      <family val="2"/>
    </font>
    <font>
      <sz val="11"/>
      <name val="Aptos Narrow"/>
      <family val="2"/>
    </font>
    <font>
      <sz val="10"/>
      <name val="Arial"/>
      <family val="2"/>
    </font>
    <font>
      <b/>
      <sz val="12"/>
      <name val="Arial"/>
      <family val="2"/>
    </font>
    <font>
      <b/>
      <sz val="10"/>
      <name val="Arial"/>
      <family val="2"/>
    </font>
    <font>
      <b/>
      <vertAlign val="superscript"/>
      <sz val="10"/>
      <name val="Arial"/>
      <family val="2"/>
    </font>
    <font>
      <vertAlign val="superscript"/>
      <sz val="10"/>
      <name val="Arial"/>
      <family val="2"/>
    </font>
  </fonts>
  <fills count="19">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249977111117893"/>
        <bgColor indexed="64"/>
      </patternFill>
    </fill>
    <fill>
      <patternFill patternType="solid">
        <fgColor rgb="FFFF0000"/>
        <bgColor indexed="64"/>
      </patternFill>
    </fill>
    <fill>
      <patternFill patternType="solid">
        <fgColor rgb="FFC00000"/>
        <bgColor indexed="64"/>
      </patternFill>
    </fill>
    <fill>
      <patternFill patternType="solid">
        <fgColor theme="6" tint="0.79998168889431442"/>
        <bgColor indexed="64"/>
      </patternFill>
    </fill>
    <fill>
      <patternFill patternType="solid">
        <fgColor theme="2"/>
        <bgColor indexed="64"/>
      </patternFill>
    </fill>
    <fill>
      <patternFill patternType="solid">
        <fgColor theme="5" tint="0.59999389629810485"/>
        <bgColor indexed="64"/>
      </patternFill>
    </fill>
    <fill>
      <patternFill patternType="solid">
        <fgColor theme="0"/>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7" tint="0.79998168889431442"/>
        <bgColor indexed="64"/>
      </patternFill>
    </fill>
    <fill>
      <patternFill patternType="solid">
        <fgColor theme="1"/>
        <bgColor indexed="64"/>
      </patternFill>
    </fill>
  </fills>
  <borders count="22">
    <border>
      <left/>
      <right/>
      <top/>
      <bottom/>
      <diagonal/>
    </border>
    <border>
      <left/>
      <right style="thin">
        <color auto="1"/>
      </right>
      <top/>
      <bottom/>
      <diagonal/>
    </border>
    <border>
      <left/>
      <right/>
      <top/>
      <bottom style="thin">
        <color auto="1"/>
      </bottom>
      <diagonal/>
    </border>
    <border>
      <left/>
      <right style="thin">
        <color indexed="64"/>
      </right>
      <top style="medium">
        <color indexed="64"/>
      </top>
      <bottom/>
      <diagonal/>
    </border>
    <border>
      <left/>
      <right/>
      <top style="medium">
        <color indexed="64"/>
      </top>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9">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xf numFmtId="0" fontId="5" fillId="0" borderId="0" applyNumberFormat="0" applyFill="0" applyBorder="0" applyAlignment="0" applyProtection="0"/>
    <xf numFmtId="0" fontId="4" fillId="0" borderId="0"/>
    <xf numFmtId="43" fontId="1" fillId="0" borderId="0" applyFont="0" applyFill="0" applyBorder="0" applyAlignment="0" applyProtection="0"/>
    <xf numFmtId="0" fontId="24" fillId="0" borderId="0"/>
    <xf numFmtId="0" fontId="25" fillId="0" borderId="0"/>
  </cellStyleXfs>
  <cellXfs count="214">
    <xf numFmtId="0" fontId="0" fillId="0" borderId="0" xfId="0"/>
    <xf numFmtId="0" fontId="2" fillId="0" borderId="0" xfId="3"/>
    <xf numFmtId="0" fontId="2" fillId="0" borderId="2" xfId="3" applyBorder="1"/>
    <xf numFmtId="0" fontId="2" fillId="0" borderId="0" xfId="3" applyAlignment="1">
      <alignment vertical="top"/>
    </xf>
    <xf numFmtId="0" fontId="6" fillId="0" borderId="0" xfId="4" applyFont="1"/>
    <xf numFmtId="0" fontId="0" fillId="0" borderId="0" xfId="0" applyAlignment="1">
      <alignment horizontal="right"/>
    </xf>
    <xf numFmtId="0" fontId="0" fillId="0" borderId="0" xfId="0" applyAlignment="1">
      <alignment wrapText="1"/>
    </xf>
    <xf numFmtId="1" fontId="0" fillId="0" borderId="0" xfId="0" applyNumberFormat="1"/>
    <xf numFmtId="0" fontId="0" fillId="5" borderId="0" xfId="0" applyFill="1"/>
    <xf numFmtId="0" fontId="7" fillId="0" borderId="0" xfId="0" applyFont="1"/>
    <xf numFmtId="44" fontId="0" fillId="0" borderId="0" xfId="1" applyFont="1"/>
    <xf numFmtId="44" fontId="0" fillId="0" borderId="0" xfId="0" applyNumberFormat="1"/>
    <xf numFmtId="0" fontId="10" fillId="0" borderId="0" xfId="0" applyFont="1"/>
    <xf numFmtId="0" fontId="0" fillId="6" borderId="0" xfId="0" applyFill="1"/>
    <xf numFmtId="0" fontId="0" fillId="6" borderId="0" xfId="0" applyFill="1" applyAlignment="1">
      <alignment horizontal="right"/>
    </xf>
    <xf numFmtId="0" fontId="0" fillId="6" borderId="0" xfId="0" applyFill="1" applyAlignment="1">
      <alignment wrapText="1"/>
    </xf>
    <xf numFmtId="0" fontId="8" fillId="6" borderId="0" xfId="0" applyFont="1" applyFill="1" applyAlignment="1">
      <alignment wrapText="1"/>
    </xf>
    <xf numFmtId="0" fontId="0" fillId="7" borderId="0" xfId="0" applyFill="1"/>
    <xf numFmtId="0" fontId="0" fillId="7" borderId="0" xfId="0" applyFill="1" applyAlignment="1">
      <alignment horizontal="right"/>
    </xf>
    <xf numFmtId="0" fontId="0" fillId="7" borderId="0" xfId="0" applyFill="1" applyAlignment="1">
      <alignment wrapText="1"/>
    </xf>
    <xf numFmtId="0" fontId="15" fillId="0" borderId="0" xfId="0" applyFont="1" applyAlignment="1">
      <alignment horizontal="center" wrapText="1"/>
    </xf>
    <xf numFmtId="165" fontId="15" fillId="0" borderId="0" xfId="6" applyNumberFormat="1" applyFont="1" applyAlignment="1">
      <alignment horizontal="center" wrapText="1"/>
    </xf>
    <xf numFmtId="165" fontId="0" fillId="0" borderId="0" xfId="6" applyNumberFormat="1" applyFont="1" applyAlignment="1">
      <alignment horizontal="center"/>
    </xf>
    <xf numFmtId="9" fontId="0" fillId="0" borderId="0" xfId="2" applyFont="1" applyAlignment="1">
      <alignment horizontal="center"/>
    </xf>
    <xf numFmtId="0" fontId="0" fillId="0" borderId="0" xfId="0" applyAlignment="1">
      <alignment horizontal="center"/>
    </xf>
    <xf numFmtId="166" fontId="0" fillId="0" borderId="0" xfId="2" applyNumberFormat="1" applyFont="1" applyAlignment="1">
      <alignment horizontal="center"/>
    </xf>
    <xf numFmtId="165" fontId="0" fillId="0" borderId="0" xfId="6" applyNumberFormat="1" applyFont="1"/>
    <xf numFmtId="166" fontId="0" fillId="0" borderId="0" xfId="2" applyNumberFormat="1" applyFont="1"/>
    <xf numFmtId="165" fontId="0" fillId="0" borderId="0" xfId="0" applyNumberFormat="1"/>
    <xf numFmtId="43" fontId="0" fillId="0" borderId="0" xfId="0" applyNumberFormat="1"/>
    <xf numFmtId="43" fontId="0" fillId="0" borderId="0" xfId="6" applyFont="1"/>
    <xf numFmtId="167" fontId="0" fillId="11" borderId="0" xfId="6" applyNumberFormat="1" applyFont="1" applyFill="1"/>
    <xf numFmtId="167" fontId="0" fillId="12" borderId="0" xfId="6" applyNumberFormat="1" applyFont="1" applyFill="1"/>
    <xf numFmtId="167" fontId="0" fillId="6" borderId="0" xfId="6" applyNumberFormat="1" applyFont="1" applyFill="1"/>
    <xf numFmtId="167" fontId="0" fillId="0" borderId="0" xfId="0" applyNumberFormat="1"/>
    <xf numFmtId="0" fontId="0" fillId="13" borderId="0" xfId="0" applyFill="1"/>
    <xf numFmtId="165" fontId="0" fillId="11" borderId="0" xfId="0" applyNumberFormat="1" applyFill="1"/>
    <xf numFmtId="165" fontId="0" fillId="12" borderId="0" xfId="0" applyNumberFormat="1" applyFill="1"/>
    <xf numFmtId="165" fontId="0" fillId="6" borderId="0" xfId="0" applyNumberFormat="1" applyFill="1"/>
    <xf numFmtId="165" fontId="0" fillId="14" borderId="0" xfId="0" applyNumberFormat="1" applyFill="1"/>
    <xf numFmtId="43" fontId="8" fillId="0" borderId="0" xfId="6" applyFont="1"/>
    <xf numFmtId="10" fontId="0" fillId="0" borderId="0" xfId="2" applyNumberFormat="1" applyFont="1"/>
    <xf numFmtId="43" fontId="1" fillId="0" borderId="3" xfId="6" applyFont="1" applyFill="1" applyBorder="1" applyAlignment="1">
      <alignment horizontal="left"/>
    </xf>
    <xf numFmtId="43" fontId="1" fillId="0" borderId="4" xfId="6" applyFont="1" applyFill="1" applyBorder="1" applyAlignment="1"/>
    <xf numFmtId="43" fontId="1" fillId="0" borderId="1" xfId="6" applyFont="1" applyFill="1" applyBorder="1" applyAlignment="1">
      <alignment horizontal="left"/>
    </xf>
    <xf numFmtId="43" fontId="1" fillId="0" borderId="0" xfId="6" applyFont="1" applyFill="1" applyBorder="1" applyAlignment="1"/>
    <xf numFmtId="43" fontId="8" fillId="0" borderId="5" xfId="6" applyFont="1" applyFill="1" applyBorder="1" applyAlignment="1">
      <alignment horizontal="left"/>
    </xf>
    <xf numFmtId="43" fontId="1" fillId="0" borderId="6" xfId="6" applyFont="1" applyFill="1" applyBorder="1" applyAlignment="1"/>
    <xf numFmtId="0" fontId="0" fillId="2" borderId="0" xfId="0" applyFill="1" applyAlignment="1">
      <alignment wrapText="1"/>
    </xf>
    <xf numFmtId="3" fontId="0" fillId="0" borderId="0" xfId="0" applyNumberFormat="1"/>
    <xf numFmtId="2" fontId="0" fillId="0" borderId="0" xfId="0" applyNumberFormat="1"/>
    <xf numFmtId="168" fontId="0" fillId="0" borderId="0" xfId="0" applyNumberFormat="1"/>
    <xf numFmtId="0" fontId="0" fillId="0" borderId="7" xfId="0" applyBorder="1"/>
    <xf numFmtId="0" fontId="9" fillId="0" borderId="8" xfId="0" applyFont="1" applyBorder="1" applyAlignment="1">
      <alignment horizontal="center"/>
    </xf>
    <xf numFmtId="0" fontId="9" fillId="0" borderId="0" xfId="0" applyFont="1" applyAlignment="1">
      <alignment horizontal="center"/>
    </xf>
    <xf numFmtId="44" fontId="0" fillId="5" borderId="0" xfId="1" applyFont="1" applyFill="1"/>
    <xf numFmtId="0" fontId="8" fillId="0" borderId="8" xfId="0" applyFont="1" applyBorder="1" applyAlignment="1">
      <alignment horizontal="centerContinuous"/>
    </xf>
    <xf numFmtId="0" fontId="9" fillId="0" borderId="0" xfId="0" applyFont="1"/>
    <xf numFmtId="0" fontId="9" fillId="0" borderId="7" xfId="0" applyFont="1" applyBorder="1"/>
    <xf numFmtId="0" fontId="0" fillId="0" borderId="2" xfId="0" applyBorder="1"/>
    <xf numFmtId="164" fontId="0" fillId="0" borderId="0" xfId="0" applyNumberFormat="1"/>
    <xf numFmtId="169" fontId="0" fillId="0" borderId="0" xfId="0" applyNumberFormat="1"/>
    <xf numFmtId="9" fontId="0" fillId="0" borderId="0" xfId="2" applyFont="1"/>
    <xf numFmtId="0" fontId="0" fillId="2" borderId="0" xfId="0" applyFill="1"/>
    <xf numFmtId="170" fontId="0" fillId="0" borderId="0" xfId="0" applyNumberFormat="1"/>
    <xf numFmtId="0" fontId="0" fillId="0" borderId="4" xfId="0" applyBorder="1"/>
    <xf numFmtId="3" fontId="0" fillId="0" borderId="4" xfId="0" applyNumberFormat="1" applyBorder="1"/>
    <xf numFmtId="172" fontId="0" fillId="0" borderId="4" xfId="0" applyNumberFormat="1" applyBorder="1"/>
    <xf numFmtId="3" fontId="0" fillId="0" borderId="7" xfId="0" applyNumberFormat="1" applyBorder="1"/>
    <xf numFmtId="172" fontId="0" fillId="0" borderId="7" xfId="0" applyNumberFormat="1" applyBorder="1"/>
    <xf numFmtId="9" fontId="1" fillId="0" borderId="7" xfId="2" applyFont="1" applyFill="1" applyBorder="1" applyAlignment="1"/>
    <xf numFmtId="0" fontId="0" fillId="0" borderId="4" xfId="0" applyBorder="1" applyAlignment="1">
      <alignment horizontal="left"/>
    </xf>
    <xf numFmtId="0" fontId="0" fillId="0" borderId="7" xfId="0" applyBorder="1" applyAlignment="1">
      <alignment horizontal="left"/>
    </xf>
    <xf numFmtId="171" fontId="0" fillId="0" borderId="7" xfId="0" applyNumberFormat="1" applyBorder="1"/>
    <xf numFmtId="0" fontId="8" fillId="0" borderId="8" xfId="0" applyFont="1" applyBorder="1" applyAlignment="1">
      <alignment horizontal="center"/>
    </xf>
    <xf numFmtId="171" fontId="8" fillId="0" borderId="8" xfId="0" applyNumberFormat="1" applyFont="1" applyBorder="1" applyAlignment="1">
      <alignment horizontal="center"/>
    </xf>
    <xf numFmtId="165" fontId="0" fillId="15" borderId="0" xfId="6" applyNumberFormat="1" applyFont="1" applyFill="1"/>
    <xf numFmtId="44" fontId="0" fillId="15" borderId="0" xfId="1" applyFont="1" applyFill="1"/>
    <xf numFmtId="14" fontId="19" fillId="0" borderId="0" xfId="0" applyNumberFormat="1" applyFont="1"/>
    <xf numFmtId="165" fontId="1" fillId="0" borderId="0" xfId="0" applyNumberFormat="1" applyFont="1"/>
    <xf numFmtId="9" fontId="1" fillId="0" borderId="0" xfId="0" applyNumberFormat="1" applyFont="1"/>
    <xf numFmtId="165" fontId="0" fillId="0" borderId="0" xfId="6" applyNumberFormat="1" applyFont="1" applyFill="1"/>
    <xf numFmtId="0" fontId="0" fillId="0" borderId="0" xfId="0" pivotButton="1"/>
    <xf numFmtId="0" fontId="0" fillId="0" borderId="0" xfId="0" applyAlignment="1">
      <alignment horizontal="left"/>
    </xf>
    <xf numFmtId="0" fontId="20" fillId="16" borderId="9" xfId="0" applyFont="1" applyFill="1" applyBorder="1" applyAlignment="1">
      <alignment horizontal="center" vertical="center"/>
    </xf>
    <xf numFmtId="0" fontId="22" fillId="16" borderId="9" xfId="0" applyFont="1" applyFill="1" applyBorder="1" applyAlignment="1">
      <alignment horizontal="center" vertical="center"/>
    </xf>
    <xf numFmtId="0" fontId="21" fillId="16" borderId="9" xfId="0" applyFont="1" applyFill="1" applyBorder="1" applyAlignment="1">
      <alignment horizontal="center" vertical="center"/>
    </xf>
    <xf numFmtId="0" fontId="21" fillId="16" borderId="9" xfId="0" applyFont="1" applyFill="1" applyBorder="1" applyAlignment="1">
      <alignment horizontal="center" vertical="center" wrapText="1"/>
    </xf>
    <xf numFmtId="0" fontId="22" fillId="16" borderId="9" xfId="0" applyFont="1" applyFill="1" applyBorder="1" applyAlignment="1">
      <alignment horizontal="center" vertical="center" wrapText="1"/>
    </xf>
    <xf numFmtId="0" fontId="21" fillId="16" borderId="9" xfId="0" applyFont="1" applyFill="1" applyBorder="1" applyAlignment="1">
      <alignment vertical="center"/>
    </xf>
    <xf numFmtId="6" fontId="22" fillId="16" borderId="9" xfId="0" applyNumberFormat="1" applyFont="1" applyFill="1" applyBorder="1" applyAlignment="1">
      <alignment horizontal="center" vertical="center"/>
    </xf>
    <xf numFmtId="9" fontId="22" fillId="16" borderId="9" xfId="0" applyNumberFormat="1" applyFont="1" applyFill="1" applyBorder="1" applyAlignment="1">
      <alignment horizontal="center" vertical="center"/>
    </xf>
    <xf numFmtId="0" fontId="8" fillId="0" borderId="9" xfId="0" applyFont="1" applyBorder="1"/>
    <xf numFmtId="0" fontId="21" fillId="0" borderId="9" xfId="0" applyFont="1" applyBorder="1" applyAlignment="1">
      <alignment horizontal="center" vertical="center"/>
    </xf>
    <xf numFmtId="0" fontId="22" fillId="0" borderId="9" xfId="0" applyFont="1" applyBorder="1" applyAlignment="1">
      <alignment horizontal="center" vertical="center"/>
    </xf>
    <xf numFmtId="3" fontId="22" fillId="0" borderId="9" xfId="0" applyNumberFormat="1" applyFont="1" applyBorder="1" applyAlignment="1">
      <alignment horizontal="center" vertical="center"/>
    </xf>
    <xf numFmtId="165" fontId="0" fillId="17" borderId="9" xfId="6" applyNumberFormat="1" applyFont="1" applyFill="1" applyBorder="1"/>
    <xf numFmtId="43" fontId="0" fillId="17" borderId="9" xfId="0" applyNumberFormat="1" applyFill="1" applyBorder="1"/>
    <xf numFmtId="165" fontId="0" fillId="3" borderId="9" xfId="0" applyNumberFormat="1" applyFill="1" applyBorder="1"/>
    <xf numFmtId="0" fontId="8" fillId="5" borderId="9" xfId="0" applyFont="1" applyFill="1" applyBorder="1"/>
    <xf numFmtId="0" fontId="23" fillId="5" borderId="9" xfId="0" applyFont="1" applyFill="1" applyBorder="1" applyAlignment="1">
      <alignment horizontal="center" vertical="center"/>
    </xf>
    <xf numFmtId="0" fontId="23" fillId="5" borderId="9" xfId="0" applyFont="1" applyFill="1" applyBorder="1" applyAlignment="1">
      <alignment horizontal="center" vertical="center" wrapText="1"/>
    </xf>
    <xf numFmtId="44" fontId="0" fillId="0" borderId="0" xfId="1" applyFont="1" applyAlignment="1">
      <alignment wrapText="1"/>
    </xf>
    <xf numFmtId="0" fontId="24" fillId="0" borderId="0" xfId="7"/>
    <xf numFmtId="0" fontId="24" fillId="0" borderId="1" xfId="7" applyBorder="1"/>
    <xf numFmtId="3" fontId="24" fillId="0" borderId="0" xfId="7" applyNumberFormat="1"/>
    <xf numFmtId="0" fontId="24" fillId="0" borderId="0" xfId="7" applyAlignment="1">
      <alignment vertical="top"/>
    </xf>
    <xf numFmtId="0" fontId="24" fillId="0" borderId="2" xfId="7" applyBorder="1"/>
    <xf numFmtId="0" fontId="2" fillId="0" borderId="2" xfId="7" applyFont="1" applyBorder="1"/>
    <xf numFmtId="0" fontId="24" fillId="4" borderId="0" xfId="7" applyFill="1" applyAlignment="1">
      <alignment vertical="top"/>
    </xf>
    <xf numFmtId="0" fontId="24" fillId="4" borderId="1" xfId="7" applyFill="1" applyBorder="1"/>
    <xf numFmtId="3" fontId="24" fillId="4" borderId="0" xfId="7" applyNumberFormat="1" applyFill="1"/>
    <xf numFmtId="0" fontId="24" fillId="4" borderId="0" xfId="7" applyFill="1"/>
    <xf numFmtId="0" fontId="24" fillId="2" borderId="0" xfId="7" applyFill="1" applyAlignment="1">
      <alignment vertical="top"/>
    </xf>
    <xf numFmtId="0" fontId="24" fillId="2" borderId="1" xfId="7" applyFill="1" applyBorder="1"/>
    <xf numFmtId="3" fontId="24" fillId="2" borderId="0" xfId="7" applyNumberFormat="1" applyFill="1"/>
    <xf numFmtId="0" fontId="24" fillId="2" borderId="0" xfId="7" applyFill="1"/>
    <xf numFmtId="0" fontId="24" fillId="3" borderId="0" xfId="7" applyFill="1" applyAlignment="1">
      <alignment vertical="top"/>
    </xf>
    <xf numFmtId="0" fontId="24" fillId="3" borderId="1" xfId="7" applyFill="1" applyBorder="1"/>
    <xf numFmtId="3" fontId="24" fillId="3" borderId="0" xfId="7" applyNumberFormat="1" applyFill="1"/>
    <xf numFmtId="0" fontId="24" fillId="3" borderId="0" xfId="7" applyFill="1"/>
    <xf numFmtId="43" fontId="2" fillId="0" borderId="2" xfId="6" applyFont="1" applyBorder="1"/>
    <xf numFmtId="43" fontId="24" fillId="0" borderId="0" xfId="6" applyFont="1"/>
    <xf numFmtId="0" fontId="0" fillId="2" borderId="0" xfId="0" applyFill="1" applyAlignment="1">
      <alignment horizontal="left"/>
    </xf>
    <xf numFmtId="43" fontId="0" fillId="2" borderId="0" xfId="0" applyNumberFormat="1" applyFill="1"/>
    <xf numFmtId="0" fontId="0" fillId="3" borderId="0" xfId="0" applyFill="1" applyAlignment="1">
      <alignment horizontal="left"/>
    </xf>
    <xf numFmtId="43" fontId="0" fillId="3" borderId="0" xfId="0" applyNumberFormat="1" applyFill="1"/>
    <xf numFmtId="0" fontId="0" fillId="4" borderId="0" xfId="0" applyFill="1" applyAlignment="1">
      <alignment horizontal="left"/>
    </xf>
    <xf numFmtId="43" fontId="0" fillId="4" borderId="0" xfId="0" applyNumberFormat="1" applyFill="1"/>
    <xf numFmtId="164" fontId="3" fillId="0" borderId="0" xfId="3" applyNumberFormat="1" applyFont="1"/>
    <xf numFmtId="164" fontId="2" fillId="0" borderId="0" xfId="3" applyNumberFormat="1"/>
    <xf numFmtId="166" fontId="2" fillId="0" borderId="0" xfId="2" applyNumberFormat="1" applyFont="1"/>
    <xf numFmtId="166" fontId="3" fillId="0" borderId="0" xfId="2" applyNumberFormat="1" applyFont="1"/>
    <xf numFmtId="10" fontId="2" fillId="0" borderId="2" xfId="2" applyNumberFormat="1" applyFont="1" applyFill="1" applyBorder="1"/>
    <xf numFmtId="10" fontId="2" fillId="0" borderId="0" xfId="2" applyNumberFormat="1" applyFont="1"/>
    <xf numFmtId="166" fontId="0" fillId="0" borderId="0" xfId="0" applyNumberFormat="1"/>
    <xf numFmtId="164" fontId="0" fillId="2" borderId="0" xfId="0" applyNumberFormat="1" applyFill="1"/>
    <xf numFmtId="166" fontId="0" fillId="2" borderId="0" xfId="0" applyNumberFormat="1" applyFill="1"/>
    <xf numFmtId="164" fontId="0" fillId="4" borderId="0" xfId="0" applyNumberFormat="1" applyFill="1"/>
    <xf numFmtId="166" fontId="0" fillId="4" borderId="0" xfId="0" applyNumberFormat="1" applyFill="1"/>
    <xf numFmtId="164" fontId="0" fillId="3" borderId="0" xfId="0" applyNumberFormat="1" applyFill="1"/>
    <xf numFmtId="166" fontId="0" fillId="3" borderId="0" xfId="0" applyNumberFormat="1" applyFill="1"/>
    <xf numFmtId="0" fontId="2" fillId="3" borderId="0" xfId="3" applyFill="1" applyAlignment="1">
      <alignment vertical="top"/>
    </xf>
    <xf numFmtId="164" fontId="2" fillId="3" borderId="0" xfId="3" applyNumberFormat="1" applyFill="1"/>
    <xf numFmtId="166" fontId="2" fillId="3" borderId="0" xfId="2" applyNumberFormat="1" applyFont="1" applyFill="1"/>
    <xf numFmtId="0" fontId="2" fillId="4" borderId="0" xfId="3" applyFill="1" applyAlignment="1">
      <alignment vertical="top"/>
    </xf>
    <xf numFmtId="164" fontId="2" fillId="4" borderId="0" xfId="3" applyNumberFormat="1" applyFill="1"/>
    <xf numFmtId="166" fontId="2" fillId="4" borderId="0" xfId="2" applyNumberFormat="1" applyFont="1" applyFill="1"/>
    <xf numFmtId="0" fontId="2" fillId="2" borderId="0" xfId="3" applyFill="1" applyAlignment="1">
      <alignment vertical="top"/>
    </xf>
    <xf numFmtId="164" fontId="2" fillId="2" borderId="0" xfId="3" applyNumberFormat="1" applyFill="1"/>
    <xf numFmtId="166" fontId="2" fillId="2" borderId="0" xfId="2" applyNumberFormat="1" applyFont="1" applyFill="1"/>
    <xf numFmtId="43" fontId="12" fillId="18" borderId="0" xfId="6" applyFont="1" applyFill="1" applyAlignment="1">
      <alignment horizontal="center"/>
    </xf>
    <xf numFmtId="0" fontId="25" fillId="0" borderId="0" xfId="8"/>
    <xf numFmtId="0" fontId="26" fillId="0" borderId="0" xfId="8" applyFont="1"/>
    <xf numFmtId="0" fontId="25" fillId="0" borderId="0" xfId="8" quotePrefix="1"/>
    <xf numFmtId="0" fontId="27" fillId="0" borderId="16" xfId="8" applyFont="1" applyBorder="1" applyAlignment="1">
      <alignment horizontal="right"/>
    </xf>
    <xf numFmtId="0" fontId="27" fillId="0" borderId="9" xfId="8" applyFont="1" applyBorder="1" applyAlignment="1">
      <alignment horizontal="center"/>
    </xf>
    <xf numFmtId="0" fontId="27" fillId="0" borderId="19" xfId="8" applyFont="1" applyBorder="1" applyAlignment="1">
      <alignment horizontal="right"/>
    </xf>
    <xf numFmtId="0" fontId="27" fillId="0" borderId="16" xfId="8" applyFont="1" applyBorder="1" applyAlignment="1">
      <alignment horizontal="center"/>
    </xf>
    <xf numFmtId="0" fontId="27" fillId="0" borderId="15" xfId="8" applyFont="1" applyBorder="1" applyAlignment="1">
      <alignment horizontal="center"/>
    </xf>
    <xf numFmtId="0" fontId="27" fillId="0" borderId="19" xfId="8" applyFont="1" applyBorder="1" applyAlignment="1">
      <alignment horizontal="center"/>
    </xf>
    <xf numFmtId="0" fontId="27" fillId="0" borderId="16" xfId="8" applyFont="1" applyBorder="1" applyAlignment="1">
      <alignment horizontal="center" vertical="center"/>
    </xf>
    <xf numFmtId="0" fontId="27" fillId="0" borderId="1" xfId="8" applyFont="1" applyBorder="1" applyAlignment="1">
      <alignment horizontal="center"/>
    </xf>
    <xf numFmtId="0" fontId="27" fillId="0" borderId="19" xfId="8" applyFont="1" applyBorder="1" applyAlignment="1">
      <alignment horizontal="center" vertical="center"/>
    </xf>
    <xf numFmtId="0" fontId="27" fillId="0" borderId="20" xfId="8" applyFont="1" applyBorder="1" applyAlignment="1">
      <alignment horizontal="right"/>
    </xf>
    <xf numFmtId="2" fontId="27" fillId="0" borderId="20" xfId="8" applyNumberFormat="1" applyFont="1" applyBorder="1" applyAlignment="1">
      <alignment horizontal="center"/>
    </xf>
    <xf numFmtId="0" fontId="27" fillId="0" borderId="18" xfId="8" applyFont="1" applyBorder="1" applyAlignment="1">
      <alignment horizontal="center"/>
    </xf>
    <xf numFmtId="0" fontId="27" fillId="0" borderId="20" xfId="8" applyFont="1" applyBorder="1" applyAlignment="1">
      <alignment horizontal="center"/>
    </xf>
    <xf numFmtId="17" fontId="25" fillId="0" borderId="19" xfId="8" applyNumberFormat="1" applyBorder="1"/>
    <xf numFmtId="1" fontId="25" fillId="0" borderId="19" xfId="8" applyNumberFormat="1" applyBorder="1"/>
    <xf numFmtId="0" fontId="25" fillId="0" borderId="19" xfId="8" applyBorder="1"/>
    <xf numFmtId="3" fontId="25" fillId="0" borderId="21" xfId="8" applyNumberFormat="1" applyBorder="1"/>
    <xf numFmtId="3" fontId="25" fillId="0" borderId="0" xfId="8" applyNumberFormat="1"/>
    <xf numFmtId="3" fontId="25" fillId="0" borderId="19" xfId="8" applyNumberFormat="1" applyBorder="1"/>
    <xf numFmtId="0" fontId="25" fillId="0" borderId="19" xfId="8" applyBorder="1" applyAlignment="1">
      <alignment horizontal="right"/>
    </xf>
    <xf numFmtId="0" fontId="25" fillId="0" borderId="21" xfId="8" applyBorder="1"/>
    <xf numFmtId="0" fontId="27" fillId="0" borderId="9" xfId="8" quotePrefix="1" applyFont="1" applyBorder="1" applyAlignment="1">
      <alignment horizontal="right"/>
    </xf>
    <xf numFmtId="3" fontId="27" fillId="0" borderId="12" xfId="8" applyNumberFormat="1" applyFont="1" applyBorder="1"/>
    <xf numFmtId="3" fontId="27" fillId="0" borderId="9" xfId="8" applyNumberFormat="1" applyFont="1" applyBorder="1"/>
    <xf numFmtId="17" fontId="25" fillId="0" borderId="0" xfId="8" applyNumberFormat="1"/>
    <xf numFmtId="43" fontId="2" fillId="0" borderId="0" xfId="6" applyFont="1"/>
    <xf numFmtId="0" fontId="2" fillId="2" borderId="0" xfId="3" applyFill="1"/>
    <xf numFmtId="0" fontId="2" fillId="4" borderId="0" xfId="3" applyFill="1"/>
    <xf numFmtId="0" fontId="2" fillId="3" borderId="0" xfId="3" applyFill="1"/>
    <xf numFmtId="43" fontId="2" fillId="2" borderId="0" xfId="6" applyFont="1" applyFill="1"/>
    <xf numFmtId="43" fontId="2" fillId="4" borderId="0" xfId="6" applyFont="1" applyFill="1"/>
    <xf numFmtId="43" fontId="2" fillId="3" borderId="0" xfId="6" applyFont="1" applyFill="1"/>
    <xf numFmtId="165" fontId="0" fillId="2" borderId="0" xfId="6" applyNumberFormat="1" applyFont="1" applyFill="1"/>
    <xf numFmtId="44" fontId="0" fillId="4" borderId="0" xfId="1" applyFont="1" applyFill="1"/>
    <xf numFmtId="0" fontId="8" fillId="6" borderId="0" xfId="0" applyFont="1" applyFill="1" applyAlignment="1">
      <alignment horizontal="center"/>
    </xf>
    <xf numFmtId="0" fontId="8" fillId="3" borderId="0" xfId="0" applyFont="1" applyFill="1" applyAlignment="1">
      <alignment horizontal="center"/>
    </xf>
    <xf numFmtId="0" fontId="8" fillId="4" borderId="0" xfId="0" applyFont="1" applyFill="1" applyAlignment="1">
      <alignment horizontal="center"/>
    </xf>
    <xf numFmtId="0" fontId="0" fillId="3" borderId="0" xfId="0" applyFill="1" applyAlignment="1">
      <alignment horizontal="center"/>
    </xf>
    <xf numFmtId="0" fontId="0" fillId="4" borderId="0" xfId="0" applyFill="1" applyAlignment="1">
      <alignment horizontal="center"/>
    </xf>
    <xf numFmtId="0" fontId="0" fillId="6" borderId="0" xfId="0" applyFill="1" applyAlignment="1">
      <alignment horizontal="center"/>
    </xf>
    <xf numFmtId="0" fontId="23" fillId="5" borderId="9" xfId="0" applyFont="1" applyFill="1" applyBorder="1" applyAlignment="1">
      <alignment horizontal="center" vertical="center"/>
    </xf>
    <xf numFmtId="0" fontId="23" fillId="5" borderId="10" xfId="0" applyFont="1" applyFill="1" applyBorder="1" applyAlignment="1">
      <alignment horizontal="center" vertical="center" wrapText="1"/>
    </xf>
    <xf numFmtId="0" fontId="23" fillId="5" borderId="11" xfId="0" applyFont="1" applyFill="1" applyBorder="1" applyAlignment="1">
      <alignment horizontal="center" vertical="center" wrapText="1"/>
    </xf>
    <xf numFmtId="0" fontId="23" fillId="5" borderId="12" xfId="0" applyFont="1" applyFill="1" applyBorder="1" applyAlignment="1">
      <alignment horizontal="center" vertical="center" wrapText="1"/>
    </xf>
    <xf numFmtId="43" fontId="12" fillId="18" borderId="0" xfId="6" applyFont="1" applyFill="1" applyAlignment="1">
      <alignment horizontal="center"/>
    </xf>
    <xf numFmtId="0" fontId="27" fillId="0" borderId="10" xfId="8" applyFont="1" applyBorder="1" applyAlignment="1">
      <alignment horizontal="center"/>
    </xf>
    <xf numFmtId="0" fontId="27" fillId="0" borderId="11" xfId="8" applyFont="1" applyBorder="1" applyAlignment="1">
      <alignment horizontal="center"/>
    </xf>
    <xf numFmtId="0" fontId="27" fillId="0" borderId="12" xfId="8" applyFont="1" applyBorder="1" applyAlignment="1">
      <alignment horizontal="center"/>
    </xf>
    <xf numFmtId="0" fontId="27" fillId="0" borderId="13" xfId="8" applyFont="1" applyBorder="1" applyAlignment="1">
      <alignment horizontal="center" vertical="center"/>
    </xf>
    <xf numFmtId="0" fontId="27" fillId="0" borderId="14" xfId="8" applyFont="1" applyBorder="1" applyAlignment="1">
      <alignment horizontal="center" vertical="center"/>
    </xf>
    <xf numFmtId="0" fontId="27" fillId="0" borderId="15" xfId="8" applyFont="1" applyBorder="1" applyAlignment="1">
      <alignment horizontal="center" vertical="center"/>
    </xf>
    <xf numFmtId="0" fontId="27" fillId="0" borderId="17" xfId="8" applyFont="1" applyBorder="1" applyAlignment="1">
      <alignment horizontal="center" vertical="center"/>
    </xf>
    <xf numFmtId="0" fontId="27" fillId="0" borderId="2" xfId="8" applyFont="1" applyBorder="1" applyAlignment="1">
      <alignment horizontal="center" vertical="center"/>
    </xf>
    <xf numFmtId="0" fontId="27" fillId="0" borderId="18" xfId="8" applyFont="1" applyBorder="1" applyAlignment="1">
      <alignment horizontal="center" vertical="center"/>
    </xf>
    <xf numFmtId="0" fontId="14" fillId="0" borderId="0" xfId="0" applyFont="1" applyAlignment="1">
      <alignment horizontal="center"/>
    </xf>
    <xf numFmtId="0" fontId="13" fillId="8" borderId="0" xfId="0" applyFont="1" applyFill="1" applyAlignment="1">
      <alignment horizontal="center"/>
    </xf>
    <xf numFmtId="0" fontId="12" fillId="9" borderId="0" xfId="0" applyFont="1" applyFill="1" applyAlignment="1">
      <alignment horizontal="center"/>
    </xf>
    <xf numFmtId="0" fontId="13" fillId="10" borderId="0" xfId="0" applyFont="1" applyFill="1" applyAlignment="1">
      <alignment horizontal="center"/>
    </xf>
    <xf numFmtId="0" fontId="0" fillId="0" borderId="0" xfId="0" applyAlignment="1">
      <alignment horizontal="center"/>
    </xf>
  </cellXfs>
  <cellStyles count="9">
    <cellStyle name="Comma" xfId="6" builtinId="3"/>
    <cellStyle name="Currency" xfId="1" builtinId="4"/>
    <cellStyle name="Hyperlink" xfId="4" builtinId="8"/>
    <cellStyle name="Normal" xfId="0" builtinId="0"/>
    <cellStyle name="Normal 2" xfId="3" xr:uid="{83522066-726D-41CB-8384-3418786E10BE}"/>
    <cellStyle name="Normal 2 2" xfId="8" xr:uid="{8B22393B-F40B-437A-8C9E-6FD9D02ABC77}"/>
    <cellStyle name="Normal 3" xfId="5" xr:uid="{159981CF-30BF-4876-AF21-DD0BA955524B}"/>
    <cellStyle name="Normal 4" xfId="7" xr:uid="{1E141420-3265-4EFE-9951-CBE050925FFE}"/>
    <cellStyle name="Percent" xfId="2" builtinId="5"/>
  </cellStyles>
  <dxfs count="101">
    <dxf>
      <font>
        <b val="0"/>
        <i val="0"/>
        <strike val="0"/>
        <condense val="0"/>
        <extend val="0"/>
        <outline val="0"/>
        <shadow val="0"/>
        <u val="none"/>
        <vertAlign val="baseline"/>
        <sz val="11"/>
        <color theme="1"/>
        <name val="Aptos Narrow"/>
        <family val="2"/>
        <scheme val="minor"/>
      </font>
      <numFmt numFmtId="13" formatCode="0%"/>
    </dxf>
    <dxf>
      <font>
        <b val="0"/>
        <i val="0"/>
        <strike val="0"/>
        <condense val="0"/>
        <extend val="0"/>
        <outline val="0"/>
        <shadow val="0"/>
        <u val="none"/>
        <vertAlign val="baseline"/>
        <sz val="11"/>
        <color theme="1"/>
        <name val="Aptos Narrow"/>
        <family val="2"/>
        <scheme val="minor"/>
      </font>
      <numFmt numFmtId="165" formatCode="_(* #,##0_);_(* \(#,##0\);_(* &quot;-&quot;??_);_(@_)"/>
    </dxf>
    <dxf>
      <font>
        <b val="0"/>
        <i val="0"/>
        <strike val="0"/>
        <condense val="0"/>
        <extend val="0"/>
        <outline val="0"/>
        <shadow val="0"/>
        <u val="none"/>
        <vertAlign val="baseline"/>
        <sz val="11"/>
        <color theme="1"/>
        <name val="Aptos Narrow"/>
        <family val="2"/>
        <scheme val="minor"/>
      </font>
      <numFmt numFmtId="165" formatCode="_(* #,##0_);_(* \(#,##0\);_(* &quot;-&quot;??_);_(@_)"/>
    </dxf>
    <dxf>
      <font>
        <b val="0"/>
        <i val="0"/>
        <strike val="0"/>
        <condense val="0"/>
        <extend val="0"/>
        <outline val="0"/>
        <shadow val="0"/>
        <u val="none"/>
        <vertAlign val="baseline"/>
        <sz val="11"/>
        <color theme="1"/>
        <name val="Aptos Narrow"/>
        <family val="2"/>
        <scheme val="minor"/>
      </font>
      <numFmt numFmtId="13" formatCode="0%"/>
    </dxf>
    <dxf>
      <font>
        <b val="0"/>
        <i val="0"/>
        <strike val="0"/>
        <condense val="0"/>
        <extend val="0"/>
        <outline val="0"/>
        <shadow val="0"/>
        <u val="none"/>
        <vertAlign val="baseline"/>
        <sz val="11"/>
        <color theme="1"/>
        <name val="Aptos Narrow"/>
        <family val="2"/>
        <scheme val="minor"/>
      </font>
      <numFmt numFmtId="165" formatCode="_(* #,##0_);_(* \(#,##0\);_(* &quot;-&quot;??_);_(@_)"/>
    </dxf>
    <dxf>
      <font>
        <b val="0"/>
        <i val="0"/>
        <strike val="0"/>
        <condense val="0"/>
        <extend val="0"/>
        <outline val="0"/>
        <shadow val="0"/>
        <u val="none"/>
        <vertAlign val="baseline"/>
        <sz val="11"/>
        <color theme="1"/>
        <name val="Aptos Narrow"/>
        <family val="2"/>
        <scheme val="minor"/>
      </font>
      <numFmt numFmtId="165" formatCode="_(* #,##0_);_(* \(#,##0\);_(* &quot;-&quot;??_);_(@_)"/>
    </dxf>
    <dxf>
      <font>
        <b val="0"/>
        <i val="0"/>
        <strike val="0"/>
        <condense val="0"/>
        <extend val="0"/>
        <outline val="0"/>
        <shadow val="0"/>
        <u val="none"/>
        <vertAlign val="baseline"/>
        <sz val="11"/>
        <color theme="1"/>
        <name val="Aptos Narrow"/>
        <family val="2"/>
        <scheme val="minor"/>
      </font>
      <numFmt numFmtId="165" formatCode="_(* #,##0_);_(* \(#,##0\);_(* &quot;-&quot;??_);_(@_)"/>
    </dxf>
    <dxf>
      <font>
        <b val="0"/>
        <i val="0"/>
        <strike val="0"/>
        <condense val="0"/>
        <extend val="0"/>
        <outline val="0"/>
        <shadow val="0"/>
        <u val="none"/>
        <vertAlign val="baseline"/>
        <sz val="11"/>
        <color theme="1"/>
        <name val="Aptos Narrow"/>
        <family val="2"/>
        <scheme val="minor"/>
      </font>
      <numFmt numFmtId="165" formatCode="_(* #,##0_);_(* \(#,##0\);_(* &quot;-&quot;??_);_(@_)"/>
    </dxf>
    <dxf>
      <font>
        <b val="0"/>
        <i val="0"/>
        <strike val="0"/>
        <condense val="0"/>
        <extend val="0"/>
        <outline val="0"/>
        <shadow val="0"/>
        <u val="none"/>
        <vertAlign val="baseline"/>
        <sz val="11"/>
        <color theme="1"/>
        <name val="Aptos Narrow"/>
        <family val="2"/>
        <scheme val="minor"/>
      </font>
      <numFmt numFmtId="165" formatCode="_(* #,##0_);_(* \(#,##0\);_(* &quot;-&quot;??_);_(@_)"/>
    </dxf>
    <dxf>
      <font>
        <b val="0"/>
        <i val="0"/>
        <strike val="0"/>
        <condense val="0"/>
        <extend val="0"/>
        <outline val="0"/>
        <shadow val="0"/>
        <u val="none"/>
        <vertAlign val="baseline"/>
        <sz val="11"/>
        <color theme="1"/>
        <name val="Aptos Narrow"/>
        <family val="2"/>
        <scheme val="minor"/>
      </font>
      <numFmt numFmtId="165" formatCode="_(* #,##0_);_(* \(#,##0\);_(* &quot;-&quot;??_);_(@_)"/>
    </dxf>
    <dxf>
      <numFmt numFmtId="165" formatCode="_(* #,##0_);_(* \(#,##0\);_(* &quot;-&quot;??_);_(@_)"/>
    </dxf>
    <dxf>
      <font>
        <b val="0"/>
        <i val="0"/>
        <strike val="0"/>
        <condense val="0"/>
        <extend val="0"/>
        <outline val="0"/>
        <shadow val="0"/>
        <u val="none"/>
        <vertAlign val="baseline"/>
        <sz val="11"/>
        <color theme="1"/>
        <name val="Aptos Narrow"/>
        <family val="2"/>
        <scheme val="minor"/>
      </font>
      <numFmt numFmtId="165" formatCode="_(* #,##0_);_(* \(#,##0\);_(* &quot;-&quot;??_);_(@_)"/>
    </dxf>
    <dxf>
      <numFmt numFmtId="35" formatCode="_(* #,##0.00_);_(* \(#,##0.00\);_(* &quot;-&quot;??_);_(@_)"/>
    </dxf>
    <dxf>
      <font>
        <b val="0"/>
        <i val="0"/>
        <strike val="0"/>
        <condense val="0"/>
        <extend val="0"/>
        <outline val="0"/>
        <shadow val="0"/>
        <u val="none"/>
        <vertAlign val="baseline"/>
        <sz val="11"/>
        <color theme="1"/>
        <name val="Aptos Narrow"/>
        <family val="2"/>
        <scheme val="minor"/>
      </font>
      <numFmt numFmtId="165" formatCode="_(* #,##0_);_(* \(#,##0\);_(* &quot;-&quot;??_);_(@_)"/>
    </dxf>
    <dxf>
      <numFmt numFmtId="165" formatCode="_(* #,##0_);_(* \(#,##0\);_(* &quot;-&quot;??_);_(@_)"/>
    </dxf>
    <dxf>
      <font>
        <b val="0"/>
        <i val="0"/>
        <strike val="0"/>
        <condense val="0"/>
        <extend val="0"/>
        <outline val="0"/>
        <shadow val="0"/>
        <u val="none"/>
        <vertAlign val="baseline"/>
        <sz val="11"/>
        <color theme="1"/>
        <name val="Aptos Narrow"/>
        <family val="2"/>
        <scheme val="minor"/>
      </font>
      <numFmt numFmtId="165" formatCode="_(* #,##0_);_(* \(#,##0\);_(* &quot;-&quot;??_);_(@_)"/>
    </dxf>
    <dxf>
      <font>
        <b val="0"/>
        <i val="0"/>
        <strike val="0"/>
        <condense val="0"/>
        <extend val="0"/>
        <outline val="0"/>
        <shadow val="0"/>
        <u val="none"/>
        <vertAlign val="baseline"/>
        <sz val="11"/>
        <color theme="1"/>
        <name val="Aptos Narrow"/>
        <family val="2"/>
        <scheme val="minor"/>
      </font>
      <numFmt numFmtId="165" formatCode="_(* #,##0_);_(* \(#,##0\);_(* &quot;-&quot;??_);_(@_)"/>
    </dxf>
    <dxf>
      <font>
        <b val="0"/>
        <i val="0"/>
        <strike val="0"/>
        <condense val="0"/>
        <extend val="0"/>
        <outline val="0"/>
        <shadow val="0"/>
        <u val="none"/>
        <vertAlign val="baseline"/>
        <sz val="11"/>
        <color theme="1"/>
        <name val="Aptos Narrow"/>
        <family val="2"/>
        <scheme val="minor"/>
      </font>
      <numFmt numFmtId="165" formatCode="_(* #,##0_);_(* \(#,##0\);_(* &quot;-&quot;??_);_(@_)"/>
    </dxf>
    <dxf>
      <numFmt numFmtId="165" formatCode="_(* #,##0_);_(* \(#,##0\);_(* &quot;-&quot;??_);_(@_)"/>
    </dxf>
    <dxf>
      <font>
        <b val="0"/>
        <i val="0"/>
        <strike val="0"/>
        <condense val="0"/>
        <extend val="0"/>
        <outline val="0"/>
        <shadow val="0"/>
        <u val="none"/>
        <vertAlign val="baseline"/>
        <sz val="11"/>
        <color theme="1"/>
        <name val="Aptos Narrow"/>
        <family val="2"/>
        <scheme val="minor"/>
      </font>
      <numFmt numFmtId="165" formatCode="_(* #,##0_);_(* \(#,##0\);_(* &quot;-&quot;??_);_(@_)"/>
    </dxf>
    <dxf>
      <numFmt numFmtId="165" formatCode="_(* #,##0_);_(* \(#,##0\);_(* &quot;-&quot;??_);_(@_)"/>
    </dxf>
    <dxf>
      <font>
        <b val="0"/>
        <i val="0"/>
        <strike val="0"/>
        <condense val="0"/>
        <extend val="0"/>
        <outline val="0"/>
        <shadow val="0"/>
        <u val="none"/>
        <vertAlign val="baseline"/>
        <sz val="11"/>
        <color theme="1"/>
        <name val="Aptos Narrow"/>
        <family val="2"/>
        <scheme val="minor"/>
      </font>
      <numFmt numFmtId="165" formatCode="_(* #,##0_);_(* \(#,##0\);_(* &quot;-&quot;??_);_(@_)"/>
    </dxf>
    <dxf>
      <numFmt numFmtId="165" formatCode="_(* #,##0_);_(* \(#,##0\);_(* &quot;-&quot;??_);_(@_)"/>
    </dxf>
    <dxf>
      <font>
        <b val="0"/>
        <i val="0"/>
        <strike val="0"/>
        <condense val="0"/>
        <extend val="0"/>
        <outline val="0"/>
        <shadow val="0"/>
        <u val="none"/>
        <vertAlign val="baseline"/>
        <sz val="11"/>
        <color theme="1"/>
        <name val="Aptos Narrow"/>
        <family val="2"/>
        <scheme val="minor"/>
      </font>
      <numFmt numFmtId="165" formatCode="_(* #,##0_);_(* \(#,##0\);_(* &quot;-&quot;??_);_(@_)"/>
    </dxf>
    <dxf>
      <numFmt numFmtId="165" formatCode="_(* #,##0_);_(* \(#,##0\);_(* &quot;-&quot;??_);_(@_)"/>
    </dxf>
    <dxf>
      <font>
        <b val="0"/>
        <i val="0"/>
        <strike val="0"/>
        <condense val="0"/>
        <extend val="0"/>
        <outline val="0"/>
        <shadow val="0"/>
        <u val="none"/>
        <vertAlign val="baseline"/>
        <sz val="11"/>
        <color theme="1"/>
        <name val="Aptos Narrow"/>
        <family val="2"/>
        <scheme val="minor"/>
      </font>
      <numFmt numFmtId="165" formatCode="_(* #,##0_);_(* \(#,##0\);_(* &quot;-&quot;??_);_(@_)"/>
    </dxf>
    <dxf>
      <numFmt numFmtId="1" formatCode="0"/>
    </dxf>
    <dxf>
      <font>
        <b val="0"/>
        <i val="0"/>
        <strike val="0"/>
        <condense val="0"/>
        <extend val="0"/>
        <outline val="0"/>
        <shadow val="0"/>
        <u val="none"/>
        <vertAlign val="baseline"/>
        <sz val="11"/>
        <color theme="1"/>
        <name val="Aptos Narrow"/>
        <family val="2"/>
        <scheme val="minor"/>
      </font>
      <numFmt numFmtId="165" formatCode="_(* #,##0_);_(* \(#,##0\);_(* &quot;-&quot;??_);_(@_)"/>
    </dxf>
    <dxf>
      <numFmt numFmtId="1" formatCode="0"/>
    </dxf>
    <dxf>
      <numFmt numFmtId="164" formatCode="\$#,##0;\(\$#,##0\);\$#,##0"/>
    </dxf>
    <dxf>
      <numFmt numFmtId="164" formatCode="\$#,##0;\(\$#,##0\);\$#,##0"/>
    </dxf>
    <dxf>
      <numFmt numFmtId="164" formatCode="\$#,##0;\(\$#,##0\);\$#,##0"/>
    </dxf>
    <dxf>
      <numFmt numFmtId="164" formatCode="\$#,##0;\(\$#,##0\);\$#,##0"/>
    </dxf>
    <dxf>
      <numFmt numFmtId="164" formatCode="\$#,##0;\(\$#,##0\);\$#,##0"/>
    </dxf>
    <dxf>
      <numFmt numFmtId="164" formatCode="\$#,##0;\(\$#,##0\);\$#,##0"/>
    </dxf>
    <dxf>
      <numFmt numFmtId="169" formatCode="\$#,##0.0;\(\$#,##0.0\);\$#,##0.0"/>
    </dxf>
    <dxf>
      <numFmt numFmtId="169" formatCode="\$#,##0.0;\(\$#,##0.0\);\$#,##0.0"/>
    </dxf>
    <dxf>
      <numFmt numFmtId="164" formatCode="\$#,##0;\(\$#,##0\);\$#,##0"/>
    </dxf>
    <dxf>
      <numFmt numFmtId="164" formatCode="\$#,##0;\(\$#,##0\);\$#,##0"/>
    </dxf>
    <dxf>
      <border outline="0">
        <bottom style="thin">
          <color auto="1"/>
        </bottom>
      </border>
    </dxf>
    <dxf>
      <font>
        <b val="0"/>
        <i val="0"/>
        <strike val="0"/>
        <condense val="0"/>
        <extend val="0"/>
        <outline val="0"/>
        <shadow val="0"/>
        <u val="none"/>
        <vertAlign val="baseline"/>
        <sz val="11"/>
        <color theme="1"/>
        <name val="Aptos Narrow"/>
        <family val="2"/>
        <scheme val="minor"/>
      </font>
    </dxf>
    <dxf>
      <numFmt numFmtId="165" formatCode="_(* #,##0_);_(* \(#,##0\);_(* &quot;-&quot;??_);_(@_)"/>
      <fill>
        <patternFill patternType="solid">
          <fgColor indexed="64"/>
          <bgColor theme="0"/>
        </patternFill>
      </fill>
    </dxf>
    <dxf>
      <numFmt numFmtId="167" formatCode="_(* #,##0.0_);_(* \(#,##0.0\);_(* &quot;-&quot;??_);_(@_)"/>
    </dxf>
    <dxf>
      <numFmt numFmtId="165" formatCode="_(* #,##0_);_(* \(#,##0\);_(* &quot;-&quot;??_);_(@_)"/>
      <fill>
        <patternFill patternType="solid">
          <fgColor indexed="64"/>
          <bgColor theme="3" tint="0.89999084444715716"/>
        </patternFill>
      </fill>
    </dxf>
    <dxf>
      <numFmt numFmtId="167" formatCode="_(* #,##0.0_);_(* \(#,##0.0\);_(* &quot;-&quot;??_);_(@_)"/>
      <fill>
        <patternFill patternType="solid">
          <fgColor indexed="64"/>
          <bgColor theme="3" tint="0.89999084444715716"/>
        </patternFill>
      </fill>
    </dxf>
    <dxf>
      <numFmt numFmtId="165" formatCode="_(* #,##0_);_(* \(#,##0\);_(* &quot;-&quot;??_);_(@_)"/>
      <fill>
        <patternFill patternType="solid">
          <fgColor indexed="64"/>
          <bgColor theme="3" tint="0.89999084444715716"/>
        </patternFill>
      </fill>
    </dxf>
    <dxf>
      <numFmt numFmtId="167" formatCode="_(* #,##0.0_);_(* \(#,##0.0\);_(* &quot;-&quot;??_);_(@_)"/>
      <fill>
        <patternFill patternType="solid">
          <fgColor indexed="64"/>
          <bgColor theme="3" tint="0.89999084444715716"/>
        </patternFill>
      </fill>
    </dxf>
    <dxf>
      <numFmt numFmtId="165" formatCode="_(* #,##0_);_(* \(#,##0\);_(* &quot;-&quot;??_);_(@_)"/>
      <fill>
        <patternFill patternType="solid">
          <fgColor indexed="64"/>
          <bgColor theme="3" tint="0.89999084444715716"/>
        </patternFill>
      </fill>
    </dxf>
    <dxf>
      <numFmt numFmtId="167" formatCode="_(* #,##0.0_);_(* \(#,##0.0\);_(* &quot;-&quot;??_);_(@_)"/>
      <fill>
        <patternFill patternType="solid">
          <fgColor indexed="64"/>
          <bgColor theme="3" tint="0.89999084444715716"/>
        </patternFill>
      </fill>
    </dxf>
    <dxf>
      <numFmt numFmtId="165" formatCode="_(* #,##0_);_(* \(#,##0\);_(* &quot;-&quot;??_);_(@_)"/>
      <fill>
        <patternFill patternType="solid">
          <fgColor indexed="64"/>
          <bgColor theme="2"/>
        </patternFill>
      </fill>
    </dxf>
    <dxf>
      <font>
        <b val="0"/>
        <i val="0"/>
        <strike val="0"/>
        <condense val="0"/>
        <extend val="0"/>
        <outline val="0"/>
        <shadow val="0"/>
        <u val="none"/>
        <vertAlign val="baseline"/>
        <sz val="11"/>
        <color theme="1"/>
        <name val="Aptos Narrow"/>
        <family val="2"/>
        <scheme val="minor"/>
      </font>
      <numFmt numFmtId="167" formatCode="_(* #,##0.0_);_(* \(#,##0.0\);_(* &quot;-&quot;??_);_(@_)"/>
      <fill>
        <patternFill patternType="solid">
          <fgColor indexed="64"/>
          <bgColor theme="2"/>
        </patternFill>
      </fill>
    </dxf>
    <dxf>
      <numFmt numFmtId="165" formatCode="_(* #,##0_);_(* \(#,##0\);_(* &quot;-&quot;??_);_(@_)"/>
      <fill>
        <patternFill patternType="solid">
          <fgColor indexed="64"/>
          <bgColor theme="6" tint="0.79998168889431442"/>
        </patternFill>
      </fill>
    </dxf>
    <dxf>
      <numFmt numFmtId="167" formatCode="_(* #,##0.0_);_(* \(#,##0.0\);_(* &quot;-&quot;??_);_(@_)"/>
      <fill>
        <patternFill patternType="solid">
          <fgColor indexed="64"/>
          <bgColor theme="6" tint="0.79998168889431442"/>
        </patternFill>
      </fill>
    </dxf>
    <dxf>
      <numFmt numFmtId="165" formatCode="_(* #,##0_);_(* \(#,##0\);_(* &quot;-&quot;??_);_(@_)"/>
      <fill>
        <patternFill patternType="solid">
          <fgColor indexed="64"/>
          <bgColor theme="6" tint="0.79998168889431442"/>
        </patternFill>
      </fill>
    </dxf>
    <dxf>
      <numFmt numFmtId="167" formatCode="_(* #,##0.0_);_(* \(#,##0.0\);_(* &quot;-&quot;??_);_(@_)"/>
      <fill>
        <patternFill patternType="solid">
          <fgColor indexed="64"/>
          <bgColor theme="6" tint="0.79998168889431442"/>
        </patternFill>
      </fill>
    </dxf>
    <dxf>
      <numFmt numFmtId="165" formatCode="_(* #,##0_);_(* \(#,##0\);_(* &quot;-&quot;??_);_(@_)"/>
      <fill>
        <patternFill patternType="solid">
          <fgColor indexed="64"/>
          <bgColor theme="6" tint="0.79998168889431442"/>
        </patternFill>
      </fill>
    </dxf>
    <dxf>
      <numFmt numFmtId="167" formatCode="_(* #,##0.0_);_(* \(#,##0.0\);_(* &quot;-&quot;??_);_(@_)"/>
      <fill>
        <patternFill patternType="solid">
          <fgColor indexed="64"/>
          <bgColor theme="6"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0.0%"/>
    </dxf>
    <dxf>
      <numFmt numFmtId="164" formatCode="\$#,##0;\(\$#,##0\);\$#,##0"/>
    </dxf>
    <dxf>
      <font>
        <b/>
        <i val="0"/>
        <strike val="0"/>
        <condense val="0"/>
        <extend val="0"/>
        <outline val="0"/>
        <shadow val="0"/>
        <u val="none"/>
        <vertAlign val="baseline"/>
        <sz val="11"/>
        <color auto="1"/>
        <name val="Aptos Narrow"/>
        <family val="2"/>
        <scheme val="none"/>
      </font>
      <numFmt numFmtId="164" formatCode="\$#,##0;\(\$#,##0\);\$#,##0"/>
    </dxf>
    <dxf>
      <border outline="0">
        <bottom style="thin">
          <color auto="1"/>
        </bottom>
      </border>
    </dxf>
    <dxf>
      <fill>
        <patternFill patternType="solid">
          <bgColor theme="8" tint="0.79998168889431442"/>
        </patternFill>
      </fill>
    </dxf>
    <dxf>
      <fill>
        <patternFill patternType="solid">
          <bgColor theme="8"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rgb="FFFFFF00"/>
        </patternFill>
      </fill>
    </dxf>
    <dxf>
      <fill>
        <patternFill patternType="solid">
          <bgColor rgb="FFFFFF00"/>
        </patternFill>
      </fill>
    </dxf>
    <dxf>
      <font>
        <b val="0"/>
        <i val="0"/>
        <strike val="0"/>
        <condense val="0"/>
        <extend val="0"/>
        <outline val="0"/>
        <shadow val="0"/>
        <u val="none"/>
        <vertAlign val="baseline"/>
        <sz val="11"/>
        <color theme="1"/>
        <name val="Aptos Narrow"/>
        <family val="2"/>
        <scheme val="minor"/>
      </font>
    </dxf>
    <dxf>
      <fill>
        <patternFill patternType="none">
          <fgColor indexed="64"/>
          <bgColor auto="1"/>
        </patternFill>
      </fill>
    </dxf>
    <dxf>
      <numFmt numFmtId="0" formatCode="General"/>
    </dxf>
    <dxf>
      <alignment horizontal="general" vertical="bottom" textRotation="0" wrapText="1" indent="0" justifyLastLine="0" shrinkToFit="0" readingOrder="0"/>
    </dxf>
    <dxf>
      <alignment horizontal="general" vertical="bottom" textRotation="0" wrapText="1" indent="0" justifyLastLine="0" shrinkToFit="0" readingOrder="0"/>
    </dxf>
    <dxf>
      <numFmt numFmtId="35" formatCode="_(* #,##0.00_);_(* \(#,##0.00\);_(* &quot;-&quot;??_);_(@_)"/>
    </dxf>
    <dxf>
      <numFmt numFmtId="0" formatCode="General"/>
    </dxf>
    <dxf>
      <font>
        <b/>
        <i val="0"/>
        <strike val="0"/>
        <condense val="0"/>
        <extend val="0"/>
        <outline val="0"/>
        <shadow val="0"/>
        <u val="none"/>
        <vertAlign val="baseline"/>
        <sz val="11"/>
        <color auto="1"/>
        <name val="Aptos Narrow"/>
        <scheme val="none"/>
      </font>
      <numFmt numFmtId="3" formatCode="#,##0"/>
    </dxf>
    <dxf>
      <border diagonalUp="0" diagonalDown="0">
        <left/>
        <right style="thin">
          <color auto="1"/>
        </right>
        <top/>
        <bottom/>
        <vertical/>
        <horizontal/>
      </border>
    </dxf>
    <dxf>
      <border outline="0">
        <bottom style="thin">
          <color auto="1"/>
        </bottom>
      </border>
    </dxf>
    <dxf>
      <fill>
        <patternFill patternType="solid">
          <bgColor theme="9" tint="0.79998168889431442"/>
        </patternFill>
      </fill>
    </dxf>
    <dxf>
      <fill>
        <patternFill patternType="solid">
          <bgColor theme="9"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rgb="FFFFFF00"/>
        </patternFill>
      </fill>
    </dxf>
    <dxf>
      <fill>
        <patternFill patternType="solid">
          <bgColor rgb="FFFFFF00"/>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Aptos Narrow"/>
        <family val="2"/>
        <scheme val="minor"/>
      </font>
    </dxf>
    <dxf>
      <numFmt numFmtId="165" formatCode="_(* #,##0_);_(* \(#,##0\);_(* &quot;-&quot;??_);_(@_)"/>
      <fill>
        <patternFill patternType="none">
          <fgColor indexed="64"/>
          <bgColor auto="1"/>
        </patternFill>
      </fill>
    </dxf>
    <dxf>
      <numFmt numFmtId="165" formatCode="_(* #,##0_);_(* \(#,##0\);_(* &quot;-&quot;??_);_(@_)"/>
    </dxf>
    <dxf>
      <font>
        <b val="0"/>
        <i val="0"/>
        <strike val="0"/>
        <condense val="0"/>
        <extend val="0"/>
        <outline val="0"/>
        <shadow val="0"/>
        <u val="none"/>
        <vertAlign val="baseline"/>
        <sz val="11"/>
        <color theme="1"/>
        <name val="Aptos Narrow"/>
        <family val="2"/>
        <scheme val="minor"/>
      </font>
      <numFmt numFmtId="165" formatCode="_(* #,##0_);_(* \(#,##0\);_(* &quot;-&quot;??_);_(@_)"/>
    </dxf>
    <dxf>
      <font>
        <b val="0"/>
        <i val="0"/>
        <strike val="0"/>
        <condense val="0"/>
        <extend val="0"/>
        <outline val="0"/>
        <shadow val="0"/>
        <u val="none"/>
        <vertAlign val="baseline"/>
        <sz val="11"/>
        <color theme="1"/>
        <name val="Aptos Narrow"/>
        <family val="2"/>
        <scheme val="minor"/>
      </font>
      <numFmt numFmtId="165" formatCode="_(* #,##0_);_(* \(#,##0\);_(* &quot;-&quot;??_);_(@_)"/>
    </dxf>
    <dxf>
      <numFmt numFmtId="165" formatCode="_(* #,##0_);_(* \(#,##0\);_(* &quot;-&quot;??_);_(@_)"/>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GHG (Scope 1 and 2) Emissions Forecast Against 20% Reduction Target</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'Target Tracking'!$B$13</c:f>
              <c:strCache>
                <c:ptCount val="1"/>
                <c:pt idx="0">
                  <c:v>GHG Emissions Scope 1 and 2 (tCO2e)</c:v>
                </c:pt>
              </c:strCache>
            </c:strRef>
          </c:tx>
          <c:spPr>
            <a:ln w="28575" cap="rnd">
              <a:solidFill>
                <a:schemeClr val="accent1"/>
              </a:solidFill>
              <a:round/>
            </a:ln>
            <a:effectLst/>
          </c:spPr>
          <c:marker>
            <c:symbol val="none"/>
          </c:marker>
          <c:cat>
            <c:numRef>
              <c:f>'Target Tracking'!$A$14:$A$23</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'Target Tracking'!$B$14:$B$23</c:f>
              <c:numCache>
                <c:formatCode>General</c:formatCode>
                <c:ptCount val="10"/>
                <c:pt idx="0">
                  <c:v>107249</c:v>
                </c:pt>
                <c:pt idx="1">
                  <c:v>106088</c:v>
                </c:pt>
                <c:pt idx="2">
                  <c:v>88585</c:v>
                </c:pt>
                <c:pt idx="3">
                  <c:v>82258</c:v>
                </c:pt>
                <c:pt idx="4">
                  <c:v>87865.337679999997</c:v>
                </c:pt>
                <c:pt idx="5">
                  <c:v>87173.337679999997</c:v>
                </c:pt>
                <c:pt idx="6">
                  <c:v>86839.081680000003</c:v>
                </c:pt>
                <c:pt idx="7">
                  <c:v>86134.081680000003</c:v>
                </c:pt>
                <c:pt idx="8">
                  <c:v>85429.081680000003</c:v>
                </c:pt>
                <c:pt idx="9">
                  <c:v>84724.081680000003</c:v>
                </c:pt>
              </c:numCache>
            </c:numRef>
          </c:val>
          <c:smooth val="0"/>
          <c:extLst>
            <c:ext xmlns:c16="http://schemas.microsoft.com/office/drawing/2014/chart" uri="{C3380CC4-5D6E-409C-BE32-E72D297353CC}">
              <c16:uniqueId val="{00000000-3272-4608-9B04-0E225DCCBC91}"/>
            </c:ext>
          </c:extLst>
        </c:ser>
        <c:ser>
          <c:idx val="1"/>
          <c:order val="1"/>
          <c:tx>
            <c:strRef>
              <c:f>'Target Tracking'!$C$13</c:f>
              <c:strCache>
                <c:ptCount val="1"/>
                <c:pt idx="0">
                  <c:v>Target</c:v>
                </c:pt>
              </c:strCache>
            </c:strRef>
          </c:tx>
          <c:spPr>
            <a:ln w="28575" cap="rnd">
              <a:solidFill>
                <a:schemeClr val="accent2"/>
              </a:solidFill>
              <a:prstDash val="dash"/>
              <a:round/>
            </a:ln>
            <a:effectLst/>
          </c:spPr>
          <c:marker>
            <c:symbol val="none"/>
          </c:marker>
          <c:cat>
            <c:numRef>
              <c:f>'Target Tracking'!$A$14:$A$23</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'Target Tracking'!$C$14:$C$23</c:f>
              <c:numCache>
                <c:formatCode>General</c:formatCode>
                <c:ptCount val="10"/>
                <c:pt idx="0">
                  <c:v>85799.2</c:v>
                </c:pt>
                <c:pt idx="1">
                  <c:v>85799.2</c:v>
                </c:pt>
                <c:pt idx="2">
                  <c:v>85799.2</c:v>
                </c:pt>
                <c:pt idx="3">
                  <c:v>85799.2</c:v>
                </c:pt>
                <c:pt idx="4">
                  <c:v>85799.2</c:v>
                </c:pt>
                <c:pt idx="5">
                  <c:v>85799.2</c:v>
                </c:pt>
                <c:pt idx="6">
                  <c:v>85799.2</c:v>
                </c:pt>
                <c:pt idx="7">
                  <c:v>85799.2</c:v>
                </c:pt>
                <c:pt idx="8">
                  <c:v>85799.2</c:v>
                </c:pt>
                <c:pt idx="9">
                  <c:v>85799.2</c:v>
                </c:pt>
              </c:numCache>
            </c:numRef>
          </c:val>
          <c:smooth val="0"/>
          <c:extLst>
            <c:ext xmlns:c16="http://schemas.microsoft.com/office/drawing/2014/chart" uri="{C3380CC4-5D6E-409C-BE32-E72D297353CC}">
              <c16:uniqueId val="{00000004-3272-4608-9B04-0E225DCCBC91}"/>
            </c:ext>
          </c:extLst>
        </c:ser>
        <c:dLbls>
          <c:showLegendKey val="0"/>
          <c:showVal val="0"/>
          <c:showCatName val="0"/>
          <c:showSerName val="0"/>
          <c:showPercent val="0"/>
          <c:showBubbleSize val="0"/>
        </c:dLbls>
        <c:smooth val="0"/>
        <c:axId val="976991487"/>
        <c:axId val="976990527"/>
      </c:lineChart>
      <c:catAx>
        <c:axId val="97699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990527"/>
        <c:crosses val="autoZero"/>
        <c:auto val="1"/>
        <c:lblAlgn val="ctr"/>
        <c:lblOffset val="100"/>
        <c:noMultiLvlLbl val="0"/>
      </c:catAx>
      <c:valAx>
        <c:axId val="976990527"/>
        <c:scaling>
          <c:orientation val="minMax"/>
          <c:min val="6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GHG (tCO2e)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991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Water Use Forecast Against 25% &amp; 50% Reduction Target</a:t>
            </a:r>
          </a:p>
          <a:p>
            <a:pPr>
              <a:defRPr/>
            </a:pPr>
            <a:r>
              <a:rPr lang="en-US"/>
              <a:t>El</a:t>
            </a:r>
            <a:r>
              <a:rPr lang="en-US" baseline="0"/>
              <a:t> Nino Impacts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'Target Tracking'!$B$26</c:f>
              <c:strCache>
                <c:ptCount val="1"/>
                <c:pt idx="0">
                  <c:v>Water Use (ML)</c:v>
                </c:pt>
              </c:strCache>
            </c:strRef>
          </c:tx>
          <c:spPr>
            <a:ln w="28575" cap="rnd">
              <a:solidFill>
                <a:schemeClr val="accent1"/>
              </a:solidFill>
              <a:round/>
            </a:ln>
            <a:effectLst/>
          </c:spPr>
          <c:marker>
            <c:symbol val="none"/>
          </c:marker>
          <c:cat>
            <c:numRef>
              <c:f>'Target Tracking'!$A$27:$A$36</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'Target Tracking'!$B$27:$B$36</c:f>
              <c:numCache>
                <c:formatCode>General</c:formatCode>
                <c:ptCount val="10"/>
                <c:pt idx="0">
                  <c:v>16522</c:v>
                </c:pt>
                <c:pt idx="1">
                  <c:v>15202</c:v>
                </c:pt>
                <c:pt idx="2">
                  <c:v>14434</c:v>
                </c:pt>
                <c:pt idx="3">
                  <c:v>13155</c:v>
                </c:pt>
                <c:pt idx="4">
                  <c:v>13143.2484508</c:v>
                </c:pt>
                <c:pt idx="5">
                  <c:v>12716.467450799999</c:v>
                </c:pt>
                <c:pt idx="6">
                  <c:v>12716.467450799999</c:v>
                </c:pt>
                <c:pt idx="7">
                  <c:v>12005.467450799999</c:v>
                </c:pt>
                <c:pt idx="8">
                  <c:v>12005.467450799999</c:v>
                </c:pt>
                <c:pt idx="9">
                  <c:v>12005.467450799999</c:v>
                </c:pt>
              </c:numCache>
            </c:numRef>
          </c:val>
          <c:smooth val="0"/>
          <c:extLst>
            <c:ext xmlns:c16="http://schemas.microsoft.com/office/drawing/2014/chart" uri="{C3380CC4-5D6E-409C-BE32-E72D297353CC}">
              <c16:uniqueId val="{00000000-36F3-4A03-9EF0-E437A2E5C2D5}"/>
            </c:ext>
          </c:extLst>
        </c:ser>
        <c:ser>
          <c:idx val="1"/>
          <c:order val="1"/>
          <c:tx>
            <c:strRef>
              <c:f>'Target Tracking'!$C$26</c:f>
              <c:strCache>
                <c:ptCount val="1"/>
                <c:pt idx="0">
                  <c:v>Target 25%</c:v>
                </c:pt>
              </c:strCache>
            </c:strRef>
          </c:tx>
          <c:spPr>
            <a:ln w="28575" cap="rnd">
              <a:solidFill>
                <a:schemeClr val="accent2"/>
              </a:solidFill>
              <a:prstDash val="dash"/>
              <a:round/>
            </a:ln>
            <a:effectLst/>
          </c:spPr>
          <c:marker>
            <c:symbol val="none"/>
          </c:marker>
          <c:cat>
            <c:numRef>
              <c:f>'Target Tracking'!$A$27:$A$36</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'Target Tracking'!$C$27:$C$36</c:f>
              <c:numCache>
                <c:formatCode>General</c:formatCode>
                <c:ptCount val="10"/>
                <c:pt idx="0">
                  <c:v>12391.5</c:v>
                </c:pt>
                <c:pt idx="1">
                  <c:v>12391.5</c:v>
                </c:pt>
                <c:pt idx="2">
                  <c:v>12391.5</c:v>
                </c:pt>
                <c:pt idx="3">
                  <c:v>12391.5</c:v>
                </c:pt>
                <c:pt idx="4">
                  <c:v>12391.5</c:v>
                </c:pt>
                <c:pt idx="5">
                  <c:v>12391.5</c:v>
                </c:pt>
                <c:pt idx="6">
                  <c:v>12391.5</c:v>
                </c:pt>
                <c:pt idx="7">
                  <c:v>12391.5</c:v>
                </c:pt>
                <c:pt idx="8">
                  <c:v>12391.5</c:v>
                </c:pt>
                <c:pt idx="9">
                  <c:v>12391.5</c:v>
                </c:pt>
              </c:numCache>
            </c:numRef>
          </c:val>
          <c:smooth val="0"/>
          <c:extLst>
            <c:ext xmlns:c16="http://schemas.microsoft.com/office/drawing/2014/chart" uri="{C3380CC4-5D6E-409C-BE32-E72D297353CC}">
              <c16:uniqueId val="{00000001-36F3-4A03-9EF0-E437A2E5C2D5}"/>
            </c:ext>
          </c:extLst>
        </c:ser>
        <c:ser>
          <c:idx val="2"/>
          <c:order val="2"/>
          <c:tx>
            <c:strRef>
              <c:f>'Target Tracking'!$D$26</c:f>
              <c:strCache>
                <c:ptCount val="1"/>
                <c:pt idx="0">
                  <c:v>Target 50%</c:v>
                </c:pt>
              </c:strCache>
            </c:strRef>
          </c:tx>
          <c:spPr>
            <a:ln w="28575" cap="rnd">
              <a:solidFill>
                <a:schemeClr val="accent3"/>
              </a:solidFill>
              <a:prstDash val="dash"/>
              <a:round/>
            </a:ln>
            <a:effectLst/>
          </c:spPr>
          <c:marker>
            <c:symbol val="none"/>
          </c:marker>
          <c:cat>
            <c:numRef>
              <c:f>'Target Tracking'!$A$27:$A$36</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'Target Tracking'!$D$27:$D$36</c:f>
              <c:numCache>
                <c:formatCode>General</c:formatCode>
                <c:ptCount val="10"/>
                <c:pt idx="0">
                  <c:v>8261</c:v>
                </c:pt>
                <c:pt idx="1">
                  <c:v>8261</c:v>
                </c:pt>
                <c:pt idx="2">
                  <c:v>8261</c:v>
                </c:pt>
                <c:pt idx="3">
                  <c:v>8261</c:v>
                </c:pt>
                <c:pt idx="4">
                  <c:v>8261</c:v>
                </c:pt>
                <c:pt idx="5">
                  <c:v>8261</c:v>
                </c:pt>
                <c:pt idx="6">
                  <c:v>8261</c:v>
                </c:pt>
                <c:pt idx="7">
                  <c:v>8261</c:v>
                </c:pt>
                <c:pt idx="8">
                  <c:v>8261</c:v>
                </c:pt>
                <c:pt idx="9">
                  <c:v>8261</c:v>
                </c:pt>
              </c:numCache>
            </c:numRef>
          </c:val>
          <c:smooth val="0"/>
          <c:extLst>
            <c:ext xmlns:c16="http://schemas.microsoft.com/office/drawing/2014/chart" uri="{C3380CC4-5D6E-409C-BE32-E72D297353CC}">
              <c16:uniqueId val="{00000000-2364-492A-BB93-7C00F3AFE2BF}"/>
            </c:ext>
          </c:extLst>
        </c:ser>
        <c:ser>
          <c:idx val="3"/>
          <c:order val="3"/>
          <c:tx>
            <c:strRef>
              <c:f>'Target Tracking'!$E$26</c:f>
              <c:strCache>
                <c:ptCount val="1"/>
                <c:pt idx="0">
                  <c:v>Water Use No ENF (ML)</c:v>
                </c:pt>
              </c:strCache>
            </c:strRef>
          </c:tx>
          <c:spPr>
            <a:ln w="28575" cap="rnd">
              <a:solidFill>
                <a:schemeClr val="accent4"/>
              </a:solidFill>
              <a:round/>
            </a:ln>
            <a:effectLst/>
          </c:spPr>
          <c:marker>
            <c:symbol val="none"/>
          </c:marker>
          <c:cat>
            <c:numRef>
              <c:f>'Target Tracking'!$A$27:$A$36</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'Target Tracking'!$E$27:$E$36</c:f>
              <c:numCache>
                <c:formatCode>General</c:formatCode>
                <c:ptCount val="10"/>
                <c:pt idx="0">
                  <c:v>16522</c:v>
                </c:pt>
                <c:pt idx="1">
                  <c:v>15202</c:v>
                </c:pt>
                <c:pt idx="2">
                  <c:v>14434</c:v>
                </c:pt>
                <c:pt idx="3">
                  <c:v>13155</c:v>
                </c:pt>
                <c:pt idx="4">
                  <c:v>13143.2484508</c:v>
                </c:pt>
                <c:pt idx="5">
                  <c:v>12716.467450799999</c:v>
                </c:pt>
                <c:pt idx="6">
                  <c:v>8716.4674507999989</c:v>
                </c:pt>
                <c:pt idx="7">
                  <c:v>8716.4674507999989</c:v>
                </c:pt>
                <c:pt idx="8">
                  <c:v>8716.4674507999989</c:v>
                </c:pt>
                <c:pt idx="9">
                  <c:v>8716.4674507999989</c:v>
                </c:pt>
              </c:numCache>
            </c:numRef>
          </c:val>
          <c:smooth val="0"/>
          <c:extLst>
            <c:ext xmlns:c16="http://schemas.microsoft.com/office/drawing/2014/chart" uri="{C3380CC4-5D6E-409C-BE32-E72D297353CC}">
              <c16:uniqueId val="{00000001-2364-492A-BB93-7C00F3AFE2BF}"/>
            </c:ext>
          </c:extLst>
        </c:ser>
        <c:dLbls>
          <c:showLegendKey val="0"/>
          <c:showVal val="0"/>
          <c:showCatName val="0"/>
          <c:showSerName val="0"/>
          <c:showPercent val="0"/>
          <c:showBubbleSize val="0"/>
        </c:dLbls>
        <c:smooth val="0"/>
        <c:axId val="669943344"/>
        <c:axId val="669952944"/>
      </c:lineChart>
      <c:catAx>
        <c:axId val="66994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952944"/>
        <c:crosses val="autoZero"/>
        <c:auto val="1"/>
        <c:lblAlgn val="ctr"/>
        <c:lblOffset val="100"/>
        <c:noMultiLvlLbl val="0"/>
      </c:catAx>
      <c:valAx>
        <c:axId val="669952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Water</a:t>
                </a:r>
                <a:r>
                  <a:rPr lang="en-US" baseline="0"/>
                  <a:t> Use (ML)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943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98425</xdr:colOff>
      <xdr:row>3</xdr:row>
      <xdr:rowOff>50800</xdr:rowOff>
    </xdr:from>
    <xdr:to>
      <xdr:col>11</xdr:col>
      <xdr:colOff>403225</xdr:colOff>
      <xdr:row>20</xdr:row>
      <xdr:rowOff>31750</xdr:rowOff>
    </xdr:to>
    <xdr:graphicFrame macro="">
      <xdr:nvGraphicFramePr>
        <xdr:cNvPr id="3" name="Chart 2">
          <a:extLst>
            <a:ext uri="{FF2B5EF4-FFF2-40B4-BE49-F238E27FC236}">
              <a16:creationId xmlns:a16="http://schemas.microsoft.com/office/drawing/2014/main" id="{93E8FF75-85D5-0A08-918B-E65BB5DC15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156367</xdr:colOff>
      <xdr:row>23</xdr:row>
      <xdr:rowOff>126207</xdr:rowOff>
    </xdr:from>
    <xdr:to>
      <xdr:col>13</xdr:col>
      <xdr:colOff>145256</xdr:colOff>
      <xdr:row>39</xdr:row>
      <xdr:rowOff>98425</xdr:rowOff>
    </xdr:to>
    <xdr:graphicFrame macro="">
      <xdr:nvGraphicFramePr>
        <xdr:cNvPr id="4" name="Chart 3">
          <a:extLst>
            <a:ext uri="{FF2B5EF4-FFF2-40B4-BE49-F238E27FC236}">
              <a16:creationId xmlns:a16="http://schemas.microsoft.com/office/drawing/2014/main" id="{1FD12002-4DA4-B49C-D67C-1B58E3392A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Dan DiZio" id="{F8F19074-21F5-4AA0-BED6-9DFF5BADA732}" userId="S::Dan.DiZio@vantagegrp.com::f244e89f-fa2e-48cc-ac33-b96e924d353f"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 DiZio" refreshedDate="45876.577994328705" createdVersion="8" refreshedVersion="8" minRefreshableVersion="3" recordCount="218" xr:uid="{DF0ECB64-2076-4031-8B63-6F2B3DD9C276}">
  <cacheSource type="worksheet">
    <worksheetSource name="Table114"/>
  </cacheSource>
  <cacheFields count="5">
    <cacheField name="Category Level 3" numFmtId="0">
      <sharedItems count="83">
        <s v="0"/>
        <s v="Acids"/>
        <s v="Active Ingredients"/>
        <s v="Additive"/>
        <s v="Additives"/>
        <s v="Agar"/>
        <s v="Alcohols"/>
        <s v="Almond Flour"/>
        <s v="Almond Oil"/>
        <s v="Amine"/>
        <s v="Apricot Kernel Oil"/>
        <s v="Argan oil"/>
        <s v="Avocado Oil"/>
        <s v="Bags"/>
        <s v="Benzoyl Peroxide"/>
        <s v="Boxes"/>
        <s v="Bunges"/>
        <s v="Calcium Carbonate"/>
        <s v="Calcium Sulfate"/>
        <s v="Canola Oil"/>
        <s v="Cans"/>
        <s v="Caps"/>
        <s v="Castor Oil"/>
        <s v="Caustics"/>
        <s v="Coconut Oil"/>
        <s v="Colloids &amp; Gels"/>
        <s v="Corn Oil"/>
        <s v="Cottonseed Oil"/>
        <s v="Desiccant"/>
        <s v="Drums"/>
        <s v="Equipment Parts"/>
        <s v="Essential Oil"/>
        <s v="Esters"/>
        <s v="Ethoxylates"/>
        <s v="Exfoliants"/>
        <s v="Fatty Acids"/>
        <s v="Fatty Alcohol"/>
        <s v="Fatty Amine"/>
        <s v="Flavors &amp; Fragrance"/>
        <s v="Gases"/>
        <s v="Glycerine"/>
        <s v="Glycols"/>
        <s v="Grapeseed Oil"/>
        <s v="Hydrogen Peroxide"/>
        <s v="Industrial Equipment"/>
        <s v="Jojoba Seed Oil"/>
        <s v="Lanolin"/>
        <s v="Liquid"/>
        <s v="Macadamia Oil"/>
        <s v="Mineral Oil"/>
        <s v="Misc Vegetable Oil"/>
        <s v="Monomethylamin"/>
        <s v="MRO"/>
        <s v="N/A"/>
        <s v="Nylon Powder"/>
        <s v="Olive Oil"/>
        <s v="Other Chemicals"/>
        <s v="Packaging"/>
        <s v="Pails"/>
        <s v="Pallets"/>
        <s v="Palm oil"/>
        <s v="Paraffin Waxes"/>
        <s v="Personal Care"/>
        <s v="Petrochemicals"/>
        <s v="Petrolatum"/>
        <s v="Pigments"/>
        <s v="Polymers and Powders"/>
        <s v="Polyols"/>
        <s v="Safflower Oil"/>
        <s v="Salt"/>
        <s v="Sensate"/>
        <s v="Sesame Oil"/>
        <s v="Silicone"/>
        <s v="Solvents"/>
        <s v="Soybean Oil"/>
        <s v="Specialty Vegetable Oil"/>
        <s v="Squalane"/>
        <s v="Starches"/>
        <s v="Sugars"/>
        <s v="Sunflower Oil"/>
        <s v="Surfactant"/>
        <s v="Synthetic Polymer"/>
        <s v="Tallows"/>
      </sharedItems>
    </cacheField>
    <cacheField name="Category Level 4" numFmtId="0">
      <sharedItems/>
    </cacheField>
    <cacheField name="Total Volume (k)" numFmtId="3">
      <sharedItems containsSemiMixedTypes="0" containsString="0" containsNumber="1" minValue="8.0000000000000002E-3" maxValue="198714.764"/>
    </cacheField>
    <cacheField name="lbs" numFmtId="0">
      <sharedItems containsSemiMixedTypes="0" containsString="0" containsNumber="1" minValue="8" maxValue="198714764"/>
    </cacheField>
    <cacheField name="metric tons" numFmtId="43">
      <sharedItems containsSemiMixedTypes="0" containsString="0" containsNumber="1" minValue="3.628736E-3" maxValue="90135.4272322879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 DiZio" refreshedDate="45876.59690960648" createdVersion="8" refreshedVersion="8" minRefreshableVersion="3" recordCount="219" xr:uid="{5B83A96C-3E21-4DED-9E41-79ACE18DB521}">
  <cacheSource type="worksheet">
    <worksheetSource name="Table16"/>
  </cacheSource>
  <cacheFields count="4">
    <cacheField name="Category Level 3" numFmtId="0">
      <sharedItems containsBlank="1" count="84">
        <s v="0"/>
        <s v="Acids"/>
        <s v="Active Ingredients"/>
        <s v="Additive"/>
        <s v="Additives"/>
        <s v="Agar"/>
        <s v="Alcohols"/>
        <s v="Almond Flour"/>
        <s v="Almond Oil"/>
        <s v="Amine"/>
        <s v="Apricot Kernel Oil"/>
        <s v="Argan oil"/>
        <s v="Avocado Oil"/>
        <s v="Bags"/>
        <s v="Benzoyl Peroxide"/>
        <s v="Boxes"/>
        <s v="Bunges"/>
        <s v="Calcium Carbonate"/>
        <s v="Calcium Sulfate"/>
        <s v="Canola Oil"/>
        <s v="Cans"/>
        <s v="Caps"/>
        <s v="Castor Oil"/>
        <s v="Caustics"/>
        <s v="Coconut Oil"/>
        <s v="Colloids &amp; Gels"/>
        <s v="Corn Oil"/>
        <s v="Cottonseed Oil"/>
        <s v="Desiccant"/>
        <s v="Drums"/>
        <s v="Equipment Parts"/>
        <s v="Essential Oil"/>
        <s v="Esters"/>
        <s v="Ethoxylates"/>
        <s v="Exfoliants"/>
        <s v="Fatty Acids"/>
        <s v="Fatty Alcohol"/>
        <s v="Fatty Amine"/>
        <s v="Flavors &amp; Fragrance"/>
        <s v="Gases"/>
        <s v="Glycerine"/>
        <s v="Glycols"/>
        <s v="Grapeseed Oil"/>
        <s v="Hydrogen Peroxide"/>
        <s v="Industrial Equipment"/>
        <s v="Jojoba Seed Oil"/>
        <s v="Lanolin"/>
        <s v="Liquid"/>
        <s v="Macadamia Oil"/>
        <s v="Mineral Oil"/>
        <s v="Misc Vegetable Oil"/>
        <s v="Monomethylamin"/>
        <s v="MRO"/>
        <s v="N/A"/>
        <s v="Nylon Powder"/>
        <s v="Olive Oil"/>
        <s v="Other Chemicals"/>
        <s v="Packaging"/>
        <s v="Pails"/>
        <s v="Pallets"/>
        <s v="Palm oil"/>
        <s v="Paraffin Waxes"/>
        <s v="Personal Care"/>
        <s v="Petrochemicals"/>
        <s v="Petrolatum"/>
        <s v="Pigments"/>
        <s v="Polymers and Powders"/>
        <s v="Polyols"/>
        <s v="Safflower Oil"/>
        <s v="Salt"/>
        <s v="Sensate"/>
        <s v="Sesame Oil"/>
        <s v="Silicone"/>
        <s v="Solvents"/>
        <s v="Soybean Oil"/>
        <s v="Specialty Vegetable Oil"/>
        <s v="Squalane"/>
        <s v="Starches"/>
        <s v="Sugars"/>
        <s v="Sunflower Oil"/>
        <s v="Surfactant"/>
        <s v="Synthetic Polymer"/>
        <s v="Tallows"/>
        <m/>
      </sharedItems>
    </cacheField>
    <cacheField name="Total Spend (k)" numFmtId="164">
      <sharedItems containsSemiMixedTypes="0" containsString="0" containsNumber="1" minValue="0" maxValue="433912.63792352902"/>
    </cacheField>
    <cacheField name="Total Spend ($)" numFmtId="164">
      <sharedItems containsSemiMixedTypes="0" containsString="0" containsNumber="1" minValue="0" maxValue="433912637.92352903"/>
    </cacheField>
    <cacheField name="% total" numFmtId="166">
      <sharedItems containsSemiMixedTypes="0" containsString="0" containsNumber="1" minValue="0"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 DiZio" refreshedDate="45933.386731597224" createdVersion="8" refreshedVersion="8" minRefreshableVersion="3" recordCount="36" xr:uid="{84A93A17-23F3-4E9D-94D6-26CE38A0A1C0}">
  <cacheSource type="worksheet">
    <worksheetSource name="Table210[[Project]:[Scope 2]]"/>
  </cacheSource>
  <cacheFields count="8">
    <cacheField name="Project" numFmtId="0">
      <sharedItems/>
    </cacheField>
    <cacheField name="Site" numFmtId="0">
      <sharedItems/>
    </cacheField>
    <cacheField name="Stage" numFmtId="0">
      <sharedItems/>
    </cacheField>
    <cacheField name="Year" numFmtId="0">
      <sharedItems containsSemiMixedTypes="0" containsString="0" containsNumber="1" containsInteger="1" minValue="2022" maxValue="2028" count="7">
        <n v="2022"/>
        <n v="2023"/>
        <n v="2024"/>
        <n v="2025"/>
        <n v="2026"/>
        <n v="2027"/>
        <n v="2028"/>
      </sharedItems>
    </cacheField>
    <cacheField name="Type(s)" numFmtId="0">
      <sharedItems/>
    </cacheField>
    <cacheField name="GHG Savings (MT CO2e)" numFmtId="165">
      <sharedItems containsBlank="1" containsMixedTypes="1" containsNumber="1" minValue="-1690" maxValue="1500"/>
    </cacheField>
    <cacheField name="Scope 1" numFmtId="165">
      <sharedItems containsString="0" containsBlank="1" containsNumber="1" minValue="-1690" maxValue="1000"/>
    </cacheField>
    <cacheField name="Scope 2" numFmtId="165">
      <sharedItems containsString="0" containsBlank="1" containsNumber="1" minValue="0" maxValue="1951.3240234250552"/>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 DiZio" refreshedDate="46007.455461226855" createdVersion="8" refreshedVersion="8" minRefreshableVersion="3" recordCount="50" xr:uid="{DCB65F99-D9F9-473B-B558-ECA92B208B5C}">
  <cacheSource type="worksheet">
    <worksheetSource name="Table210"/>
  </cacheSource>
  <cacheFields count="14">
    <cacheField name="Project" numFmtId="0">
      <sharedItems/>
    </cacheField>
    <cacheField name="Site" numFmtId="0">
      <sharedItems/>
    </cacheField>
    <cacheField name="Stage" numFmtId="0">
      <sharedItems/>
    </cacheField>
    <cacheField name="Year" numFmtId="0">
      <sharedItems containsSemiMixedTypes="0" containsString="0" containsNumber="1" containsInteger="1" minValue="2022" maxValue="2028" count="7">
        <n v="2022"/>
        <n v="2023"/>
        <n v="2024"/>
        <n v="2025"/>
        <n v="2026"/>
        <n v="2027"/>
        <n v="2028"/>
      </sharedItems>
    </cacheField>
    <cacheField name="Type(s)" numFmtId="0">
      <sharedItems/>
    </cacheField>
    <cacheField name="GHG Savings (MT CO2e)" numFmtId="165">
      <sharedItems containsBlank="1" containsMixedTypes="1" containsNumber="1" minValue="-1690" maxValue="1465.1279999999999"/>
    </cacheField>
    <cacheField name="Scope 1" numFmtId="165">
      <sharedItems containsString="0" containsBlank="1" containsNumber="1" minValue="-1690" maxValue="1200"/>
    </cacheField>
    <cacheField name="Scope 2" numFmtId="165">
      <sharedItems containsString="0" containsBlank="1" containsNumber="1" minValue="0" maxValue="1465.1279999999999"/>
    </cacheField>
    <cacheField name="Water Savings (ML)" numFmtId="165">
      <sharedItems containsBlank="1" containsMixedTypes="1" containsNumber="1" minValue="0" maxValue="1400"/>
    </cacheField>
    <cacheField name="Energy Savings (MWh)" numFmtId="165">
      <sharedItems containsBlank="1" containsMixedTypes="1" containsNumber="1" minValue="0" maxValue="8613.0085624999992"/>
    </cacheField>
    <cacheField name="Incentive ($)" numFmtId="44">
      <sharedItems containsString="0" containsBlank="1" containsNumber="1" containsInteger="1" minValue="0" maxValue="480000"/>
    </cacheField>
    <cacheField name="CapEx Required ($)" numFmtId="44">
      <sharedItems containsString="0" containsBlank="1" containsNumber="1" minValue="0" maxValue="1000000"/>
    </cacheField>
    <cacheField name="Annual OpEx Savings ($)" numFmtId="44">
      <sharedItems containsString="0" containsBlank="1" containsNumber="1" containsInteger="1" minValue="1160" maxValue="360000"/>
    </cacheField>
    <cacheField name="Simple payback w/ incentive (yr)" numFmtId="0">
      <sharedItems containsMixedTypes="1" containsNumber="1" minValue="-7.5352467957458416" maxValue="30.16591251885369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8">
  <r>
    <x v="0"/>
    <s v="0"/>
    <n v="9.6470000000000002"/>
    <n v="9647"/>
    <n v="4.3758020240000004"/>
  </r>
  <r>
    <x v="0"/>
    <s v="0"/>
    <n v="2.04"/>
    <n v="2040"/>
    <n v="0.92532767999999999"/>
  </r>
  <r>
    <x v="1"/>
    <s v="Acids"/>
    <n v="27.072733599999996"/>
    <n v="27072.733599999996"/>
    <n v="12.279975379091198"/>
  </r>
  <r>
    <x v="1"/>
    <s v="Food grade acids"/>
    <n v="16.484866499999995"/>
    <n v="16484.866499999996"/>
    <n v="7.4774035654679984"/>
  </r>
  <r>
    <x v="1"/>
    <s v="Acids"/>
    <n v="134.51816826059999"/>
    <n v="134518.16826059998"/>
    <n v="61.016364977662064"/>
  </r>
  <r>
    <x v="1"/>
    <s v="Acetic Acid"/>
    <n v="56.142007034399995"/>
    <n v="56142.007034399998"/>
    <n v="25.465565254747563"/>
  </r>
  <r>
    <x v="1"/>
    <s v="Lactic Acid"/>
    <n v="54.002000781600003"/>
    <n v="54002.0007816"/>
    <n v="24.494875538527506"/>
  </r>
  <r>
    <x v="1"/>
    <s v="Amino Acids"/>
    <n v="0.90400000000000003"/>
    <n v="904"/>
    <n v="0.41004716800000002"/>
  </r>
  <r>
    <x v="2"/>
    <s v="Skin Active Ingredients"/>
    <n v="24.784030839999996"/>
    <n v="24784.030839999996"/>
    <n v="11.241838116777279"/>
  </r>
  <r>
    <x v="3"/>
    <s v="Additive"/>
    <n v="81.394570399999992"/>
    <n v="81394.570399999997"/>
    <n v="36.919925976876797"/>
  </r>
  <r>
    <x v="4"/>
    <s v="Emollients"/>
    <n v="4850.745640000001"/>
    <n v="4850745.6400000006"/>
    <n v="2200.2594163388803"/>
  </r>
  <r>
    <x v="4"/>
    <s v="Food emulsifiers"/>
    <n v="201.03532452799999"/>
    <n v="201035.324528"/>
    <n v="91.188014923304578"/>
  </r>
  <r>
    <x v="4"/>
    <s v="Additives"/>
    <n v="76.661049823870584"/>
    <n v="76661.049823870591"/>
    <n v="34.772838911709108"/>
  </r>
  <r>
    <x v="4"/>
    <s v="Resin"/>
    <n v="51.7418141064"/>
    <n v="51741.814106400001"/>
    <n v="23.46967294415019"/>
  </r>
  <r>
    <x v="4"/>
    <s v="Food Additives"/>
    <n v="14.988604530276"/>
    <n v="14988.604530275999"/>
    <n v="6.7987111060969516"/>
  </r>
  <r>
    <x v="4"/>
    <s v="Additives"/>
    <n v="31.922999999999998"/>
    <n v="31923"/>
    <n v="14.480017416000001"/>
  </r>
  <r>
    <x v="4"/>
    <s v="Additives"/>
    <n v="103.45151773839997"/>
    <n v="103451.51773839997"/>
    <n v="46.924780833996316"/>
  </r>
  <r>
    <x v="5"/>
    <s v="Specialty Agars"/>
    <n v="273.81260999999995"/>
    <n v="273812.60999999993"/>
    <n v="124.19920939511996"/>
  </r>
  <r>
    <x v="6"/>
    <s v="Behenyl Alcohol"/>
    <n v="555.57017400000007"/>
    <n v="555570.17400000012"/>
    <n v="252.00218636500804"/>
  </r>
  <r>
    <x v="6"/>
    <s v="Alcohols"/>
    <n v="388.57240000000002"/>
    <n v="388572.4"/>
    <n v="176.25333206080001"/>
  </r>
  <r>
    <x v="7"/>
    <s v="Almond"/>
    <n v="26.984548799999995"/>
    <n v="26984.548799999997"/>
    <n v="12.2399754592896"/>
  </r>
  <r>
    <x v="8"/>
    <s v="Crude Almond"/>
    <n v="1275.1417294411399"/>
    <n v="1275141.7294411398"/>
    <n v="578.39408734066546"/>
  </r>
  <r>
    <x v="9"/>
    <s v="Tallow Amine"/>
    <n v="99.47245439999999"/>
    <n v="99472.454399999988"/>
    <n v="45.119909536204794"/>
  </r>
  <r>
    <x v="10"/>
    <s v="Apricot"/>
    <n v="49.724101789999992"/>
    <n v="49724.101789999993"/>
    <n v="22.554454779129678"/>
  </r>
  <r>
    <x v="11"/>
    <s v="Virgin/ Organic"/>
    <n v="34.259794799999995"/>
    <n v="34259.794799999996"/>
    <n v="15.539968842921599"/>
  </r>
  <r>
    <x v="12"/>
    <s v="Refined Avocado"/>
    <n v="391.89325119999995"/>
    <n v="391893.25119999994"/>
    <n v="177.75964359831036"/>
  </r>
  <r>
    <x v="13"/>
    <s v="Finished Good Bags"/>
    <n v="108"/>
    <n v="108000"/>
    <n v="48.987935999999998"/>
  </r>
  <r>
    <x v="14"/>
    <s v="Benzoyl Peroxide"/>
    <n v="1109.8468129194378"/>
    <n v="1109846.8129194377"/>
    <n v="503.41763556575359"/>
  </r>
  <r>
    <x v="15"/>
    <s v="Corrugate Boxes"/>
    <n v="146.029"/>
    <n v="146029"/>
    <n v="66.237586168000007"/>
  </r>
  <r>
    <x v="15"/>
    <s v="boxes"/>
    <n v="0.25"/>
    <n v="250"/>
    <n v="0.113398"/>
  </r>
  <r>
    <x v="16"/>
    <s v="Bunges"/>
    <n v="16.524000000000001"/>
    <n v="16524"/>
    <n v="7.4951542079999998"/>
  </r>
  <r>
    <x v="17"/>
    <s v="Food Grade Calcium Carbonate"/>
    <n v="744.03496000000007"/>
    <n v="744034.96000000008"/>
    <n v="337.48830557632004"/>
  </r>
  <r>
    <x v="18"/>
    <s v="Food Grade Calcium Sulfate"/>
    <n v="112.43434999999999"/>
    <n v="112434.34999999999"/>
    <n v="50.999321685199995"/>
  </r>
  <r>
    <x v="19"/>
    <s v="Refined Canola Oil"/>
    <n v="14224.4579985"/>
    <n v="14224457.998500001"/>
    <n v="6452.1003524556127"/>
  </r>
  <r>
    <x v="19"/>
    <s v="Organic/NGMO/IP"/>
    <n v="1.7"/>
    <n v="1700"/>
    <n v="0.77110639999999997"/>
  </r>
  <r>
    <x v="19"/>
    <s v="Organic/NGMO/IP"/>
    <n v="681.779"/>
    <n v="681779"/>
    <n v="309.249500168"/>
  </r>
  <r>
    <x v="20"/>
    <s v="Metal Cans"/>
    <n v="6.44"/>
    <n v="6440"/>
    <n v="2.9211324799999998"/>
  </r>
  <r>
    <x v="21"/>
    <s v="Caps"/>
    <n v="189.12045839999993"/>
    <n v="189120.45839999994"/>
    <n v="85.783526966572779"/>
  </r>
  <r>
    <x v="22"/>
    <s v="Castor Oil"/>
    <n v="1783.0590304"/>
    <n v="1783059.0304"/>
    <n v="808.78131171719679"/>
  </r>
  <r>
    <x v="22"/>
    <s v="Hydrogenated Castor Oil"/>
    <n v="359.02510089599991"/>
    <n v="359025.10089599993"/>
    <n v="162.85091356561841"/>
  </r>
  <r>
    <x v="23"/>
    <s v="Sodium Hydroxide"/>
    <n v="4837.5598978847993"/>
    <n v="4837559.8978847992"/>
    <n v="2194.278469201362"/>
  </r>
  <r>
    <x v="23"/>
    <s v="Potassium Hydroxide"/>
    <n v="95.861999999999995"/>
    <n v="95862"/>
    <n v="43.482236303999997"/>
  </r>
  <r>
    <x v="23"/>
    <s v="Caustics"/>
    <n v="0.50000781599999999"/>
    <n v="500.00781599999999"/>
    <n v="0.22679954527507198"/>
  </r>
  <r>
    <x v="24"/>
    <s v="Refined Coconut Oil"/>
    <n v="25765.918546700002"/>
    <n v="25765918.546700001"/>
    <n v="11687.214525434747"/>
  </r>
  <r>
    <x v="24"/>
    <s v="Crude Coconut Oil"/>
    <n v="761.93899999999996"/>
    <n v="761939"/>
    <n v="345.60943488800001"/>
  </r>
  <r>
    <x v="25"/>
    <s v="Colloids &amp; Gels"/>
    <n v="9.9432000000000009"/>
    <n v="9943.2000000000007"/>
    <n v="4.5101559743999999"/>
  </r>
  <r>
    <x v="26"/>
    <s v="Refined Corn Oil"/>
    <n v="525.91803111999991"/>
    <n v="525918.03111999994"/>
    <n v="238.552211571783"/>
  </r>
  <r>
    <x v="27"/>
    <s v="Cottonseed Oil"/>
    <n v="32.372144599999999"/>
    <n v="32372.1446"/>
    <n v="14.683745813403199"/>
  </r>
  <r>
    <x v="28"/>
    <s v="Desiccant"/>
    <n v="85.807760000000016"/>
    <n v="85807.760000000009"/>
    <n v="38.921713473920008"/>
  </r>
  <r>
    <x v="29"/>
    <s v="Metal Drums"/>
    <n v="114.26246001999995"/>
    <n v="114262.46001999995"/>
    <n v="51.828537765391822"/>
  </r>
  <r>
    <x v="29"/>
    <s v="Fiber Drums"/>
    <n v="28.814"/>
    <n v="28814"/>
    <n v="13.069799888"/>
  </r>
  <r>
    <x v="29"/>
    <s v="Plastic Drums"/>
    <n v="14.06746528"/>
    <n v="14067.46528"/>
    <n v="6.3808897112857599"/>
  </r>
  <r>
    <x v="30"/>
    <s v="Production Equipment Parts"/>
    <n v="5.4989999999999997"/>
    <n v="5499"/>
    <n v="2.4943024079999998"/>
  </r>
  <r>
    <x v="30"/>
    <s v="0"/>
    <n v="3.2000000000000001E-2"/>
    <n v="32"/>
    <n v="1.4514944E-2"/>
  </r>
  <r>
    <x v="30"/>
    <s v="General MRO"/>
    <n v="0.01"/>
    <n v="10"/>
    <n v="4.5359199999999997E-3"/>
  </r>
  <r>
    <x v="31"/>
    <s v="Essential Oil"/>
    <n v="6.2624435720000005"/>
    <n v="6262.4435720000001"/>
    <n v="2.8405943047106241"/>
  </r>
  <r>
    <x v="32"/>
    <s v="Emulsifiers"/>
    <n v="1002.9871234000001"/>
    <n v="1002987.1234"/>
    <n v="454.94693527725281"/>
  </r>
  <r>
    <x v="32"/>
    <s v="Esters"/>
    <n v="507.51734546719996"/>
    <n v="507517.34546719998"/>
    <n v="230.20580776515817"/>
  </r>
  <r>
    <x v="32"/>
    <s v="Emollients"/>
    <n v="1985.1093800000001"/>
    <n v="1985109.3800000001"/>
    <n v="900.42973389296003"/>
  </r>
  <r>
    <x v="33"/>
    <s v="Emulsifiers"/>
    <n v="842.69835804000002"/>
    <n v="842698.35803999996"/>
    <n v="382.24123362007964"/>
  </r>
  <r>
    <x v="34"/>
    <s v="Exfoliants"/>
    <n v="165.14386899999988"/>
    <n v="165143.86899999989"/>
    <n v="74.907937827447952"/>
  </r>
  <r>
    <x v="35"/>
    <s v="Oleic Acid"/>
    <n v="8556.3223335999992"/>
    <n v="8556322.3335999995"/>
    <n v="3881.0793599422909"/>
  </r>
  <r>
    <x v="35"/>
    <s v="Stearic Acid"/>
    <n v="3918.5738999999999"/>
    <n v="3918573.9"/>
    <n v="1777.4337724488"/>
  </r>
  <r>
    <x v="35"/>
    <s v="Coconut Fatty Acid"/>
    <n v="2493.511"/>
    <n v="2493511"/>
    <n v="1131.036641512"/>
  </r>
  <r>
    <x v="35"/>
    <s v="Esters"/>
    <n v="755.33923800000002"/>
    <n v="755339.23800000001"/>
    <n v="342.615835642896"/>
  </r>
  <r>
    <x v="35"/>
    <s v="Emulsifiers"/>
    <n v="590.654"/>
    <n v="590654"/>
    <n v="267.91592916799999"/>
  </r>
  <r>
    <x v="35"/>
    <s v="Tall Oil"/>
    <n v="316.08"/>
    <n v="316080"/>
    <n v="143.37135936000001"/>
  </r>
  <r>
    <x v="35"/>
    <s v="Fatty Acid C12-18"/>
    <n v="273.57129579999997"/>
    <n v="273571.29579999996"/>
    <n v="124.08975120451359"/>
  </r>
  <r>
    <x v="35"/>
    <s v="Vegetable Fatty Acids"/>
    <n v="205.46"/>
    <n v="205460"/>
    <n v="93.195012320000004"/>
  </r>
  <r>
    <x v="35"/>
    <s v="Myristic Acid"/>
    <n v="48"/>
    <n v="48000"/>
    <n v="21.772416"/>
  </r>
  <r>
    <x v="35"/>
    <s v="Lauric Acid"/>
    <n v="10.6"/>
    <n v="10600"/>
    <n v="4.8080752000000002"/>
  </r>
  <r>
    <x v="35"/>
    <s v="Fatty Acid C08-18"/>
    <n v="5.9524740000000005"/>
    <n v="5952.4740000000002"/>
    <n v="2.6999945866080002"/>
  </r>
  <r>
    <x v="35"/>
    <s v="Borago Oil"/>
    <n v="4.1887779999999992"/>
    <n v="4188.7779999999993"/>
    <n v="1.8999961905759997"/>
  </r>
  <r>
    <x v="36"/>
    <s v="Cetearyl Alcohol"/>
    <n v="2152.8583095999998"/>
    <n v="2152858.3095999998"/>
    <n v="976.51930636808311"/>
  </r>
  <r>
    <x v="36"/>
    <s v="Cetyl Alcohol"/>
    <n v="607.67256000000009"/>
    <n v="607672.56000000006"/>
    <n v="275.63541183552002"/>
  </r>
  <r>
    <x v="36"/>
    <s v="Stearyl Alcohol"/>
    <n v="494.13203524799991"/>
    <n v="494132.03524799988"/>
    <n v="224.13433813221076"/>
  </r>
  <r>
    <x v="36"/>
    <s v="Lauryl Alcohol"/>
    <n v="397.76"/>
    <n v="397760"/>
    <n v="180.42075392000001"/>
  </r>
  <r>
    <x v="36"/>
    <s v="Ethoxylate"/>
    <n v="373.23599999999999"/>
    <n v="373236"/>
    <n v="169.296863712"/>
  </r>
  <r>
    <x v="36"/>
    <s v="Decyl Alcohol"/>
    <n v="358.14"/>
    <n v="358140"/>
    <n v="162.44943888"/>
  </r>
  <r>
    <x v="36"/>
    <s v="Methyl Oleate"/>
    <n v="174.78"/>
    <n v="174780"/>
    <n v="79.278809760000001"/>
  </r>
  <r>
    <x v="36"/>
    <s v="Myristyl Alcohol"/>
    <n v="164.88"/>
    <n v="164880"/>
    <n v="74.788248960000004"/>
  </r>
  <r>
    <x v="36"/>
    <s v="Emulsifiers"/>
    <n v="135.96884080000001"/>
    <n v="135968.84080000001"/>
    <n v="61.674378436153603"/>
  </r>
  <r>
    <x v="36"/>
    <s v="Alkane"/>
    <n v="47.88"/>
    <n v="47880"/>
    <n v="21.717984959999999"/>
  </r>
  <r>
    <x v="36"/>
    <s v="unsaturated fatty alcohol 1618"/>
    <n v="30.732402799999996"/>
    <n v="30732.402799999996"/>
    <n v="13.939972050857598"/>
  </r>
  <r>
    <x v="36"/>
    <s v="Alcohol Blends"/>
    <n v="22.588000000000001"/>
    <n v="22588"/>
    <n v="10.245736096"/>
  </r>
  <r>
    <x v="37"/>
    <s v="Oleyl Amine"/>
    <n v="50.378741652799995"/>
    <n v="50378.741652799996"/>
    <n v="22.851394183776854"/>
  </r>
  <r>
    <x v="37"/>
    <s v="Ethanol Amine"/>
    <n v="42.459000000000003"/>
    <n v="42459"/>
    <n v="19.259062728"/>
  </r>
  <r>
    <x v="38"/>
    <s v="Flavors"/>
    <n v="38.711596200000002"/>
    <n v="38711.5962"/>
    <n v="17.559270343550399"/>
  </r>
  <r>
    <x v="39"/>
    <s v="Ethylene Oxide"/>
    <n v="52328.85265986"/>
    <n v="52328852.65986"/>
    <n v="23735.948935691216"/>
  </r>
  <r>
    <x v="39"/>
    <s v="Sulfur Dioxide"/>
    <n v="6579.798620999999"/>
    <n v="6579798.6209999993"/>
    <n v="2984.5440160966318"/>
  </r>
  <r>
    <x v="39"/>
    <s v="Chlorine"/>
    <n v="8111.1276730000036"/>
    <n v="8111127.6730000032"/>
    <n v="3679.1426234514174"/>
  </r>
  <r>
    <x v="40"/>
    <s v="Vege Crude Glycerine"/>
    <n v="55591.231"/>
    <n v="55591231"/>
    <n v="25215.737651751999"/>
  </r>
  <r>
    <x v="40"/>
    <s v="Tallow Crude Glycerine"/>
    <n v="8144.8999799999965"/>
    <n v="8144899.9799999967"/>
    <n v="3694.4614717281584"/>
  </r>
  <r>
    <x v="40"/>
    <s v="Refined Glycerine"/>
    <n v="250.21719999999999"/>
    <n v="250217.19999999998"/>
    <n v="113.49652018239999"/>
  </r>
  <r>
    <x v="40"/>
    <s v="Refined Glycerine Kosher for Passover"/>
    <n v="2.2046199999999998"/>
    <n v="2204.62"/>
    <n v="0.99999799503999998"/>
  </r>
  <r>
    <x v="41"/>
    <s v="Diethylene Glycol"/>
    <n v="1057.1600000000001"/>
    <n v="1057160"/>
    <n v="479.51931872"/>
  </r>
  <r>
    <x v="41"/>
    <s v="Glycol Ether"/>
    <n v="435.73028570000002"/>
    <n v="435730.28570000001"/>
    <n v="197.6437717512344"/>
  </r>
  <r>
    <x v="41"/>
    <s v="Propylene Glycol"/>
    <n v="83.864999999999995"/>
    <n v="83865"/>
    <n v="38.040493079999997"/>
  </r>
  <r>
    <x v="41"/>
    <s v="Mono Ethylene Glycol"/>
    <n v="79.366320000000002"/>
    <n v="79366.320000000007"/>
    <n v="35.999927821440004"/>
  </r>
  <r>
    <x v="41"/>
    <s v="Ethylene Glycol"/>
    <n v="58.737000000000002"/>
    <n v="58737"/>
    <n v="26.642633304"/>
  </r>
  <r>
    <x v="41"/>
    <s v="Polyglycol"/>
    <n v="26"/>
    <n v="26000"/>
    <n v="11.793392000000001"/>
  </r>
  <r>
    <x v="41"/>
    <s v="Dipropylene glycol"/>
    <n v="19.59"/>
    <n v="19590"/>
    <n v="8.8858672799999994"/>
  </r>
  <r>
    <x v="41"/>
    <s v="Uncategorized"/>
    <n v="8"/>
    <n v="8000"/>
    <n v="3.628736"/>
  </r>
  <r>
    <x v="41"/>
    <s v="Butylene Glycol"/>
    <n v="2.7219178982000001"/>
    <n v="2721.9178981999999"/>
    <n v="1.2346401832803344"/>
  </r>
  <r>
    <x v="42"/>
    <s v="Refined Grapeseed Oil"/>
    <n v="1497.3338116"/>
    <n v="1497333.8115999999"/>
    <n v="679.17863827126712"/>
  </r>
  <r>
    <x v="43"/>
    <s v="Hydrogen Peroxide"/>
    <n v="278.58554399999997"/>
    <n v="278585.54399999999"/>
    <n v="126.36417407404799"/>
  </r>
  <r>
    <x v="44"/>
    <s v="Custom Engraving and Signs"/>
    <n v="0.17499999999999999"/>
    <n v="175"/>
    <n v="7.9378600000000007E-2"/>
  </r>
  <r>
    <x v="44"/>
    <s v="Industrial Equipment"/>
    <n v="8.0000000000000002E-3"/>
    <n v="8"/>
    <n v="3.628736E-3"/>
  </r>
  <r>
    <x v="45"/>
    <s v="Jojoba Wax Flakes"/>
    <n v="192.96"/>
    <n v="192960"/>
    <n v="87.525112320000005"/>
  </r>
  <r>
    <x v="45"/>
    <s v="Jojoba Oil"/>
    <n v="142.56"/>
    <n v="142560"/>
    <n v="64.664075519999997"/>
  </r>
  <r>
    <x v="45"/>
    <s v="Jojoba Esters"/>
    <n v="99.640265744000004"/>
    <n v="99640.265744000004"/>
    <n v="45.196027419352447"/>
  </r>
  <r>
    <x v="45"/>
    <s v="DW Jojoba Golden Oil"/>
    <n v="95.239584000000008"/>
    <n v="95239.584000000003"/>
    <n v="43.199913385728003"/>
  </r>
  <r>
    <x v="45"/>
    <s v="Jojoba Glaze"/>
    <n v="44.427"/>
    <n v="44427"/>
    <n v="20.151731783999999"/>
  </r>
  <r>
    <x v="46"/>
    <s v="Lanolin Products"/>
    <n v="5.0279999999999996"/>
    <n v="5028"/>
    <n v="2.2806605759999998"/>
  </r>
  <r>
    <x v="47"/>
    <s v="Fatty Alcohol"/>
    <n v="3530.51886496"/>
    <n v="3530518.8649599999"/>
    <n v="1601.4151129949364"/>
  </r>
  <r>
    <x v="47"/>
    <s v="Propylene Oxide"/>
    <n v="2589.5923289000002"/>
    <n v="2589592.3289000001"/>
    <n v="1174.6183636504088"/>
  </r>
  <r>
    <x v="48"/>
    <s v="Refined / Crude Macadamia"/>
    <n v="0.41887779999999997"/>
    <n v="418.87779999999998"/>
    <n v="0.18999961905759999"/>
  </r>
  <r>
    <x v="49"/>
    <s v="Mineral Oil"/>
    <n v="4950.0780193805303"/>
    <n v="4950078.0193805303"/>
    <n v="2245.3157889668537"/>
  </r>
  <r>
    <x v="50"/>
    <s v="Refined Misc Vegetable Oil"/>
    <n v="274.65173647000006"/>
    <n v="274651.73647000006"/>
    <n v="124.57983044890027"/>
  </r>
  <r>
    <x v="50"/>
    <s v="Crude Misc Vegetable Oil"/>
    <n v="3.1834712799999996"/>
    <n v="3183.4712799999998"/>
    <n v="1.44399710483776"/>
  </r>
  <r>
    <x v="51"/>
    <s v="Paraffin Waxes"/>
    <n v="4962.8355143399995"/>
    <n v="4962835.5143399993"/>
    <n v="2251.1024866205089"/>
  </r>
  <r>
    <x v="51"/>
    <s v="Monomethylamin"/>
    <n v="2028.0519842000003"/>
    <n v="2028051.9842000003"/>
    <n v="919.90815561724651"/>
  </r>
  <r>
    <x v="52"/>
    <s v="Filter Paper and Filter Bags"/>
    <n v="32.25"/>
    <n v="32250"/>
    <n v="14.628342"/>
  </r>
  <r>
    <x v="52"/>
    <s v="Pipes Valves Fittings"/>
    <n v="17.940999999999999"/>
    <n v="17941"/>
    <n v="8.1378940719999999"/>
  </r>
  <r>
    <x v="52"/>
    <s v="General MRO"/>
    <n v="14.933999999999999"/>
    <n v="14934"/>
    <n v="6.7739429280000003"/>
  </r>
  <r>
    <x v="52"/>
    <s v="Fasteners"/>
    <n v="12.212"/>
    <n v="12212"/>
    <n v="5.5392655040000003"/>
  </r>
  <r>
    <x v="52"/>
    <s v="Electrical"/>
    <n v="8.0850000000000009"/>
    <n v="8085.0000000000009"/>
    <n v="3.6672913200000004"/>
  </r>
  <r>
    <x v="52"/>
    <s v="Production Maintenance Parts"/>
    <n v="7.1249549469999982"/>
    <n v="7124.9549469999984"/>
    <n v="3.2318225643196232"/>
  </r>
  <r>
    <x v="52"/>
    <s v="Safety Supplies"/>
    <n v="5.2439999999999998"/>
    <n v="5244"/>
    <n v="2.378636448"/>
  </r>
  <r>
    <x v="52"/>
    <s v="Pumps &amp; Motors"/>
    <n v="0.71899999999999997"/>
    <n v="719"/>
    <n v="0.32613264800000002"/>
  </r>
  <r>
    <x v="52"/>
    <s v="Shipping and Packing Supplies"/>
    <n v="0.48699999999999999"/>
    <n v="487"/>
    <n v="0.22089930399999999"/>
  </r>
  <r>
    <x v="52"/>
    <s v="Hydraulics"/>
    <n v="0.19500000000000001"/>
    <n v="195"/>
    <n v="8.8450440000000005E-2"/>
  </r>
  <r>
    <x v="52"/>
    <s v="Instrumentation"/>
    <n v="0.04"/>
    <n v="40"/>
    <n v="1.8143679999999999E-2"/>
  </r>
  <r>
    <x v="53"/>
    <s v="N/A"/>
    <n v="0.03"/>
    <n v="30"/>
    <n v="1.360776E-2"/>
  </r>
  <r>
    <x v="54"/>
    <s v="Nylon Powder"/>
    <n v="3.1636296999999995"/>
    <n v="3163.6296999999995"/>
    <n v="1.4349971228823999"/>
  </r>
  <r>
    <x v="55"/>
    <s v="Refined Pomace"/>
    <n v="582.41651159999992"/>
    <n v="582416.51159999997"/>
    <n v="264.1794703296672"/>
  </r>
  <r>
    <x v="55"/>
    <s v="Refined Olive Oil"/>
    <n v="404.52572379999998"/>
    <n v="404525.72379999998"/>
    <n v="183.48963210988958"/>
  </r>
  <r>
    <x v="55"/>
    <s v="Extra Virgin"/>
    <n v="354.81518486199997"/>
    <n v="354815.18486199999"/>
    <n v="160.94132933192429"/>
  </r>
  <r>
    <x v="56"/>
    <s v="Other Chemicals (D)"/>
    <n v="5195.5081818000026"/>
    <n v="5195508.1818000022"/>
    <n v="2356.6409471990264"/>
  </r>
  <r>
    <x v="56"/>
    <s v="NPB"/>
    <n v="431.28"/>
    <n v="431280"/>
    <n v="195.62515776000001"/>
  </r>
  <r>
    <x v="56"/>
    <s v="Other Chemicals"/>
    <n v="317.464"/>
    <n v="317464"/>
    <n v="143.99913068800001"/>
  </r>
  <r>
    <x v="56"/>
    <s v="Phosphorus Trichloride"/>
    <n v="164.78211727999999"/>
    <n v="164782.11728000001"/>
    <n v="74.74385014126976"/>
  </r>
  <r>
    <x v="56"/>
    <s v="Emollients"/>
    <n v="119.304"/>
    <n v="119304"/>
    <n v="54.115339968000001"/>
  </r>
  <r>
    <x v="56"/>
    <s v="Preservatives"/>
    <n v="38.351748899999997"/>
    <n v="38351.748899999999"/>
    <n v="17.3960464870488"/>
  </r>
  <r>
    <x v="56"/>
    <s v="Microsphere"/>
    <n v="36.18"/>
    <n v="36180"/>
    <n v="16.410958560000001"/>
  </r>
  <r>
    <x v="56"/>
    <s v="Sun Filters"/>
    <n v="19.7920162528"/>
    <n v="19792.0162528"/>
    <n v="8.9775002361400578"/>
  </r>
  <r>
    <x v="56"/>
    <s v="MICA"/>
    <n v="12.621449499999999"/>
    <n v="12621.449499999999"/>
    <n v="5.7249885216039997"/>
  </r>
  <r>
    <x v="56"/>
    <s v="Flow Aid"/>
    <n v="3.9683159999999997"/>
    <n v="3968.3159999999998"/>
    <n v="1.7999963910719998"/>
  </r>
  <r>
    <x v="56"/>
    <s v="Pharma"/>
    <n v="3.02914788"/>
    <n v="3029.14788"/>
    <n v="1.37399724518496"/>
  </r>
  <r>
    <x v="56"/>
    <s v="Humectants"/>
    <n v="2"/>
    <n v="2000"/>
    <n v="0.90718399999999999"/>
  </r>
  <r>
    <x v="57"/>
    <s v="Packaging"/>
    <n v="118.76201772"/>
    <n v="118762.01772"/>
    <n v="53.86950114165024"/>
  </r>
  <r>
    <x v="58"/>
    <s v="Plastic Pails"/>
    <n v="418.56897279999998"/>
    <n v="418568.97279999999"/>
    <n v="189.8595375102976"/>
  </r>
  <r>
    <x v="58"/>
    <s v="Steel Pails"/>
    <n v="21.943000000000001"/>
    <n v="21943"/>
    <n v="9.9531692560000007"/>
  </r>
  <r>
    <x v="59"/>
    <s v="Wood Pallets"/>
    <n v="26.394082059999981"/>
    <n v="26394.082059999982"/>
    <n v="11.972144469759511"/>
  </r>
  <r>
    <x v="59"/>
    <s v="Plastic Pallets"/>
    <n v="7.3634308000000042"/>
    <n v="7363.4308000000037"/>
    <n v="3.3399933034336016"/>
  </r>
  <r>
    <x v="60"/>
    <s v="Palm olein"/>
    <n v="4714.07"/>
    <n v="4714070"/>
    <n v="2138.2644394399999"/>
  </r>
  <r>
    <x v="60"/>
    <s v="Palm stearin"/>
    <n v="279.52"/>
    <n v="279520"/>
    <n v="126.78803584000001"/>
  </r>
  <r>
    <x v="60"/>
    <s v="Refined Palm Oil"/>
    <n v="2.4"/>
    <n v="2400"/>
    <n v="1.0886207999999999"/>
  </r>
  <r>
    <x v="60"/>
    <s v="Palm olein"/>
    <n v="3192.47"/>
    <n v="3192470"/>
    <n v="1448.0788522400001"/>
  </r>
  <r>
    <x v="61"/>
    <s v="Uncategorized"/>
    <n v="0.45"/>
    <n v="450"/>
    <n v="0.2041164"/>
  </r>
  <r>
    <x v="61"/>
    <s v="Paraffin Waxes"/>
    <n v="2.0640000000000001"/>
    <n v="2064"/>
    <n v="0.93621388800000005"/>
  </r>
  <r>
    <x v="62"/>
    <s v="Specialty Care Ingredient"/>
    <n v="629.19749744000023"/>
    <n v="629197.49744000018"/>
    <n v="285.39895125880457"/>
  </r>
  <r>
    <x v="63"/>
    <s v="Polyethlyenes"/>
    <n v="166.15326400000001"/>
    <n v="166153.264"/>
    <n v="75.365791324287997"/>
  </r>
  <r>
    <x v="63"/>
    <s v="Rheologic/Modifiers"/>
    <n v="101.87961270732799"/>
    <n v="101879.61270732799"/>
    <n v="46.211777287142318"/>
  </r>
  <r>
    <x v="63"/>
    <s v="Motor Oil"/>
    <n v="59.4"/>
    <n v="59400"/>
    <n v="26.943364800000001"/>
  </r>
  <r>
    <x v="63"/>
    <s v="Paraffin Waxes"/>
    <n v="52.073124399999998"/>
    <n v="52073.124400000001"/>
    <n v="23.619952642844801"/>
  </r>
  <r>
    <x v="64"/>
    <s v="Petrolatum"/>
    <n v="354.18001041999997"/>
    <n v="354180.01041999995"/>
    <n v="160.65321928642862"/>
  </r>
  <r>
    <x v="65"/>
    <s v="Food Grade Pigments"/>
    <n v="15.443223100000001"/>
    <n v="15443.223100000001"/>
    <n v="7.0049224523752009"/>
  </r>
  <r>
    <x v="65"/>
    <s v="Industrial Grade Pigments"/>
    <n v="0.64704620000000002"/>
    <n v="647.0462"/>
    <n v="0.29349497995040003"/>
  </r>
  <r>
    <x v="65"/>
    <s v="Cosmetic Grade Pigments"/>
    <n v="0.26455439999999997"/>
    <n v="264.55439999999999"/>
    <n v="0.1199997594048"/>
  </r>
  <r>
    <x v="66"/>
    <s v="Polymers and Powders"/>
    <n v="15.31265992"/>
    <n v="15312.65992"/>
    <n v="6.9457000384326397"/>
  </r>
  <r>
    <x v="66"/>
    <s v="Rheologic/Modifiers"/>
    <n v="12.218002399999998"/>
    <n v="12218.002399999998"/>
    <n v="5.5419881446207988"/>
  </r>
  <r>
    <x v="67"/>
    <s v="Sorbitol"/>
    <n v="17601.069833599999"/>
    <n v="17601069.8336"/>
    <n v="7983.7044679622913"/>
  </r>
  <r>
    <x v="68"/>
    <s v="High Oleic/ Linoleic"/>
    <n v="1.68"/>
    <n v="1680"/>
    <n v="0.76203456000000003"/>
  </r>
  <r>
    <x v="69"/>
    <s v="Salt"/>
    <n v="384.57864239200006"/>
    <n v="384578.64239200007"/>
    <n v="174.44179555987211"/>
  </r>
  <r>
    <x v="69"/>
    <s v="Magnesium"/>
    <n v="100"/>
    <n v="100000"/>
    <n v="45.359200000000001"/>
  </r>
  <r>
    <x v="69"/>
    <s v="Sodium Bicarbonate"/>
    <n v="0.6"/>
    <n v="600"/>
    <n v="0.27215519999999999"/>
  </r>
  <r>
    <x v="70"/>
    <s v="Sensate"/>
    <n v="21.173170479999996"/>
    <n v="21173.170479999997"/>
    <n v="9.6039807443641596"/>
  </r>
  <r>
    <x v="71"/>
    <s v="Refined Sesame"/>
    <n v="177.42781759999997"/>
    <n v="177427.81759999998"/>
    <n v="80.479838640819196"/>
  </r>
  <r>
    <x v="71"/>
    <s v="Sesame Oil"/>
    <n v="15.0796008"/>
    <n v="15079.6008"/>
    <n v="6.8399862860736"/>
  </r>
  <r>
    <x v="71"/>
    <s v="Virgin / Organic Sesame"/>
    <n v="3.5273919999999999"/>
    <n v="3527.3919999999998"/>
    <n v="1.5999967920639999"/>
  </r>
  <r>
    <x v="72"/>
    <s v="Performance Blends"/>
    <n v="162.7258952"/>
    <n v="162725.8952"/>
    <n v="73.811164255558396"/>
  </r>
  <r>
    <x v="72"/>
    <s v="Silicone"/>
    <n v="39.252894628859998"/>
    <n v="39252.894628859998"/>
    <n v="17.804798980493864"/>
  </r>
  <r>
    <x v="73"/>
    <s v="Distillate"/>
    <n v="960.29156080799987"/>
    <n v="960291.56080799992"/>
    <n v="435.58056965002231"/>
  </r>
  <r>
    <x v="73"/>
    <s v="Actives"/>
    <n v="250.41300000000001"/>
    <n v="250413"/>
    <n v="113.585333496"/>
  </r>
  <r>
    <x v="73"/>
    <s v="Solvent Cleaner"/>
    <n v="65.37"/>
    <n v="65370.000000000007"/>
    <n v="29.651309040000005"/>
  </r>
  <r>
    <x v="73"/>
    <s v="Hyrogen Peroxide"/>
    <n v="12.5"/>
    <n v="12500"/>
    <n v="5.6699000000000002"/>
  </r>
  <r>
    <x v="73"/>
    <s v="Solvents"/>
    <n v="1.38"/>
    <n v="1380"/>
    <n v="0.62595696000000001"/>
  </r>
  <r>
    <x v="74"/>
    <s v="Refined soybean oil"/>
    <n v="10296.158015297598"/>
    <n v="10296158.015297599"/>
    <n v="4670.2549064748682"/>
  </r>
  <r>
    <x v="74"/>
    <s v="Crude Soybean Oil"/>
    <n v="9989.6540000000005"/>
    <n v="9989654"/>
    <n v="4531.2271371679999"/>
  </r>
  <r>
    <x v="74"/>
    <s v="High Oleic Soybean"/>
    <n v="5188.92"/>
    <n v="5188920"/>
    <n v="2353.6526006399999"/>
  </r>
  <r>
    <x v="74"/>
    <s v="High Oleic"/>
    <n v="3487.95"/>
    <n v="3487950"/>
    <n v="1582.1062164"/>
  </r>
  <r>
    <x v="74"/>
    <s v="Organic/NGMO/IP"/>
    <n v="1649.4084991999998"/>
    <n v="1649408.4991999997"/>
    <n v="748.1584999691263"/>
  </r>
  <r>
    <x v="75"/>
    <s v="Soy Lecithin"/>
    <n v="2596.0859999999998"/>
    <n v="2596086"/>
    <n v="1177.5638409119999"/>
  </r>
  <r>
    <x v="75"/>
    <s v="MCT oil"/>
    <n v="210.89599999999999"/>
    <n v="210896"/>
    <n v="95.660738432000002"/>
  </r>
  <r>
    <x v="75"/>
    <s v="Organic/NGMO/IP"/>
    <n v="185.8"/>
    <n v="185800"/>
    <n v="84.277393599999996"/>
  </r>
  <r>
    <x v="75"/>
    <s v="Sunflower Lecithin"/>
    <n v="53.351219999999991"/>
    <n v="53351.219999999994"/>
    <n v="24.199686582239998"/>
  </r>
  <r>
    <x v="75"/>
    <s v="0"/>
    <n v="50.7"/>
    <n v="50700"/>
    <n v="22.997114400000001"/>
  </r>
  <r>
    <x v="75"/>
    <s v="Oil Derivative Flakes"/>
    <n v="50.35"/>
    <n v="50350"/>
    <n v="22.838357200000001"/>
  </r>
  <r>
    <x v="75"/>
    <s v="Aloe Vera"/>
    <n v="20.002167979799996"/>
    <n v="20002.167979799997"/>
    <n v="9.0728233782934407"/>
  </r>
  <r>
    <x v="75"/>
    <s v="Tea Tree Oil"/>
    <n v="3.1760000000000002"/>
    <n v="3176"/>
    <n v="1.440608192"/>
  </r>
  <r>
    <x v="76"/>
    <s v="Squalane"/>
    <n v="67.354888853999995"/>
    <n v="67354.88885399999"/>
    <n v="30.551638745063563"/>
  </r>
  <r>
    <x v="77"/>
    <s v="Starches"/>
    <n v="477.55200000000002"/>
    <n v="477552"/>
    <n v="216.61376678400001"/>
  </r>
  <r>
    <x v="78"/>
    <s v="Sugars"/>
    <n v="682.5"/>
    <n v="682500"/>
    <n v="309.57654000000002"/>
  </r>
  <r>
    <x v="79"/>
    <s v="Oleic"/>
    <n v="5979.2380868000018"/>
    <n v="5979238.0868000016"/>
    <n v="2712.1345622677864"/>
  </r>
  <r>
    <x v="79"/>
    <s v="Conventional Sun Flower Oil"/>
    <n v="3069.5806107999997"/>
    <n v="3069580.6107999999"/>
    <n v="1392.3372084139935"/>
  </r>
  <r>
    <x v="79"/>
    <s v="Oleic Sunflower Oil"/>
    <n v="528.09500000000003"/>
    <n v="528095"/>
    <n v="239.53966724"/>
  </r>
  <r>
    <x v="79"/>
    <s v="Sunflower Lecithin"/>
    <n v="116.85040000000001"/>
    <n v="116850.40000000001"/>
    <n v="53.002406636800004"/>
  </r>
  <r>
    <x v="79"/>
    <s v="High Oleic"/>
    <n v="15.500800399999999"/>
    <n v="15500.8004"/>
    <n v="7.0310390550367998"/>
  </r>
  <r>
    <x v="79"/>
    <s v="Organic Sunflower"/>
    <n v="0.44092000000000003"/>
    <n v="440.92"/>
    <n v="0.19999778464000001"/>
  </r>
  <r>
    <x v="80"/>
    <s v="Antistatic Agent"/>
    <n v="7152.6250355999982"/>
    <n v="7152625.0355999982"/>
    <n v="3244.3734951478746"/>
  </r>
  <r>
    <x v="80"/>
    <s v="Surfactant"/>
    <n v="792.14118947471002"/>
    <n v="792141.18947471003"/>
    <n v="359.30890641621266"/>
  </r>
  <r>
    <x v="81"/>
    <s v="Synthetic Polymer"/>
    <n v="36.287999999999997"/>
    <n v="36288"/>
    <n v="16.459946496000001"/>
  </r>
  <r>
    <x v="81"/>
    <s v="Inhibitor"/>
    <n v="24.864249999999998"/>
    <n v="24864.25"/>
    <n v="11.278224886"/>
  </r>
  <r>
    <x v="82"/>
    <s v="Packer BFT"/>
    <n v="198714.764"/>
    <n v="198714764"/>
    <n v="90135.427232287999"/>
  </r>
  <r>
    <x v="82"/>
    <s v="Choice White Grease"/>
    <n v="112484.311"/>
    <n v="112484311"/>
    <n v="51021.983595112004"/>
  </r>
  <r>
    <x v="82"/>
    <s v="Render BFT"/>
    <n v="53792.114000000001"/>
    <n v="53792114"/>
    <n v="24399.672573488002"/>
  </r>
  <r>
    <x v="82"/>
    <s v="Yellow Grease"/>
    <n v="11900.22"/>
    <n v="11900220"/>
    <n v="5397.844590239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9">
  <r>
    <x v="0"/>
    <n v="4.82"/>
    <n v="4820"/>
    <n v="1.1108226815116311E-5"/>
  </r>
  <r>
    <x v="0"/>
    <n v="71.363240000000005"/>
    <n v="71363.240000000005"/>
    <n v="1.6446453447750643E-4"/>
  </r>
  <r>
    <x v="1"/>
    <n v="3.3928085669999994"/>
    <n v="3392.8085669999996"/>
    <n v="7.8191052079887434E-6"/>
  </r>
  <r>
    <x v="1"/>
    <n v="54.632271000000003"/>
    <n v="54632.271000000001"/>
    <n v="1.2590615304831974E-4"/>
  </r>
  <r>
    <x v="1"/>
    <n v="46.746649999999995"/>
    <n v="46746.649999999994"/>
    <n v="1.0773286121304084E-4"/>
  </r>
  <r>
    <x v="1"/>
    <n v="327.09775000000008"/>
    <n v="327097.75000000006"/>
    <n v="7.53833194546517E-4"/>
  </r>
  <r>
    <x v="1"/>
    <n v="5.4611999999999998"/>
    <n v="5461.2"/>
    <n v="1.258594362711892E-5"/>
  </r>
  <r>
    <x v="1"/>
    <n v="107.84698"/>
    <n v="107846.98"/>
    <n v="2.4854537659031381E-4"/>
  </r>
  <r>
    <x v="2"/>
    <n v="223.18432440000001"/>
    <n v="223184.32440000001"/>
    <n v="5.1435313216051826E-4"/>
  </r>
  <r>
    <x v="3"/>
    <n v="81.328352637999998"/>
    <n v="81328.352637999997"/>
    <n v="1.8743024639059482E-4"/>
  </r>
  <r>
    <x v="4"/>
    <n v="1456.48633"/>
    <n v="1456486.3299999998"/>
    <n v="3.356634959907955E-3"/>
  </r>
  <r>
    <x v="4"/>
    <n v="116.15724"/>
    <n v="116157.24"/>
    <n v="2.6769729629417036E-4"/>
  </r>
  <r>
    <x v="4"/>
    <n v="429.43035000000003"/>
    <n v="429430.35000000003"/>
    <n v="9.89670068276926E-4"/>
  </r>
  <r>
    <x v="4"/>
    <n v="313.10608000000002"/>
    <n v="313106.08"/>
    <n v="7.2158783274521847E-4"/>
  </r>
  <r>
    <x v="4"/>
    <n v="13945.691979999998"/>
    <n v="13945691.979999999"/>
    <n v="3.2139400333524581E-2"/>
  </r>
  <r>
    <x v="4"/>
    <n v="196.71033840000001"/>
    <n v="196710.33840000001"/>
    <n v="4.5334088295134522E-4"/>
  </r>
  <r>
    <x v="4"/>
    <n v="55.358499999999999"/>
    <n v="55358.5"/>
    <n v="1.2757982866070877E-4"/>
  </r>
  <r>
    <x v="5"/>
    <n v="1913.77656"/>
    <n v="1913776.56"/>
    <n v="4.4105112244674383E-3"/>
  </r>
  <r>
    <x v="6"/>
    <n v="0.3337"/>
    <n v="333.7"/>
    <n v="7.6904881498014789E-7"/>
  </r>
  <r>
    <x v="6"/>
    <n v="678.57142999999985"/>
    <n v="678571.42999999982"/>
    <n v="1.5638434345846097E-3"/>
  </r>
  <r>
    <x v="7"/>
    <n v="59.338244519999996"/>
    <n v="59338.244519999993"/>
    <n v="1.3675159314086979E-4"/>
  </r>
  <r>
    <x v="8"/>
    <n v="1385.4752128999999"/>
    <n v="1385475.2128999999"/>
    <n v="3.192981931870282E-3"/>
  </r>
  <r>
    <x v="9"/>
    <n v="202.28956554999999"/>
    <n v="202289.56555"/>
    <n v="4.6619883329060972E-4"/>
  </r>
  <r>
    <x v="10"/>
    <n v="148.33643291999996"/>
    <n v="148336.43291999996"/>
    <n v="3.4185783025324597E-4"/>
  </r>
  <r>
    <x v="11"/>
    <n v="645.00645799999995"/>
    <n v="645006.45799999998"/>
    <n v="1.4864892183980897E-3"/>
  </r>
  <r>
    <x v="12"/>
    <n v="950.41793117999987"/>
    <n v="950417.93117999984"/>
    <n v="2.1903439727595526E-3"/>
  </r>
  <r>
    <x v="13"/>
    <n v="22.741829999999997"/>
    <n v="22741.829999999998"/>
    <n v="5.2411080047887254E-5"/>
  </r>
  <r>
    <x v="14"/>
    <n v="4832.0653100000009"/>
    <n v="4832065.3100000005"/>
    <n v="1.1136032665754214E-2"/>
  </r>
  <r>
    <x v="15"/>
    <n v="0.52749999999999997"/>
    <n v="527.5"/>
    <n v="1.2156824989572312E-6"/>
  </r>
  <r>
    <x v="15"/>
    <n v="1098.7241699999993"/>
    <n v="1098724.1699999992"/>
    <n v="2.5321322173465569E-3"/>
  </r>
  <r>
    <x v="16"/>
    <n v="53.237130000000008"/>
    <n v="53237.130000000005"/>
    <n v="1.2269089523357532E-4"/>
  </r>
  <r>
    <x v="17"/>
    <n v="382.69349999999997"/>
    <n v="382693.5"/>
    <n v="8.8195979225533488E-4"/>
  </r>
  <r>
    <x v="18"/>
    <n v="23.052"/>
    <n v="23052"/>
    <n v="5.3125901357274108E-5"/>
  </r>
  <r>
    <x v="19"/>
    <n v="2.3290000000000002"/>
    <n v="2329"/>
    <n v="5.3674398863912628E-6"/>
  </r>
  <r>
    <x v="19"/>
    <n v="8743.5048602000006"/>
    <n v="8743504.8602000009"/>
    <n v="2.0150380735720633E-2"/>
  </r>
  <r>
    <x v="19"/>
    <n v="594.73546999999996"/>
    <n v="594735.47"/>
    <n v="1.370634127749959E-3"/>
  </r>
  <r>
    <x v="20"/>
    <n v="34.397709999999996"/>
    <n v="34397.71"/>
    <n v="7.9273353651575619E-5"/>
  </r>
  <r>
    <x v="21"/>
    <n v="18.294738212000002"/>
    <n v="18294.738212000004"/>
    <n v="4.2162261739018982E-5"/>
  </r>
  <r>
    <x v="22"/>
    <n v="1538.4902431719997"/>
    <n v="1538490.2431719997"/>
    <n v="3.5456221107879713E-3"/>
  </r>
  <r>
    <x v="22"/>
    <n v="386.23233340000002"/>
    <n v="386232.3334"/>
    <n v="8.9011542795411271E-4"/>
  </r>
  <r>
    <x v="23"/>
    <n v="0.55500000000000005"/>
    <n v="555"/>
    <n v="1.2790593116990773E-6"/>
  </r>
  <r>
    <x v="23"/>
    <n v="54.992339999999999"/>
    <n v="54992.34"/>
    <n v="1.2673597216057952E-4"/>
  </r>
  <r>
    <x v="23"/>
    <n v="1607.0464014669999"/>
    <n v="1607046.4014669999"/>
    <n v="3.7036174128447928E-3"/>
  </r>
  <r>
    <x v="24"/>
    <n v="469.95853690000007"/>
    <n v="469958.53690000006"/>
    <n v="1.0830717887106659E-3"/>
  </r>
  <r>
    <x v="24"/>
    <n v="17257.743091107997"/>
    <n v="17257743.091107998"/>
    <n v="3.9772390990256042E-2"/>
  </r>
  <r>
    <x v="25"/>
    <n v="70.831130000000002"/>
    <n v="70831.13"/>
    <n v="1.6323822772012228E-4"/>
  </r>
  <r>
    <x v="26"/>
    <n v="340.52222031799994"/>
    <n v="340522.22031799995"/>
    <n v="7.8477138151023884E-4"/>
  </r>
  <r>
    <x v="27"/>
    <n v="52.496052000000006"/>
    <n v="52496.052000000003"/>
    <n v="1.2098299844691708E-4"/>
  </r>
  <r>
    <x v="28"/>
    <n v="251.21643"/>
    <n v="251216.43"/>
    <n v="5.7895624151945845E-4"/>
  </r>
  <r>
    <x v="29"/>
    <n v="965.53145999999981"/>
    <n v="965531.45999999985"/>
    <n v="2.2251747831556847E-3"/>
  </r>
  <r>
    <x v="29"/>
    <n v="3821.9861194300001"/>
    <n v="3821986.11943"/>
    <n v="8.8081926761109253E-3"/>
  </r>
  <r>
    <x v="29"/>
    <n v="603.40510139399998"/>
    <n v="603405.101394"/>
    <n v="1.3906142588553543E-3"/>
  </r>
  <r>
    <x v="30"/>
    <n v="5.2455400000000001"/>
    <n v="5245.54"/>
    <n v="1.2088931138540501E-5"/>
  </r>
  <r>
    <x v="30"/>
    <n v="0.252"/>
    <n v="252"/>
    <n v="5.8076206585255406E-7"/>
  </r>
  <r>
    <x v="30"/>
    <n v="417.86141000000009"/>
    <n v="417861.41000000009"/>
    <n v="9.6300815758595688E-4"/>
  </r>
  <r>
    <x v="31"/>
    <n v="49.383822875"/>
    <n v="49383.822874999998"/>
    <n v="1.138105198118318E-4"/>
  </r>
  <r>
    <x v="32"/>
    <n v="1714.87664"/>
    <n v="1714876.64"/>
    <n v="3.9521242068598673E-3"/>
  </r>
  <r>
    <x v="32"/>
    <n v="858.28335000000004"/>
    <n v="858283.35000000009"/>
    <n v="1.9780095691779792E-3"/>
  </r>
  <r>
    <x v="32"/>
    <n v="4155.688900000001"/>
    <n v="4155688.9000000008"/>
    <n v="9.5772478992243188E-3"/>
  </r>
  <r>
    <x v="33"/>
    <n v="841.57655413999998"/>
    <n v="841576.55414000002"/>
    <n v="1.9395068974421437E-3"/>
  </r>
  <r>
    <x v="34"/>
    <n v="529.755"/>
    <n v="529755"/>
    <n v="1.2208793976020626E-3"/>
  </r>
  <r>
    <x v="35"/>
    <n v="55.1"/>
    <n v="55100"/>
    <n v="1.2698408662093543E-4"/>
  </r>
  <r>
    <x v="35"/>
    <n v="2148.2859600000002"/>
    <n v="2148285.96"/>
    <n v="4.9509642546493541E-3"/>
  </r>
  <r>
    <x v="35"/>
    <n v="774.95013919999985"/>
    <n v="774950.13919999986"/>
    <n v="1.7859589038671279E-3"/>
  </r>
  <r>
    <x v="35"/>
    <n v="1787.96415"/>
    <n v="1787964.15"/>
    <n v="4.120562513588515E-3"/>
  </r>
  <r>
    <x v="35"/>
    <n v="6.9152940000000003"/>
    <n v="6915.2939999999999"/>
    <n v="1.5937065196102267E-5"/>
  </r>
  <r>
    <x v="35"/>
    <n v="231.45879413500003"/>
    <n v="231458.79413500003"/>
    <n v="5.3342256921263349E-4"/>
  </r>
  <r>
    <x v="35"/>
    <n v="19.127479999999998"/>
    <n v="19127.48"/>
    <n v="4.4081407933942106E-5"/>
  </r>
  <r>
    <x v="35"/>
    <n v="94.599000000000004"/>
    <n v="94599"/>
    <n v="2.1801393122057841E-4"/>
  </r>
  <r>
    <x v="35"/>
    <n v="8239.5215828920009"/>
    <n v="8239521.5828920007"/>
    <n v="1.8988895143321683E-2"/>
  </r>
  <r>
    <x v="35"/>
    <n v="3097.4405400000005"/>
    <n v="3097440.5400000005"/>
    <n v="7.1383966939121066E-3"/>
  </r>
  <r>
    <x v="35"/>
    <n v="512.43335000000002"/>
    <n v="512433.35000000003"/>
    <n v="1.1809597260227971E-3"/>
  </r>
  <r>
    <x v="35"/>
    <n v="683.34028000000001"/>
    <n v="683340.28"/>
    <n v="1.5748337805280266E-3"/>
  </r>
  <r>
    <x v="36"/>
    <n v="72.864990000000006"/>
    <n v="72864.990000000005"/>
    <n v="1.6792548460605434E-4"/>
  </r>
  <r>
    <x v="36"/>
    <n v="173.20248000000004"/>
    <n v="173202.48000000004"/>
    <n v="3.9916440514121309E-4"/>
  </r>
  <r>
    <x v="36"/>
    <n v="2021.6912999999997"/>
    <n v="2021691.2999999998"/>
    <n v="4.6592127615243473E-3"/>
  </r>
  <r>
    <x v="36"/>
    <n v="609.53452000000004"/>
    <n v="609534.52"/>
    <n v="1.4047401866811306E-3"/>
  </r>
  <r>
    <x v="36"/>
    <n v="452.44977"/>
    <n v="452449.77"/>
    <n v="1.0427208853956863E-3"/>
  </r>
  <r>
    <x v="36"/>
    <n v="209.96911000000003"/>
    <n v="209969.11000000002"/>
    <n v="4.8389719876516736E-4"/>
  </r>
  <r>
    <x v="36"/>
    <n v="488.25489256000003"/>
    <n v="488254.89256000001"/>
    <n v="1.1252377780387398E-3"/>
  </r>
  <r>
    <x v="36"/>
    <n v="435.31172999999995"/>
    <n v="435311.73"/>
    <n v="1.0032243635105127E-3"/>
  </r>
  <r>
    <x v="36"/>
    <n v="300.62216999999998"/>
    <n v="300622.17"/>
    <n v="6.9281727178681623E-4"/>
  </r>
  <r>
    <x v="36"/>
    <n v="334.08919000000003"/>
    <n v="334089.19"/>
    <n v="7.6994574668018422E-4"/>
  </r>
  <r>
    <x v="36"/>
    <n v="668.66142558400009"/>
    <n v="668661.42558400007"/>
    <n v="1.5410047257066576E-3"/>
  </r>
  <r>
    <x v="36"/>
    <n v="48.774436399999999"/>
    <n v="48774.436399999999"/>
    <n v="1.124061208113413E-4"/>
  </r>
  <r>
    <x v="37"/>
    <n v="61.584240000000001"/>
    <n v="61584.24"/>
    <n v="1.4192773986650592E-4"/>
  </r>
  <r>
    <x v="37"/>
    <n v="223.35321999999999"/>
    <n v="223353.22"/>
    <n v="5.1474237088103172E-4"/>
  </r>
  <r>
    <x v="38"/>
    <n v="533.97533215999999"/>
    <n v="533975.33215999999"/>
    <n v="1.2306056230934339E-3"/>
  </r>
  <r>
    <x v="39"/>
    <n v="848.02686055500021"/>
    <n v="848026.86055500025"/>
    <n v="1.9543723469618163E-3"/>
  </r>
  <r>
    <x v="39"/>
    <n v="30613.215097336008"/>
    <n v="30613215.097336009"/>
    <n v="7.0551563659989908E-2"/>
  </r>
  <r>
    <x v="39"/>
    <n v="945.12691029199982"/>
    <n v="945126.91029199981"/>
    <n v="2.1781502258492987E-3"/>
  </r>
  <r>
    <x v="40"/>
    <n v="157.81858700000001"/>
    <n v="157818.587"/>
    <n v="3.6371051038115487E-4"/>
  </r>
  <r>
    <x v="40"/>
    <n v="2.7557800000000001"/>
    <n v="2755.78"/>
    <n v="6.3510019279172678E-6"/>
  </r>
  <r>
    <x v="40"/>
    <n v="467.28459883999977"/>
    <n v="467284.59883999976"/>
    <n v="1.0769094006484136E-3"/>
  </r>
  <r>
    <x v="40"/>
    <n v="8899.1697509999995"/>
    <n v="8899169.7510000002"/>
    <n v="2.0509127813346503E-2"/>
  </r>
  <r>
    <x v="41"/>
    <n v="10.347220000000002"/>
    <n v="10347.220000000001"/>
    <n v="2.3846320885043114E-5"/>
  </r>
  <r>
    <x v="41"/>
    <n v="497.79773999999998"/>
    <n v="497797.74"/>
    <n v="1.1472303327743356E-3"/>
  </r>
  <r>
    <x v="41"/>
    <n v="26.813099999999999"/>
    <n v="26813.1"/>
    <n v="6.1793775190123473E-5"/>
  </r>
  <r>
    <x v="41"/>
    <n v="28.483410000000003"/>
    <n v="28483.410000000003"/>
    <n v="6.564319061160832E-5"/>
  </r>
  <r>
    <x v="41"/>
    <n v="1025.17562"/>
    <n v="1025175.62"/>
    <n v="2.3626313925907655E-3"/>
  </r>
  <r>
    <x v="41"/>
    <n v="27.315413799999998"/>
    <n v="27315.413799999998"/>
    <n v="6.2951413286132396E-5"/>
  </r>
  <r>
    <x v="41"/>
    <n v="30.48874"/>
    <n v="30488.74"/>
    <n v="7.0264696935084923E-5"/>
  </r>
  <r>
    <x v="41"/>
    <n v="119.72161"/>
    <n v="119721.61"/>
    <n v="2.759117839317214E-4"/>
  </r>
  <r>
    <x v="41"/>
    <n v="16.079999999999998"/>
    <n v="16079.999999999998"/>
    <n v="3.7058150868686776E-5"/>
  </r>
  <r>
    <x v="42"/>
    <n v="1902.9717098000003"/>
    <n v="1902971.7098000003"/>
    <n v="4.385610243819108E-3"/>
  </r>
  <r>
    <x v="43"/>
    <n v="147.52527480000001"/>
    <n v="147525.27480000001"/>
    <n v="3.3998842602505453E-4"/>
  </r>
  <r>
    <x v="44"/>
    <n v="2.07375"/>
    <n v="2073.75"/>
    <n v="4.7791878335783093E-6"/>
  </r>
  <r>
    <x v="44"/>
    <n v="16.224"/>
    <n v="16224"/>
    <n v="3.7390014906316815E-5"/>
  </r>
  <r>
    <x v="45"/>
    <n v="352.08"/>
    <n v="352080"/>
    <n v="8.1140757200542544E-4"/>
  </r>
  <r>
    <x v="45"/>
    <n v="229.797"/>
    <n v="229797"/>
    <n v="5.2959277955047361E-4"/>
  </r>
  <r>
    <x v="45"/>
    <n v="170.99508999999998"/>
    <n v="170995.08999999997"/>
    <n v="3.9407722904382297E-4"/>
  </r>
  <r>
    <x v="45"/>
    <n v="583.20000000000005"/>
    <n v="583200"/>
    <n v="1.344049352401625E-3"/>
  </r>
  <r>
    <x v="45"/>
    <n v="182.07599999999999"/>
    <n v="182076"/>
    <n v="4.1961442024670485E-4"/>
  </r>
  <r>
    <x v="46"/>
    <n v="29.464080000000003"/>
    <n v="29464.080000000002"/>
    <n v="6.7903253846210006E-5"/>
  </r>
  <r>
    <x v="47"/>
    <n v="3024.3410463660002"/>
    <n v="3024341.0463660001"/>
    <n v="6.9699307695642587E-3"/>
  </r>
  <r>
    <x v="47"/>
    <n v="2232.0131687229996"/>
    <n v="2232013.1687229997"/>
    <n v="5.1439229320542641E-3"/>
  </r>
  <r>
    <x v="48"/>
    <n v="2.0055526000000001"/>
    <n v="2005.5526000000002"/>
    <n v="4.6220193299680995E-6"/>
  </r>
  <r>
    <x v="49"/>
    <n v="3955.7690400000006"/>
    <n v="3955769.0400000005"/>
    <n v="9.1165103162935499E-3"/>
  </r>
  <r>
    <x v="50"/>
    <n v="27.892451324000003"/>
    <n v="27892.451324000001"/>
    <n v="6.4281260526262093E-5"/>
  </r>
  <r>
    <x v="50"/>
    <n v="1047.1831478920001"/>
    <n v="1047183.147892"/>
    <n v="2.4133501916497563E-3"/>
  </r>
  <r>
    <x v="51"/>
    <n v="1449.7214534799996"/>
    <n v="1449721.4534799997"/>
    <n v="3.3410445485468729E-3"/>
  </r>
  <r>
    <x v="51"/>
    <n v="3111.5349727920006"/>
    <n v="3111534.9727920005"/>
    <n v="7.1708788840125111E-3"/>
  </r>
  <r>
    <x v="52"/>
    <n v="79.233560000000026"/>
    <n v="79233.560000000027"/>
    <n v="1.8260256345417581E-4"/>
  </r>
  <r>
    <x v="52"/>
    <n v="3.9261300000000001"/>
    <n v="3926.13"/>
    <n v="9.0482038476416191E-6"/>
  </r>
  <r>
    <x v="52"/>
    <n v="190.00145999999995"/>
    <n v="190001.45999999996"/>
    <n v="4.3787952549444994E-4"/>
  </r>
  <r>
    <x v="52"/>
    <n v="154.16556"/>
    <n v="154165.56"/>
    <n v="3.5529170281315819E-4"/>
  </r>
  <r>
    <x v="52"/>
    <n v="7.777070000000001"/>
    <n v="7777.0700000000006"/>
    <n v="1.7923123966190169E-5"/>
  </r>
  <r>
    <x v="52"/>
    <n v="0.41339999999999999"/>
    <n v="413.4"/>
    <n v="9.5272634136288029E-7"/>
  </r>
  <r>
    <x v="52"/>
    <n v="100.42994"/>
    <n v="100429.94"/>
    <n v="2.314519818565399E-4"/>
  </r>
  <r>
    <x v="52"/>
    <n v="15.4816"/>
    <n v="15481.6"/>
    <n v="3.5679071423424211E-5"/>
  </r>
  <r>
    <x v="52"/>
    <n v="62.705460000000016"/>
    <n v="62705.460000000014"/>
    <n v="1.4451171622950279E-4"/>
  </r>
  <r>
    <x v="52"/>
    <n v="36.55068"/>
    <n v="36550.68"/>
    <n v="8.4235112798077894E-5"/>
  </r>
  <r>
    <x v="52"/>
    <n v="3.3847600000000004"/>
    <n v="3384.76"/>
    <n v="7.8005563889487736E-6"/>
  </r>
  <r>
    <x v="53"/>
    <n v="1.0785"/>
    <n v="1078.5"/>
    <n v="2.4855233651665852E-6"/>
  </r>
  <r>
    <x v="54"/>
    <n v="107.62545"/>
    <n v="107625.45"/>
    <n v="2.4803483603297923E-4"/>
  </r>
  <r>
    <x v="55"/>
    <n v="1175.7776732729999"/>
    <n v="1175777.6732729999"/>
    <n v="2.7097105972751457E-3"/>
  </r>
  <r>
    <x v="55"/>
    <n v="1517.51794374"/>
    <n v="1517517.94374"/>
    <n v="3.4972891110109615E-3"/>
  </r>
  <r>
    <x v="55"/>
    <n v="1125.1437257200002"/>
    <n v="1125143.7257200002"/>
    <n v="2.5930190259134396E-3"/>
  </r>
  <r>
    <x v="56"/>
    <n v="208.81855999999999"/>
    <n v="208818.56"/>
    <n v="4.8124562815061707E-4"/>
  </r>
  <r>
    <x v="56"/>
    <n v="36.54"/>
    <n v="36540"/>
    <n v="8.4210499548620333E-5"/>
  </r>
  <r>
    <x v="56"/>
    <n v="8.6199999999999992"/>
    <n v="8620"/>
    <n v="1.9865750030353238E-5"/>
  </r>
  <r>
    <x v="56"/>
    <n v="343.20699999999999"/>
    <n v="343207"/>
    <n v="7.9095875529784729E-4"/>
  </r>
  <r>
    <x v="56"/>
    <n v="90.088200000000001"/>
    <n v="90088.2"/>
    <n v="2.0761829024181768E-4"/>
  </r>
  <r>
    <x v="56"/>
    <n v="1364.40031"/>
    <n v="1364400.31"/>
    <n v="3.144412470974068E-3"/>
  </r>
  <r>
    <x v="56"/>
    <n v="0"/>
    <n v="0"/>
    <n v="0"/>
  </r>
  <r>
    <x v="56"/>
    <n v="10725.565519655003"/>
    <n v="10725565.519655004"/>
    <n v="2.4718260272348264E-2"/>
  </r>
  <r>
    <x v="56"/>
    <n v="1234.4000000000001"/>
    <n v="1234400"/>
    <n v="2.8448122781285423E-3"/>
  </r>
  <r>
    <x v="56"/>
    <n v="132.58199511999999"/>
    <n v="132581.99511999998"/>
    <n v="3.0554997373311282E-4"/>
  </r>
  <r>
    <x v="56"/>
    <n v="67.483250800000008"/>
    <n v="67483.250800000009"/>
    <n v="1.5552266724227787E-4"/>
  </r>
  <r>
    <x v="56"/>
    <n v="204.47484860799997"/>
    <n v="204474.84860799997"/>
    <n v="4.7123506147805672E-4"/>
  </r>
  <r>
    <x v="57"/>
    <n v="957.16238929399981"/>
    <n v="957162.38929399976"/>
    <n v="2.2058873276299597E-3"/>
  </r>
  <r>
    <x v="58"/>
    <n v="1156.6559186399998"/>
    <n v="1156655.9186399998"/>
    <n v="2.665642384087103E-3"/>
  </r>
  <r>
    <x v="58"/>
    <n v="340.69816000000003"/>
    <n v="340698.16000000003"/>
    <n v="7.851768541022381E-4"/>
  </r>
  <r>
    <x v="59"/>
    <n v="372.10538395899994"/>
    <n v="372105.38395899994"/>
    <n v="8.5755829961462946E-4"/>
  </r>
  <r>
    <x v="59"/>
    <n v="276.71432809499993"/>
    <n v="276714.32809499995"/>
    <n v="6.3771898744227618E-4"/>
  </r>
  <r>
    <x v="60"/>
    <n v="3471.4065099999998"/>
    <n v="3471406.51"/>
    <n v="8.0002429212762093E-3"/>
  </r>
  <r>
    <x v="60"/>
    <n v="278.18675000000002"/>
    <n v="278186.75"/>
    <n v="6.4111234770955548E-4"/>
  </r>
  <r>
    <x v="60"/>
    <n v="2.8559999999999999"/>
    <n v="2856"/>
    <n v="6.5819700796622792E-6"/>
  </r>
  <r>
    <x v="60"/>
    <n v="2292.6132500000003"/>
    <n v="2292613.2500000005"/>
    <n v="5.2835825685354689E-3"/>
  </r>
  <r>
    <x v="61"/>
    <n v="3.6120000000000001"/>
    <n v="3612"/>
    <n v="8.3242562772199403E-6"/>
  </r>
  <r>
    <x v="61"/>
    <n v="3.4245000000000001"/>
    <n v="3424.5"/>
    <n v="7.8921416448891721E-6"/>
  </r>
  <r>
    <x v="62"/>
    <n v="7929.0151135600017"/>
    <n v="7929015.1135600014"/>
    <n v="1.8273298402885833E-2"/>
  </r>
  <r>
    <x v="63"/>
    <n v="106.32599999999999"/>
    <n v="106326"/>
    <n v="2.4504010878507407E-4"/>
  </r>
  <r>
    <x v="63"/>
    <n v="50.190492299999995"/>
    <n v="50190.492299999998"/>
    <n v="1.1566957934247899E-4"/>
  </r>
  <r>
    <x v="63"/>
    <n v="291.36840000000001"/>
    <n v="291368.40000000002"/>
    <n v="6.7149092820695765E-4"/>
  </r>
  <r>
    <x v="63"/>
    <n v="562.52478000000008"/>
    <n v="562524.78"/>
    <n v="1.2964010052621171E-3"/>
  </r>
  <r>
    <x v="64"/>
    <n v="587.7885"/>
    <n v="587788.5"/>
    <n v="1.3546240616840236E-3"/>
  </r>
  <r>
    <x v="65"/>
    <n v="4.2143999999999995"/>
    <n v="4214.3999999999996"/>
    <n v="9.7125541679722357E-6"/>
  </r>
  <r>
    <x v="65"/>
    <n v="49.857557500000006"/>
    <n v="49857.557500000003"/>
    <n v="1.1490229401612104E-4"/>
  </r>
  <r>
    <x v="65"/>
    <n v="4.8203900000000006"/>
    <n v="4820.3900000000003"/>
    <n v="1.110912561355156E-5"/>
  </r>
  <r>
    <x v="66"/>
    <n v="190.8913"/>
    <n v="190891.3"/>
    <n v="4.3993026087809381E-4"/>
  </r>
  <r>
    <x v="66"/>
    <n v="355.37781000000001"/>
    <n v="355377.81"/>
    <n v="8.1900774243554139E-4"/>
  </r>
  <r>
    <x v="67"/>
    <n v="9488.8180900000007"/>
    <n v="9488818.0899999999"/>
    <n v="2.1868038081140816E-2"/>
  </r>
  <r>
    <x v="68"/>
    <n v="2.6040000000000001"/>
    <n v="2604"/>
    <n v="6.0012080138097249E-6"/>
  </r>
  <r>
    <x v="69"/>
    <n v="145.4"/>
    <n v="145400"/>
    <n v="3.3509049355143395E-4"/>
  </r>
  <r>
    <x v="69"/>
    <n v="196.03759759999997"/>
    <n v="196037.59759999998"/>
    <n v="4.5179047685296698E-4"/>
  </r>
  <r>
    <x v="69"/>
    <n v="0.3"/>
    <n v="300"/>
    <n v="6.9138341172923102E-7"/>
  </r>
  <r>
    <x v="70"/>
    <n v="1600.5550000000001"/>
    <n v="1600555"/>
    <n v="3.6886572552009308E-3"/>
  </r>
  <r>
    <x v="71"/>
    <n v="310.20063448999997"/>
    <n v="310200.63448999997"/>
    <n v="7.1489190998089451E-4"/>
  </r>
  <r>
    <x v="71"/>
    <n v="47.102800000000002"/>
    <n v="47102.8"/>
    <n v="1.0855364855333208E-4"/>
  </r>
  <r>
    <x v="71"/>
    <n v="13.510396800000001"/>
    <n v="13510.3968"/>
    <n v="3.1136214111332283E-5"/>
  </r>
  <r>
    <x v="72"/>
    <n v="1143.261669"/>
    <n v="1143261.669"/>
    <n v="2.6347738440415827E-3"/>
  </r>
  <r>
    <x v="72"/>
    <n v="159.898"/>
    <n v="159898"/>
    <n v="3.6850274922893523E-4"/>
  </r>
  <r>
    <x v="73"/>
    <n v="1535.1672099999998"/>
    <n v="1535167.2099999997"/>
    <n v="3.5379638107488156E-3"/>
  </r>
  <r>
    <x v="73"/>
    <n v="275.02213"/>
    <n v="275022.13"/>
    <n v="6.3381912846813368E-4"/>
  </r>
  <r>
    <x v="73"/>
    <n v="7.6914999999999996"/>
    <n v="7691.5"/>
    <n v="1.7725918371051268E-5"/>
  </r>
  <r>
    <x v="73"/>
    <n v="237.88437999999999"/>
    <n v="237884.38"/>
    <n v="5.4823104747164287E-4"/>
  </r>
  <r>
    <x v="73"/>
    <n v="4.383799999999999"/>
    <n v="4383.7999999999993"/>
    <n v="1.0102955334462008E-5"/>
  </r>
  <r>
    <x v="74"/>
    <n v="4652.6424697999992"/>
    <n v="4652642.4697999991"/>
    <n v="1.0722532747755463E-2"/>
  </r>
  <r>
    <x v="74"/>
    <n v="1921.3610000000001"/>
    <n v="1921361"/>
    <n v="4.4279904111449563E-3"/>
  </r>
  <r>
    <x v="74"/>
    <n v="5225.5941800000001"/>
    <n v="5225594.18"/>
    <n v="1.2042963774936043E-2"/>
  </r>
  <r>
    <x v="74"/>
    <n v="1007.915056826"/>
    <n v="1007915.056826"/>
    <n v="2.3228525024054053E-3"/>
  </r>
  <r>
    <x v="74"/>
    <n v="6490.6097103999991"/>
    <n v="6490609.7103999993"/>
    <n v="1.4958332952597424E-2"/>
  </r>
  <r>
    <x v="75"/>
    <n v="58.223880000000001"/>
    <n v="58223.880000000005"/>
    <n v="1.3418341599504447E-4"/>
  </r>
  <r>
    <x v="75"/>
    <n v="23.847222228"/>
    <n v="23847.222227999999"/>
    <n v="5.4958579547532643E-5"/>
  </r>
  <r>
    <x v="75"/>
    <n v="307.12306000000001"/>
    <n v="307123.06"/>
    <n v="7.0779929681173768E-4"/>
  </r>
  <r>
    <x v="75"/>
    <n v="59.773949999999999"/>
    <n v="59773.95"/>
    <n v="1.3775572494510821E-4"/>
  </r>
  <r>
    <x v="75"/>
    <n v="203.572"/>
    <n v="203572"/>
    <n v="4.6915434630847669E-4"/>
  </r>
  <r>
    <x v="75"/>
    <n v="1470.5421000000006"/>
    <n v="1470542.1000000006"/>
    <n v="3.3890280472982279E-3"/>
  </r>
  <r>
    <x v="75"/>
    <n v="190.30106000000001"/>
    <n v="190301.06"/>
    <n v="4.3856998706163027E-4"/>
  </r>
  <r>
    <x v="75"/>
    <n v="51.403559999999999"/>
    <n v="51403.56"/>
    <n v="1.1846522895942742E-4"/>
  </r>
  <r>
    <x v="76"/>
    <n v="774.87443529000006"/>
    <n v="774874.43529000005"/>
    <n v="1.7857844357752049E-3"/>
  </r>
  <r>
    <x v="77"/>
    <n v="188.17205999999996"/>
    <n v="188172.05999999997"/>
    <n v="4.3366346944972512E-4"/>
  </r>
  <r>
    <x v="78"/>
    <n v="477.375"/>
    <n v="477375"/>
    <n v="1.1001638539141388E-3"/>
  </r>
  <r>
    <x v="79"/>
    <n v="1695.0685450609999"/>
    <n v="1695068.5450609999"/>
    <n v="3.9064742459972591E-3"/>
  </r>
  <r>
    <x v="79"/>
    <n v="80.352899999999991"/>
    <n v="80352.899999999994"/>
    <n v="1.851822071477924E-4"/>
  </r>
  <r>
    <x v="79"/>
    <n v="3695.5160896200005"/>
    <n v="3695516.0896200007"/>
    <n v="8.5167284071391413E-3"/>
  </r>
  <r>
    <x v="79"/>
    <n v="549.47729000000004"/>
    <n v="549477.29"/>
    <n v="1.2663316114264402E-3"/>
  </r>
  <r>
    <x v="79"/>
    <n v="6.266"/>
    <n v="6266"/>
    <n v="1.4440694859651205E-5"/>
  </r>
  <r>
    <x v="79"/>
    <n v="363.25653999999997"/>
    <n v="363256.54"/>
    <n v="8.3716515319385285E-4"/>
  </r>
  <r>
    <x v="80"/>
    <n v="5490.8609888499986"/>
    <n v="5490860.9888499985"/>
    <n v="1.2654300679340169E-2"/>
  </r>
  <r>
    <x v="80"/>
    <n v="1605.0830555679997"/>
    <n v="1605083.0555679998"/>
    <n v="3.6990926635579418E-3"/>
  </r>
  <r>
    <x v="81"/>
    <n v="166.09499999999997"/>
    <n v="166094.99999999997"/>
    <n v="3.8278442590388865E-4"/>
  </r>
  <r>
    <x v="81"/>
    <n v="16.968839999999997"/>
    <n v="16968.839999999997"/>
    <n v="3.9106581640958136E-5"/>
  </r>
  <r>
    <x v="82"/>
    <n v="47016.065109500043"/>
    <n v="47016065.109500043"/>
    <n v="0.10835375833829933"/>
  </r>
  <r>
    <x v="82"/>
    <n v="88545.131729100016"/>
    <n v="88545131.729100019"/>
    <n v="0.20406211755626452"/>
  </r>
  <r>
    <x v="82"/>
    <n v="25225.874367899993"/>
    <n v="25225874.367899992"/>
    <n v="5.8135836947772183E-2"/>
  </r>
  <r>
    <x v="82"/>
    <n v="4692.0168000000012"/>
    <n v="4692016.8000000017"/>
    <n v="1.0813275276916234E-2"/>
  </r>
  <r>
    <x v="83"/>
    <n v="433912.63792352902"/>
    <n v="433912637.92352903"/>
    <n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s v="Dateland removal of every other row in several fields to reduce water use"/>
    <s v="Dateland"/>
    <s v="Implemented"/>
    <x v="0"/>
    <s v="Water"/>
    <s v="NA"/>
    <m/>
    <m/>
  </r>
  <r>
    <s v="Distillation Barametric water savings"/>
    <s v="Chicago"/>
    <s v="Implemented"/>
    <x v="1"/>
    <s v="Water"/>
    <n v="0"/>
    <m/>
    <m/>
  </r>
  <r>
    <s v="(ComEd SEM) Cooling tower fan VFD (50 hp)"/>
    <s v="Chicago"/>
    <s v="Implemented"/>
    <x v="1"/>
    <s v="GHG"/>
    <n v="90.718400000000003"/>
    <m/>
    <m/>
  </r>
  <r>
    <s v="(GOS 2023) Replace Steam Trap on Stearic Acid Drop Tank A in Dry Frac"/>
    <s v="Chicago"/>
    <s v="Implemented"/>
    <x v="1"/>
    <s v="GHG"/>
    <n v="10"/>
    <m/>
    <m/>
  </r>
  <r>
    <s v="Steam trap replacements"/>
    <s v="Gurnee"/>
    <s v="Implemented"/>
    <x v="2"/>
    <s v="GHG"/>
    <n v="545"/>
    <m/>
    <m/>
  </r>
  <r>
    <s v="(ComEd SEM) Decommissioning of 6 mixer motors no longer in use (Dry frac mixer motors)"/>
    <s v="Chicago"/>
    <s v="Implemented"/>
    <x v="2"/>
    <s v="GHG"/>
    <n v="75.749864000000002"/>
    <m/>
    <m/>
  </r>
  <r>
    <s v="Steam line insulation"/>
    <s v="Chicago"/>
    <s v="Implemented"/>
    <x v="2"/>
    <s v="GHG"/>
    <n v="250"/>
    <m/>
    <m/>
  </r>
  <r>
    <s v="(GOS 2023) Fully Shut Boiler Makeup Water Valve to Tank T99"/>
    <s v="Gurnee"/>
    <s v="Implemented"/>
    <x v="2"/>
    <s v="GHG"/>
    <n v="332.2"/>
    <m/>
    <m/>
  </r>
  <r>
    <s v="Tank Farm Agitator Programming"/>
    <s v="Chicago"/>
    <s v="Implemented"/>
    <x v="2"/>
    <s v="GHG"/>
    <n v="328.32"/>
    <m/>
    <m/>
  </r>
  <r>
    <s v="Steam trap replacements and reduced boiler blowdown"/>
    <s v="Chicago"/>
    <s v="Implementation commenced"/>
    <x v="3"/>
    <s v="GHG"/>
    <n v="1000"/>
    <n v="1000"/>
    <n v="0"/>
  </r>
  <r>
    <s v="Pipeline insulation project"/>
    <s v="Gurnee"/>
    <s v="Under Investigation"/>
    <x v="3"/>
    <s v="GHG"/>
    <m/>
    <m/>
    <m/>
  </r>
  <r>
    <s v="Heat Savings at Metaupon by insulating R341-R346 stirring tanks (6 total)"/>
    <s v="Leuna"/>
    <s v="Implemented"/>
    <x v="3"/>
    <s v="GHG"/>
    <n v="477"/>
    <n v="0"/>
    <n v="477"/>
  </r>
  <r>
    <s v="(Custom Project) Tolan Evaporator steam efficiency improvements"/>
    <s v="Gurnee"/>
    <s v="To be implemented"/>
    <x v="3"/>
    <s v="GHG"/>
    <m/>
    <m/>
    <m/>
  </r>
  <r>
    <s v="(GOS 2023) Recover splitter flash to preheat makeup water"/>
    <s v="Chicago"/>
    <s v="Under Investigation"/>
    <x v="3"/>
    <s v="GHG, Water"/>
    <n v="900"/>
    <n v="900"/>
    <m/>
  </r>
  <r>
    <s v="Condensate Tie in for Spray Congealing Tower"/>
    <s v="Englewood"/>
    <s v="To be implemented"/>
    <x v="3"/>
    <s v="GHG, Water"/>
    <n v="4.8815200000000001"/>
    <n v="4.8815200000000001"/>
    <m/>
  </r>
  <r>
    <s v="(GOS 2023) Automate skimming blowdown control"/>
    <s v="Chicago"/>
    <s v="Under Investigation"/>
    <x v="3"/>
    <s v="GHG, Water"/>
    <n v="24"/>
    <n v="0"/>
    <n v="24"/>
  </r>
  <r>
    <s v="Optimizing Cooling Towers"/>
    <s v="Chicago"/>
    <s v="Implementation commenced"/>
    <x v="3"/>
    <s v="Water"/>
    <n v="0"/>
    <m/>
    <m/>
  </r>
  <r>
    <s v="Air Compressor Replacement to replace current"/>
    <s v="Gurnee"/>
    <s v="Under Investigation"/>
    <x v="3"/>
    <s v="GHG"/>
    <m/>
    <m/>
    <m/>
  </r>
  <r>
    <s v="Compressed Air Leak Fixes"/>
    <s v="Gurnee"/>
    <s v="To be implemented"/>
    <x v="3"/>
    <s v="GHG"/>
    <m/>
    <m/>
    <m/>
  </r>
  <r>
    <s v="Crystallizer Optimization"/>
    <s v="Chicago"/>
    <s v="Implementation commenced"/>
    <x v="3"/>
    <s v="GHG"/>
    <n v="33.652799999999999"/>
    <n v="0"/>
    <n v="33.652799999999999"/>
  </r>
  <r>
    <s v="Glycol Piping Insulation"/>
    <s v="Chicago"/>
    <s v="Under Investigation"/>
    <x v="3"/>
    <s v="GHG"/>
    <m/>
    <m/>
    <m/>
  </r>
  <r>
    <s v="(Custom Project) Installation of reciculation system on the alkoxidazation vacuum pumps"/>
    <s v="Gurnee"/>
    <s v="To be implemented"/>
    <x v="3"/>
    <s v="Water"/>
    <s v="NA"/>
    <m/>
    <m/>
  </r>
  <r>
    <s v="Solar project at Argentina Farm (Phase 1)"/>
    <s v="Agrinsa"/>
    <s v="To be implemented"/>
    <x v="3"/>
    <s v="GHG"/>
    <n v="466"/>
    <n v="0"/>
    <n v="466"/>
  </r>
  <r>
    <s v="Optimizations of Electricity at Dateland"/>
    <s v="Dateland"/>
    <s v="To be implemented"/>
    <x v="3"/>
    <s v="GHG"/>
    <n v="664"/>
    <n v="0"/>
    <n v="664"/>
  </r>
  <r>
    <s v="Solar PPA"/>
    <s v="Leuna"/>
    <s v="Under Investigation"/>
    <x v="4"/>
    <s v="GHG"/>
    <m/>
    <m/>
    <m/>
  </r>
  <r>
    <s v="Dateland facility to continue adjusting its irrigation practices from furrow to drip at Field Seven Eleven (7-11) Stage 1 (160 acres)"/>
    <s v="Dateland"/>
    <s v="Under Investigation"/>
    <x v="4"/>
    <s v="GHG, Water"/>
    <n v="141"/>
    <n v="0"/>
    <n v="141"/>
  </r>
  <r>
    <s v="Regenerative Thermal Oxidizer"/>
    <s v="Chicago"/>
    <s v="To be implemented"/>
    <x v="4"/>
    <s v="GHG"/>
    <n v="-1690"/>
    <n v="-1690"/>
    <n v="0"/>
  </r>
  <r>
    <s v="Low Nox burners for Boiler 11"/>
    <s v="Chicago"/>
    <s v="To be implemented"/>
    <x v="4"/>
    <s v="GHG"/>
    <m/>
    <m/>
    <m/>
  </r>
  <r>
    <s v="Larger Nitrogen Generator"/>
    <s v="Gurnee"/>
    <s v="Under Investigation"/>
    <x v="4"/>
    <s v="GHG"/>
    <m/>
    <m/>
    <m/>
  </r>
  <r>
    <s v="Condensate Tank Replacement"/>
    <s v="Gurnee"/>
    <s v="Under Investigation"/>
    <x v="4"/>
    <s v="GHG"/>
    <m/>
    <m/>
    <m/>
  </r>
  <r>
    <s v="Solar project at Argentina Farm (Phase 2)"/>
    <s v="Agrinsa"/>
    <s v="To be implemented"/>
    <x v="4"/>
    <s v="GHG"/>
    <n v="560"/>
    <n v="0"/>
    <n v="560"/>
  </r>
  <r>
    <s v="Optimizations of Electricity at Dateland"/>
    <s v="Dateland"/>
    <s v="To be implemented"/>
    <x v="4"/>
    <s v="GHG"/>
    <n v="249"/>
    <n v="0"/>
    <n v="249"/>
  </r>
  <r>
    <s v="New taurine synthesis heat exchanger. Recover 90% of heat and save electricity"/>
    <s v="Leuna"/>
    <s v="Implemented"/>
    <x v="3"/>
    <s v="GHG"/>
    <n v="1000"/>
    <n v="0"/>
    <n v="1000"/>
  </r>
  <r>
    <s v="Cocopah Furrow to Drip Irrigation Phase 2 (320 acres)"/>
    <s v="Dateland"/>
    <s v="Under Investigation"/>
    <x v="5"/>
    <s v="GHG, Water"/>
    <m/>
    <n v="0"/>
    <m/>
  </r>
  <r>
    <s v="Cocopah Furrow to Drip Irrigation Phase 3 (320 acres)"/>
    <s v="Dateland"/>
    <s v="Under Investigation"/>
    <x v="6"/>
    <s v="GHG, Water"/>
    <m/>
    <n v="0"/>
    <m/>
  </r>
  <r>
    <s v="New amine distillation. Install preheating for cool NMT/MMA mixture with the warm NMT outlet so that less steam is required in the process."/>
    <s v="Leuna"/>
    <s v="Under Investigation"/>
    <x v="6"/>
    <s v="GHG"/>
    <n v="1500"/>
    <n v="0"/>
    <n v="1951.324023425055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Dateland removal of every other row in several fields to reduce water use"/>
    <s v="Dateland"/>
    <s v="Implemented"/>
    <x v="0"/>
    <s v="Water"/>
    <s v="NA"/>
    <m/>
    <m/>
    <n v="1400"/>
    <s v="NA"/>
    <m/>
    <m/>
    <m/>
    <e v="#DIV/0!"/>
  </r>
  <r>
    <s v="Distillation Barametric water savings"/>
    <s v="Chicago"/>
    <s v="Implemented"/>
    <x v="1"/>
    <s v="Water"/>
    <n v="0"/>
    <m/>
    <m/>
    <n v="24.761470000000003"/>
    <n v="0"/>
    <n v="0"/>
    <n v="61000"/>
    <n v="70000"/>
    <n v="0.87142857142857144"/>
  </r>
  <r>
    <s v="(ComEd SEM) Cooling tower fan VFD (50 hp)"/>
    <s v="Chicago"/>
    <s v="Implemented"/>
    <x v="1"/>
    <s v="GHG"/>
    <n v="90.718400000000003"/>
    <m/>
    <m/>
    <s v="NA"/>
    <n v="200"/>
    <n v="15400"/>
    <n v="25000"/>
    <n v="24000"/>
    <n v="0.4"/>
  </r>
  <r>
    <s v="(GOS 2023) Replace Steam Trap on Stearic Acid Drop Tank A in Dry Frac"/>
    <s v="Chicago"/>
    <s v="Implemented"/>
    <x v="1"/>
    <s v="GHG"/>
    <n v="10"/>
    <m/>
    <m/>
    <s v="NA"/>
    <n v="54.644686499999999"/>
    <n v="300"/>
    <n v="1000"/>
    <n v="1500"/>
    <n v="0.46666666666666667"/>
  </r>
  <r>
    <s v="Steam trap replacements"/>
    <s v="Gurnee"/>
    <s v="Implemented"/>
    <x v="2"/>
    <s v="GHG"/>
    <n v="545"/>
    <n v="545"/>
    <m/>
    <s v="NA"/>
    <n v="2930.0099999999998"/>
    <n v="39000"/>
    <n v="0"/>
    <n v="25000"/>
    <n v="-1.56"/>
  </r>
  <r>
    <s v="(ComEd SEM) Decommissioning of 6 mixer motors no longer in use (Dry frac mixer motors)"/>
    <s v="Chicago"/>
    <s v="Implemented"/>
    <x v="2"/>
    <s v="GHG"/>
    <n v="75.749864000000002"/>
    <m/>
    <m/>
    <s v="NA"/>
    <n v="167"/>
    <n v="15000"/>
    <n v="24000"/>
    <n v="20040"/>
    <n v="0.44910179640718562"/>
  </r>
  <r>
    <s v="Steam line insulation"/>
    <s v="Chicago"/>
    <s v="Implemented"/>
    <x v="2"/>
    <s v="GHG"/>
    <n v="250"/>
    <m/>
    <m/>
    <s v="NA"/>
    <n v="1416.9528359999999"/>
    <n v="65000"/>
    <n v="130000"/>
    <n v="40000"/>
    <n v="1.625"/>
  </r>
  <r>
    <s v="(GOS 2023) Fully Shut Boiler Makeup Water Valve to Tank T99"/>
    <s v="Gurnee"/>
    <s v="Implemented"/>
    <x v="2"/>
    <s v="GHG"/>
    <n v="332.2"/>
    <n v="332"/>
    <m/>
    <s v="NA"/>
    <n v="1845.9062999999999"/>
    <n v="0"/>
    <n v="5000"/>
    <n v="50000"/>
    <n v="0.1"/>
  </r>
  <r>
    <s v="Tank Farm Agitator Programming"/>
    <s v="Chicago"/>
    <s v="Implemented"/>
    <x v="2"/>
    <s v="GHG"/>
    <n v="328.32"/>
    <m/>
    <m/>
    <n v="0"/>
    <n v="800"/>
    <n v="0"/>
    <n v="0"/>
    <n v="90000"/>
    <n v="0"/>
  </r>
  <r>
    <s v="Steam trap replacements and reduced boiler blowdown"/>
    <s v="Chicago"/>
    <s v="Implementation commenced"/>
    <x v="3"/>
    <s v="GHG"/>
    <n v="1000"/>
    <n v="1000"/>
    <n v="0"/>
    <s v="NA"/>
    <n v="8613.0085624999992"/>
    <n v="43000"/>
    <n v="45000"/>
    <n v="360000"/>
    <n v="5.5555555555555558E-3"/>
  </r>
  <r>
    <s v="Pipeline insulation project"/>
    <s v="Gurnee"/>
    <s v="Under Investigation"/>
    <x v="3"/>
    <s v="GHG"/>
    <m/>
    <m/>
    <m/>
    <m/>
    <m/>
    <m/>
    <m/>
    <m/>
    <e v="#DIV/0!"/>
  </r>
  <r>
    <s v="Heat Savings at Metaupon by insulating K522 Tank (Electricity)"/>
    <s v="Leuna"/>
    <s v="Implemented"/>
    <x v="3"/>
    <s v="GHG"/>
    <n v="40"/>
    <m/>
    <n v="40"/>
    <m/>
    <n v="55"/>
    <n v="0"/>
    <m/>
    <n v="7114"/>
    <n v="0"/>
  </r>
  <r>
    <s v="Heat Savings at Metaupon by insulating R341-R346 stirring tanks (Steam)"/>
    <s v="Leuna"/>
    <s v="Implemented"/>
    <x v="3"/>
    <s v="GHG"/>
    <n v="155"/>
    <n v="0"/>
    <n v="155"/>
    <s v="NA"/>
    <n v="871"/>
    <n v="0"/>
    <n v="125022.46590000002"/>
    <n v="54062"/>
    <n v="2.3125756705264329"/>
  </r>
  <r>
    <s v="(Custom Project) Tolan Evaporator steam efficiency improvements"/>
    <s v="Gurnee"/>
    <s v="To be implemented"/>
    <x v="4"/>
    <s v="GHG"/>
    <m/>
    <m/>
    <m/>
    <s v="NA"/>
    <n v="5860.0199999999995"/>
    <n v="100000"/>
    <n v="1000000"/>
    <n v="150000"/>
    <n v="6"/>
  </r>
  <r>
    <s v="(GOS 2023) Recover splitter flash to preheat makeup water"/>
    <s v="Chicago"/>
    <s v="Under Investigation"/>
    <x v="4"/>
    <s v="GHG, Water"/>
    <n v="1200"/>
    <n v="1200"/>
    <m/>
    <n v="56.780999999999999"/>
    <n v="5215.4178000000002"/>
    <n v="178000"/>
    <n v="500000"/>
    <n v="145000"/>
    <n v="2.2206896551724138"/>
  </r>
  <r>
    <s v="Condensate Tie in for Spray Congealing Tower"/>
    <s v="Englewood"/>
    <s v="To be implemented"/>
    <x v="3"/>
    <s v="GHG, Water"/>
    <n v="4.8815200000000001"/>
    <n v="4.8815200000000001"/>
    <m/>
    <n v="0.5"/>
    <n v="27"/>
    <n v="0"/>
    <n v="10000"/>
    <n v="1500"/>
    <n v="6.666666666666667"/>
  </r>
  <r>
    <s v="(GOS 2023) Automate skimming blowdown control"/>
    <s v="Chicago"/>
    <s v="Under Investigation"/>
    <x v="3"/>
    <s v="GHG, Water"/>
    <n v="24"/>
    <n v="0"/>
    <n v="24"/>
    <n v="0.64351799999999992"/>
    <n v="129.8873433"/>
    <n v="3325"/>
    <n v="60000"/>
    <n v="5500"/>
    <n v="10.304545454545455"/>
  </r>
  <r>
    <s v="Optimizing Cooling Towers"/>
    <s v="Chicago"/>
    <s v="Implementation commenced"/>
    <x v="3"/>
    <s v="Water"/>
    <n v="0"/>
    <m/>
    <m/>
    <n v="0.66"/>
    <n v="0"/>
    <n v="0"/>
    <n v="0"/>
    <n v="50000"/>
    <n v="0"/>
  </r>
  <r>
    <s v="Air Compressor Replacement to replace current"/>
    <s v="Gurnee"/>
    <s v="Under Investigation"/>
    <x v="3"/>
    <s v="GHG"/>
    <m/>
    <m/>
    <m/>
    <m/>
    <m/>
    <m/>
    <m/>
    <m/>
    <e v="#DIV/0!"/>
  </r>
  <r>
    <s v="Compressed Air Leak Fixes"/>
    <s v="Gurnee"/>
    <s v="To be implemented"/>
    <x v="3"/>
    <s v="GHG"/>
    <m/>
    <m/>
    <m/>
    <m/>
    <m/>
    <m/>
    <m/>
    <m/>
    <e v="#DIV/0!"/>
  </r>
  <r>
    <s v="Crystallizer Optimization"/>
    <s v="Chicago"/>
    <s v="Implementation commenced"/>
    <x v="3"/>
    <s v="GHG"/>
    <n v="33.652799999999999"/>
    <n v="0"/>
    <n v="33.652799999999999"/>
    <m/>
    <n v="82"/>
    <n v="0"/>
    <n v="0"/>
    <n v="9840"/>
    <n v="0"/>
  </r>
  <r>
    <s v="Glycol Piping Insulation"/>
    <s v="Chicago"/>
    <s v="Under Investigation"/>
    <x v="3"/>
    <s v="GHG"/>
    <m/>
    <m/>
    <m/>
    <m/>
    <m/>
    <m/>
    <m/>
    <m/>
    <e v="#DIV/0!"/>
  </r>
  <r>
    <s v="(Custom Project) Installation of reciculation system on the alkoxidazation vacuum pumps"/>
    <s v="Gurnee"/>
    <s v="To be implemented"/>
    <x v="3"/>
    <s v="Water"/>
    <s v="NA"/>
    <m/>
    <m/>
    <n v="9.9480311999999991"/>
    <s v="NA"/>
    <n v="0"/>
    <n v="60000"/>
    <n v="1989"/>
    <n v="30.165912518853695"/>
  </r>
  <r>
    <s v="Solar project at Argentina Farm (Phase 1)"/>
    <s v="Agrinsa"/>
    <s v="To be implemented"/>
    <x v="3"/>
    <s v="GHG"/>
    <n v="466"/>
    <n v="0"/>
    <n v="466"/>
    <m/>
    <n v="1500"/>
    <m/>
    <m/>
    <m/>
    <e v="#DIV/0!"/>
  </r>
  <r>
    <s v="Optimizations of Electricity at Dateland"/>
    <s v="Dateland"/>
    <s v="To be implemented"/>
    <x v="3"/>
    <s v="GHG"/>
    <n v="664"/>
    <n v="0"/>
    <n v="664"/>
    <m/>
    <n v="1600"/>
    <m/>
    <m/>
    <m/>
    <e v="#DIV/0!"/>
  </r>
  <r>
    <s v="Solar PPA"/>
    <s v="Leuna"/>
    <s v="Under Investigation"/>
    <x v="4"/>
    <s v="GHG"/>
    <m/>
    <m/>
    <m/>
    <n v="0"/>
    <n v="4000"/>
    <n v="0"/>
    <n v="0"/>
    <m/>
    <e v="#DIV/0!"/>
  </r>
  <r>
    <s v="New taurine synthesis heat exchanger. Recover 90% of heat and save electricity"/>
    <s v="Leuna"/>
    <s v="Implemented"/>
    <x v="3"/>
    <s v="GHG"/>
    <n v="1465.1279999999999"/>
    <n v="0"/>
    <n v="1465.1279999999999"/>
    <s v="NA"/>
    <n v="2142"/>
    <n v="0"/>
    <n v="50000"/>
    <n v="353000"/>
    <n v="0.14164305949008499"/>
  </r>
  <r>
    <s v="Dateland facility to continue adjusting its irrigation practices from furrow to drip at Field Seven Eleven (7-11) Stage 1 (160 acres)"/>
    <s v="Dateland"/>
    <s v="Under Investigation"/>
    <x v="4"/>
    <s v="GHG, Water"/>
    <n v="141"/>
    <n v="0"/>
    <n v="141"/>
    <n v="370"/>
    <n v="400"/>
    <n v="220000"/>
    <n v="300000"/>
    <n v="52000"/>
    <n v="1.5384615384615385"/>
  </r>
  <r>
    <s v="New Dry Frac Air Compressor (SEM Incentive Pending)"/>
    <s v="Chicago"/>
    <s v="Under Investigation"/>
    <x v="5"/>
    <s v="GHG"/>
    <m/>
    <m/>
    <m/>
    <m/>
    <m/>
    <m/>
    <m/>
    <m/>
    <e v="#DIV/0!"/>
  </r>
  <r>
    <s v="Supply temperature reset with OA WB conditions to slow fans on VFD during winter"/>
    <s v="Chicago"/>
    <s v="Implemented"/>
    <x v="3"/>
    <s v="GHG"/>
    <m/>
    <m/>
    <m/>
    <m/>
    <m/>
    <m/>
    <m/>
    <n v="4000"/>
    <n v="0"/>
  </r>
  <r>
    <s v="Oleic acid temperature controls"/>
    <s v="Chicago"/>
    <s v="Implemented"/>
    <x v="3"/>
    <s v="GHG"/>
    <m/>
    <m/>
    <m/>
    <m/>
    <m/>
    <m/>
    <m/>
    <m/>
    <e v="#DIV/0!"/>
  </r>
  <r>
    <s v="Improve approach temperature on cooling water supply temperature"/>
    <s v="Chicago"/>
    <s v="Implemented"/>
    <x v="3"/>
    <s v="GHG"/>
    <n v="20"/>
    <m/>
    <n v="20"/>
    <m/>
    <n v="52.3"/>
    <m/>
    <m/>
    <n v="3800"/>
    <n v="0"/>
  </r>
  <r>
    <s v="Shut off chiller and chiller pump when flaker rolls are off"/>
    <s v="Chicago"/>
    <s v="Implemented"/>
    <x v="3"/>
    <s v="GHG"/>
    <n v="70"/>
    <m/>
    <n v="70"/>
    <s v="NA"/>
    <n v="182.8"/>
    <m/>
    <m/>
    <n v="13231"/>
    <n v="0"/>
  </r>
  <r>
    <s v="Low Nox burners for Boiler 11"/>
    <s v="Chicago"/>
    <s v="To be implemented"/>
    <x v="4"/>
    <s v="GHG"/>
    <m/>
    <m/>
    <m/>
    <m/>
    <m/>
    <m/>
    <m/>
    <m/>
    <e v="#DIV/0!"/>
  </r>
  <r>
    <s v="Larger Nitrogen Generator"/>
    <s v="Gurnee"/>
    <s v="Under Investigation"/>
    <x v="4"/>
    <s v="GHG"/>
    <m/>
    <m/>
    <m/>
    <m/>
    <m/>
    <m/>
    <m/>
    <m/>
    <e v="#DIV/0!"/>
  </r>
  <r>
    <s v="Condensate Tank Replacement"/>
    <s v="Gurnee"/>
    <s v="Under Investigation"/>
    <x v="4"/>
    <s v="GHG"/>
    <m/>
    <m/>
    <m/>
    <m/>
    <m/>
    <m/>
    <m/>
    <m/>
    <e v="#DIV/0!"/>
  </r>
  <r>
    <s v="Optimize D1 and D2 Loading to improve efficiency"/>
    <s v="Chicago"/>
    <s v="Under Investigation"/>
    <x v="6"/>
    <s v="GHG"/>
    <n v="156"/>
    <n v="156"/>
    <m/>
    <m/>
    <m/>
    <n v="0"/>
    <n v="12000"/>
    <n v="15582"/>
    <n v="0.77011936850211782"/>
  </r>
  <r>
    <s v="Utilize free cooling below 30F DBT to reduce chiller energy usage (Flaking)"/>
    <s v="Chicago"/>
    <s v="Under Investigation"/>
    <x v="6"/>
    <s v="GHG"/>
    <n v="20"/>
    <m/>
    <n v="20"/>
    <m/>
    <n v="53"/>
    <n v="6328"/>
    <n v="80000"/>
    <n v="3818"/>
    <n v="19.295966474594028"/>
  </r>
  <r>
    <s v="Reduce pump flow during winter and increase cooling tower fan speeds (Conti water tower)"/>
    <s v="Chicago"/>
    <s v="Under Investigation"/>
    <x v="6"/>
    <s v="GHG"/>
    <n v="6"/>
    <m/>
    <n v="6"/>
    <m/>
    <n v="16"/>
    <n v="1850"/>
    <n v="3000"/>
    <n v="1160"/>
    <n v="0.99137931034482762"/>
  </r>
  <r>
    <s v="Install and utilize VFDs on Boiler 11 feedwater pumps"/>
    <s v="Chicago"/>
    <s v="Under Investigation"/>
    <x v="5"/>
    <s v="GHG"/>
    <n v="58"/>
    <m/>
    <n v="58"/>
    <m/>
    <n v="152"/>
    <n v="8000"/>
    <n v="36000"/>
    <n v="10977"/>
    <n v="2.5507880112963468"/>
  </r>
  <r>
    <s v="Install Advanced O2 Trim Controls on B1 and B11 (1% to 2% increase in eff): Flue Gas Test Recommended"/>
    <s v="Chicago"/>
    <s v="Under Investigation"/>
    <x v="6"/>
    <s v="GHG"/>
    <n v="523"/>
    <n v="523"/>
    <m/>
    <s v="NA"/>
    <n v="288"/>
    <n v="0"/>
    <n v="60000"/>
    <n v="52231"/>
    <n v="1.1487430836093508"/>
  </r>
  <r>
    <s v="Regenerative Thermal Oxidizer"/>
    <s v="Chicago"/>
    <s v="To be implemented"/>
    <x v="4"/>
    <s v="GHG"/>
    <n v="-1690"/>
    <n v="-1690"/>
    <n v="0"/>
    <m/>
    <m/>
    <n v="0"/>
    <n v="1000000"/>
    <m/>
    <e v="#DIV/0!"/>
  </r>
  <r>
    <s v="Solar project at Argentina Farm (Phase 2)"/>
    <s v="Agrinsa"/>
    <s v="To be implemented"/>
    <x v="4"/>
    <s v="GHG"/>
    <n v="560"/>
    <n v="0"/>
    <n v="560"/>
    <m/>
    <n v="1800"/>
    <m/>
    <m/>
    <m/>
    <e v="#DIV/0!"/>
  </r>
  <r>
    <s v="Optimizations of Electricity at Dateland"/>
    <s v="Dateland"/>
    <s v="To be implemented"/>
    <x v="4"/>
    <s v="GHG"/>
    <n v="249"/>
    <n v="0"/>
    <n v="249"/>
    <m/>
    <n v="600"/>
    <m/>
    <m/>
    <m/>
    <e v="#DIV/0!"/>
  </r>
  <r>
    <s v="Cocopah Furrow to Drip Irrigation Phase 2 (320 acres)"/>
    <s v="Dateland"/>
    <s v="Under Investigation"/>
    <x v="5"/>
    <s v="GHG, Water"/>
    <m/>
    <n v="0"/>
    <m/>
    <m/>
    <n v="400"/>
    <n v="480000"/>
    <n v="550000"/>
    <n v="40000"/>
    <n v="1.75"/>
  </r>
  <r>
    <s v="Cocopah Furrow to Drip Irrigation Phase 3 (320 acres)"/>
    <s v="Dateland"/>
    <s v="Under Investigation"/>
    <x v="6"/>
    <s v="GHG, Water"/>
    <m/>
    <n v="0"/>
    <m/>
    <n v="711"/>
    <n v="400"/>
    <n v="480000"/>
    <n v="550000"/>
    <n v="40000"/>
    <n v="1.75"/>
  </r>
  <r>
    <s v="Chlorinated parrafins product exit (not optimization)"/>
    <s v="Leuna"/>
    <s v="To be implemented"/>
    <x v="4"/>
    <s v="GHG"/>
    <n v="59"/>
    <m/>
    <n v="59"/>
    <s v="NA"/>
    <n v="330"/>
    <n v="0"/>
    <n v="0"/>
    <n v="25000"/>
    <n v="0"/>
  </r>
  <r>
    <s v="New amine distillation. Install preheating for cool NMT/MMA mixture with the warm NMT outlet so that less steam is required in the process."/>
    <s v="Leuna"/>
    <s v="To be implemented"/>
    <x v="5"/>
    <s v="GHG"/>
    <n v="276.25599999999997"/>
    <n v="0"/>
    <n v="276.25599999999997"/>
    <s v="NA"/>
    <n v="1552"/>
    <n v="0"/>
    <n v="100000"/>
    <n v="100000"/>
    <n v="1"/>
  </r>
  <r>
    <s v="Steam Trap Survey and Fixes"/>
    <s v="Gurnee"/>
    <s v="Implementation commenced"/>
    <x v="3"/>
    <s v="GHG"/>
    <n v="450"/>
    <n v="450"/>
    <m/>
    <s v="NA"/>
    <n v="2483"/>
    <n v="9365"/>
    <m/>
    <n v="59582"/>
    <n v="-0.15717834245241852"/>
  </r>
  <r>
    <s v="Insulation of steam lines (North Shore incentive)"/>
    <s v="Gurnee"/>
    <s v="Implementation commenced"/>
    <x v="4"/>
    <s v="GHG"/>
    <n v="173"/>
    <n v="173"/>
    <m/>
    <s v="NA"/>
    <n v="952"/>
    <n v="110527"/>
    <m/>
    <n v="14668"/>
    <n v="-7.53524679574584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6F00D4-23A4-4C65-9A28-611BD2C183BE}"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7:B231" firstHeaderRow="1" firstDataRow="1" firstDataCol="1"/>
  <pivotFields count="5">
    <pivotField axis="axisRow" multipleItemSelectionAllowed="1" showAll="0">
      <items count="84">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x="60"/>
        <item h="1" x="61"/>
        <item h="1" x="62"/>
        <item h="1" x="63"/>
        <item h="1" x="64"/>
        <item h="1" x="65"/>
        <item h="1" x="66"/>
        <item h="1" x="67"/>
        <item h="1" x="68"/>
        <item h="1" x="69"/>
        <item h="1" x="70"/>
        <item h="1" x="71"/>
        <item h="1" x="72"/>
        <item h="1" x="73"/>
        <item x="74"/>
        <item h="1" x="75"/>
        <item h="1" x="76"/>
        <item h="1" x="77"/>
        <item h="1" x="78"/>
        <item h="1" x="79"/>
        <item h="1" x="80"/>
        <item h="1" x="81"/>
        <item x="82"/>
        <item t="default"/>
      </items>
    </pivotField>
    <pivotField showAll="0"/>
    <pivotField numFmtId="3" showAll="0"/>
    <pivotField showAll="0"/>
    <pivotField dataField="1" numFmtId="43" showAll="0"/>
  </pivotFields>
  <rowFields count="1">
    <field x="0"/>
  </rowFields>
  <rowItems count="4">
    <i>
      <x v="60"/>
    </i>
    <i>
      <x v="74"/>
    </i>
    <i>
      <x v="82"/>
    </i>
    <i t="grand">
      <x/>
    </i>
  </rowItems>
  <colItems count="1">
    <i/>
  </colItems>
  <dataFields count="1">
    <dataField name="Sum of metric tons" fld="4" baseField="0" baseItem="0" numFmtId="43"/>
  </dataFields>
  <formats count="6">
    <format dxfId="88">
      <pivotArea collapsedLevelsAreSubtotals="1" fieldPosition="0">
        <references count="1">
          <reference field="0" count="1">
            <x v="60"/>
          </reference>
        </references>
      </pivotArea>
    </format>
    <format dxfId="87">
      <pivotArea dataOnly="0" labelOnly="1" fieldPosition="0">
        <references count="1">
          <reference field="0" count="1">
            <x v="60"/>
          </reference>
        </references>
      </pivotArea>
    </format>
    <format dxfId="86">
      <pivotArea collapsedLevelsAreSubtotals="1" fieldPosition="0">
        <references count="1">
          <reference field="0" count="1">
            <x v="82"/>
          </reference>
        </references>
      </pivotArea>
    </format>
    <format dxfId="85">
      <pivotArea dataOnly="0" labelOnly="1" fieldPosition="0">
        <references count="1">
          <reference field="0" count="1">
            <x v="82"/>
          </reference>
        </references>
      </pivotArea>
    </format>
    <format dxfId="84">
      <pivotArea collapsedLevelsAreSubtotals="1" fieldPosition="0">
        <references count="1">
          <reference field="0" count="1">
            <x v="74"/>
          </reference>
        </references>
      </pivotArea>
    </format>
    <format dxfId="83">
      <pivotArea dataOnly="0" labelOnly="1" fieldPosition="0">
        <references count="1">
          <reference field="0" count="1">
            <x v="7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4A7D70-8D0C-4F72-B5D4-57583F3BDA5D}"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7:C231" firstHeaderRow="0" firstDataRow="1" firstDataCol="1"/>
  <pivotFields count="4">
    <pivotField axis="axisRow" showAll="0">
      <items count="8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x="60"/>
        <item h="1" x="61"/>
        <item h="1" x="62"/>
        <item h="1" x="63"/>
        <item h="1" x="64"/>
        <item h="1" x="65"/>
        <item h="1" x="66"/>
        <item h="1" x="67"/>
        <item h="1" x="68"/>
        <item h="1" x="69"/>
        <item h="1" x="70"/>
        <item h="1" x="71"/>
        <item h="1" x="72"/>
        <item h="1" x="73"/>
        <item x="74"/>
        <item h="1" x="75"/>
        <item h="1" x="76"/>
        <item h="1" x="77"/>
        <item h="1" x="78"/>
        <item h="1" x="79"/>
        <item h="1" x="80"/>
        <item h="1" x="81"/>
        <item x="82"/>
        <item h="1" x="83"/>
        <item t="default"/>
      </items>
    </pivotField>
    <pivotField numFmtId="164" showAll="0"/>
    <pivotField dataField="1" numFmtId="164" showAll="0"/>
    <pivotField dataField="1" numFmtId="166" showAll="0"/>
  </pivotFields>
  <rowFields count="1">
    <field x="0"/>
  </rowFields>
  <rowItems count="4">
    <i>
      <x v="60"/>
    </i>
    <i>
      <x v="74"/>
    </i>
    <i>
      <x v="82"/>
    </i>
    <i t="grand">
      <x/>
    </i>
  </rowItems>
  <colFields count="1">
    <field x="-2"/>
  </colFields>
  <colItems count="2">
    <i>
      <x/>
    </i>
    <i i="1">
      <x v="1"/>
    </i>
  </colItems>
  <dataFields count="2">
    <dataField name="Sum of Total Spend ($)" fld="2" baseField="0" baseItem="0" numFmtId="164"/>
    <dataField name="Sum of % total" fld="3" baseField="0" baseItem="0" numFmtId="166"/>
  </dataFields>
  <formats count="6">
    <format dxfId="72">
      <pivotArea collapsedLevelsAreSubtotals="1" fieldPosition="0">
        <references count="1">
          <reference field="0" count="1">
            <x v="60"/>
          </reference>
        </references>
      </pivotArea>
    </format>
    <format dxfId="71">
      <pivotArea dataOnly="0" labelOnly="1" fieldPosition="0">
        <references count="1">
          <reference field="0" count="1">
            <x v="60"/>
          </reference>
        </references>
      </pivotArea>
    </format>
    <format dxfId="70">
      <pivotArea collapsedLevelsAreSubtotals="1" fieldPosition="0">
        <references count="1">
          <reference field="0" count="1">
            <x v="74"/>
          </reference>
        </references>
      </pivotArea>
    </format>
    <format dxfId="69">
      <pivotArea dataOnly="0" labelOnly="1" fieldPosition="0">
        <references count="1">
          <reference field="0" count="1">
            <x v="74"/>
          </reference>
        </references>
      </pivotArea>
    </format>
    <format dxfId="68">
      <pivotArea collapsedLevelsAreSubtotals="1" fieldPosition="0">
        <references count="1">
          <reference field="0" count="1">
            <x v="82"/>
          </reference>
        </references>
      </pivotArea>
    </format>
    <format dxfId="67">
      <pivotArea dataOnly="0" labelOnly="1" fieldPosition="0">
        <references count="1">
          <reference field="0" count="1">
            <x v="8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CBBB89-E08A-4620-B2D8-F860E89436A9}"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9" firstHeaderRow="0" firstDataRow="1" firstDataCol="1"/>
  <pivotFields count="14">
    <pivotField showAll="0"/>
    <pivotField showAll="0"/>
    <pivotField showAll="0"/>
    <pivotField axis="axisRow" multipleItemSelectionAllowed="1" showAll="0">
      <items count="8">
        <item h="1" x="0"/>
        <item h="1" x="1"/>
        <item x="2"/>
        <item x="3"/>
        <item x="4"/>
        <item x="5"/>
        <item x="6"/>
        <item t="default"/>
      </items>
    </pivotField>
    <pivotField showAll="0"/>
    <pivotField dataField="1" showAll="0"/>
    <pivotField showAll="0"/>
    <pivotField showAll="0"/>
    <pivotField dataField="1" showAll="0"/>
    <pivotField showAll="0"/>
    <pivotField showAll="0"/>
    <pivotField showAll="0"/>
    <pivotField showAll="0"/>
    <pivotField showAll="0"/>
  </pivotFields>
  <rowFields count="1">
    <field x="3"/>
  </rowFields>
  <rowItems count="6">
    <i>
      <x v="2"/>
    </i>
    <i>
      <x v="3"/>
    </i>
    <i>
      <x v="4"/>
    </i>
    <i>
      <x v="5"/>
    </i>
    <i>
      <x v="6"/>
    </i>
    <i t="grand">
      <x/>
    </i>
  </rowItems>
  <colFields count="1">
    <field x="-2"/>
  </colFields>
  <colItems count="2">
    <i>
      <x/>
    </i>
    <i i="1">
      <x v="1"/>
    </i>
  </colItems>
  <dataFields count="2">
    <dataField name="Sum of GHG Savings (MT CO2e)" fld="5" baseField="1" baseItem="0"/>
    <dataField name="Sum of Water Savings (ML)" fld="8" baseField="3"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CBD36B-B788-499A-923C-9F59F1BB9436}"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6:C74" firstHeaderRow="0" firstDataRow="1" firstDataCol="1"/>
  <pivotFields count="8">
    <pivotField showAll="0"/>
    <pivotField showAll="0"/>
    <pivotField showAll="0"/>
    <pivotField axis="axisRow" showAll="0">
      <items count="8">
        <item x="0"/>
        <item x="1"/>
        <item x="2"/>
        <item x="3"/>
        <item x="4"/>
        <item x="5"/>
        <item x="6"/>
        <item t="default"/>
      </items>
    </pivotField>
    <pivotField showAll="0"/>
    <pivotField showAll="0"/>
    <pivotField dataField="1" showAll="0"/>
    <pivotField dataField="1" showAll="0"/>
  </pivotFields>
  <rowFields count="1">
    <field x="3"/>
  </rowFields>
  <rowItems count="8">
    <i>
      <x/>
    </i>
    <i>
      <x v="1"/>
    </i>
    <i>
      <x v="2"/>
    </i>
    <i>
      <x v="3"/>
    </i>
    <i>
      <x v="4"/>
    </i>
    <i>
      <x v="5"/>
    </i>
    <i>
      <x v="6"/>
    </i>
    <i t="grand">
      <x/>
    </i>
  </rowItems>
  <colFields count="1">
    <field x="-2"/>
  </colFields>
  <colItems count="2">
    <i>
      <x/>
    </i>
    <i i="1">
      <x v="1"/>
    </i>
  </colItems>
  <dataFields count="2">
    <dataField name="Sum of Scope 1" fld="6" baseField="0" baseItem="0"/>
    <dataField name="Sum of Scope 2"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1D5F27D-5B8A-406F-8B4E-D39934921C59}" name="Table4" displayName="Table4" ref="A3:C53" totalsRowShown="0">
  <autoFilter ref="A3:C53" xr:uid="{D1D5F27D-5B8A-406F-8B4E-D39934921C59}"/>
  <tableColumns count="3">
    <tableColumn id="1" xr3:uid="{517616C9-44F5-4CF3-B47B-9E2380099684}" name="Question #"/>
    <tableColumn id="2" xr3:uid="{5579B123-A50E-4C17-9DEA-FEAC78A23EC8}" name="Question Content" dataDxfId="91"/>
    <tableColumn id="3" xr3:uid="{7FC7AEA7-5EB8-488A-AF61-C4105E92DB3E}" name="Dept Owner"/>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1BAA24E-3AF2-4855-BD22-B91BC3AB647D}" name="Table5" displayName="Table5" ref="A3:E31" totalsRowShown="0">
  <autoFilter ref="A3:E31" xr:uid="{11BAA24E-3AF2-4855-BD22-B91BC3AB647D}"/>
  <tableColumns count="5">
    <tableColumn id="1" xr3:uid="{922052AE-BD35-48C1-90D5-E5955B0E4511}" name="Section"/>
    <tableColumn id="2" xr3:uid="{D47E7F0C-9B06-45FA-8E0B-C3E189FDDF95}" name="Question #"/>
    <tableColumn id="5" xr3:uid="{2FC78806-147B-43B9-96B4-179A8358188A}" name="Type of Feedback Requested"/>
    <tableColumn id="3" xr3:uid="{3AE74393-3499-4EB4-9115-542676FD7472}" name="Parent Question" dataDxfId="90"/>
    <tableColumn id="4" xr3:uid="{9755F579-D709-4D55-899D-49CCEED32BAE}" name="Answer" dataDxfId="89"/>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5595D56-56EA-40B6-93A3-AD720CE0CA73}" name="Table114" displayName="Table114" ref="A1:E219" totalsRowShown="0" headerRowBorderDxfId="82">
  <autoFilter ref="A1:E219" xr:uid="{7AC5A98E-1D4B-4FBF-B372-3CFD4DBD3171}"/>
  <sortState xmlns:xlrd2="http://schemas.microsoft.com/office/spreadsheetml/2017/richdata2" ref="A2:C219">
    <sortCondition ref="A1:A219"/>
  </sortState>
  <tableColumns count="5">
    <tableColumn id="2" xr3:uid="{BF34386A-241A-44CF-ABF6-501181C2501B}" name="Category Level 3"/>
    <tableColumn id="3" xr3:uid="{5873A759-E030-41EC-AC86-9C7932507DAE}" name="Category Level 4" dataDxfId="81"/>
    <tableColumn id="4" xr3:uid="{6FD466CC-B599-45E7-81CD-6D542419C554}" name="Total Volume (k)" dataDxfId="80"/>
    <tableColumn id="5" xr3:uid="{DB175D94-066A-44A8-937E-A095D37ED266}" name="lbs" dataDxfId="79" dataCellStyle="Normal 4">
      <calculatedColumnFormula>Table114[[#This Row],[Total Volume (k)]]*1000</calculatedColumnFormula>
    </tableColumn>
    <tableColumn id="6" xr3:uid="{12DB61D1-1308-478A-BF16-C70CDCD17606}" name="metric tons" dataDxfId="78" dataCellStyle="Comma">
      <calculatedColumnFormula>Table114[[#This Row],[lbs]]*0.000453592</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A89CAF-608D-40F4-8B10-E6427A1A2325}" name="Table2" displayName="Table2" ref="A10:L24" totalsRowShown="0">
  <autoFilter ref="A10:L24" xr:uid="{E1A89CAF-608D-40F4-8B10-E6427A1A2325}"/>
  <tableColumns count="12">
    <tableColumn id="1" xr3:uid="{93486CDA-B258-4791-ABA5-5343518083D8}" name="Project" dataDxfId="77"/>
    <tableColumn id="9" xr3:uid="{5F482135-EB48-4130-90B9-7B588A4E3F51}" name="Site" dataDxfId="76"/>
    <tableColumn id="2" xr3:uid="{8FF715FF-BD57-49EA-B849-B1FE42F71505}" name="Stage"/>
    <tableColumn id="11" xr3:uid="{C16EE599-3F9E-4FE8-9FC4-AEE2E3CD2BF4}" name="Year"/>
    <tableColumn id="3" xr3:uid="{EE7953BC-65E8-452B-B540-3AA3894EC859}" name="Type(s)"/>
    <tableColumn id="4" xr3:uid="{8ED652ED-2564-4E7A-A26A-79D315DDAF5B}" name="GHG Savings (MT CO2e)" dataDxfId="75">
      <calculatedColumnFormula>63671-(63671*0.0372)</calculatedColumnFormula>
    </tableColumn>
    <tableColumn id="5" xr3:uid="{16D62514-3A38-4276-B6B6-4C81BD36B6AD}" name="Water Savings (ML)"/>
    <tableColumn id="8" xr3:uid="{7D690545-FAF9-470E-96F5-F75A851078F1}" name="Energy Savings (MWh)" dataDxfId="74"/>
    <tableColumn id="12" xr3:uid="{5FAB66A6-2C36-433C-9017-4A0F38FE1303}" name="Incentive" dataCellStyle="Currency"/>
    <tableColumn id="6" xr3:uid="{CC6DC7E2-DBE7-4D6F-B402-79A7C31969DE}" name="CapEx Required" dataCellStyle="Currency"/>
    <tableColumn id="13" xr3:uid="{653F4751-16AD-4E87-97AA-CD3E0F7CF1B3}" name="Annual OpEx Savings" dataDxfId="73" dataCellStyle="Currency"/>
    <tableColumn id="7" xr3:uid="{9CEDB60E-9FF0-4AFE-BB8F-1B5FF4180D1F}" name="ROI (w/ incentive)"/>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37E2779-03A6-4B47-A2FB-B14452CCB14A}" name="Table16" displayName="Table16" ref="A1:D220" totalsRowShown="0" headerRowBorderDxfId="66" headerRowCellStyle="Normal 2">
  <autoFilter ref="A1:D220" xr:uid="{837E2779-03A6-4B47-A2FB-B14452CCB14A}"/>
  <sortState xmlns:xlrd2="http://schemas.microsoft.com/office/spreadsheetml/2017/richdata2" ref="A2:B220">
    <sortCondition ref="A1:A220"/>
  </sortState>
  <tableColumns count="4">
    <tableColumn id="1" xr3:uid="{859D4A50-84F3-4B7E-B185-3964C8A7EA20}" name="Category Level 3"/>
    <tableColumn id="3" xr3:uid="{2DC91542-445F-4BB6-AF7F-A1954C8761CE}" name="Total Spend (k)" dataDxfId="65" dataCellStyle="Normal 2"/>
    <tableColumn id="4" xr3:uid="{CCF8701C-5498-40A3-A6A1-BC505C4D52BE}" name="Total Spend ($)" dataDxfId="64" dataCellStyle="Normal 2">
      <calculatedColumnFormula>Table16[[#This Row],[Total Spend (k)]]*1000</calculatedColumnFormula>
    </tableColumn>
    <tableColumn id="5" xr3:uid="{4C144CD7-A028-425D-9D8B-7EB544B03D56}" name="% total" dataDxfId="63" dataCellStyle="Percent">
      <calculatedColumnFormula>Table16[[#This Row],[Total Spend ($)]]/$C$220</calculatedColumnFormula>
    </tableColum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29549F4-1E9D-4503-9FA8-CB3841888B42}" name="Table210" displayName="Table210" ref="A10:N67" totalsRowShown="0" headerRowDxfId="100">
  <autoFilter ref="A10:N67" xr:uid="{E1A89CAF-608D-40F4-8B10-E6427A1A2325}"/>
  <sortState xmlns:xlrd2="http://schemas.microsoft.com/office/spreadsheetml/2017/richdata2" ref="A20:N60">
    <sortCondition ref="D10:D60"/>
  </sortState>
  <tableColumns count="14">
    <tableColumn id="1" xr3:uid="{21936539-E043-403D-BA56-BAC0E82BAF7C}" name="Project" dataDxfId="99"/>
    <tableColumn id="9" xr3:uid="{AC62E28A-E44F-41AA-9A0F-4AE62B2F40E0}" name="Site" dataDxfId="98"/>
    <tableColumn id="2" xr3:uid="{6B927FCA-0EA9-404B-BF65-81B91C8D3F48}" name="Stage"/>
    <tableColumn id="11" xr3:uid="{87906EDE-2118-4A7D-B2AE-FBE07ABDEB88}" name="Year"/>
    <tableColumn id="3" xr3:uid="{C9666238-7B21-45E6-ADDA-D13212B5F13A}" name="Type(s)"/>
    <tableColumn id="4" xr3:uid="{8F593CE6-0384-4FB2-B024-015DE8E4902F}" name="GHG Savings (MT CO2e)" dataDxfId="97" dataCellStyle="Comma">
      <calculatedColumnFormula>63671-(63671*0.0372)</calculatedColumnFormula>
    </tableColumn>
    <tableColumn id="10" xr3:uid="{398925CC-6161-4C66-887C-69914C1A9631}" name="Scope 1" dataDxfId="96" dataCellStyle="Comma"/>
    <tableColumn id="14" xr3:uid="{2F723682-4AED-4E5D-9598-EDE0695B99FF}" name="Scope 2" dataDxfId="95" dataCellStyle="Comma"/>
    <tableColumn id="5" xr3:uid="{6A5BE166-E27D-42B5-9715-3970621BDBFA}" name="Water Savings (ML)" dataDxfId="94" dataCellStyle="Comma"/>
    <tableColumn id="8" xr3:uid="{2CA2F2BC-A0D4-4907-8B5D-332C6249B327}" name="Energy Savings (MWh)" dataDxfId="93" dataCellStyle="Comma"/>
    <tableColumn id="12" xr3:uid="{CA0EC861-1AEA-43C1-8B50-D39401490C78}" name="Incentive ($)" dataCellStyle="Currency"/>
    <tableColumn id="6" xr3:uid="{4F0B0027-726D-4511-A0EA-26F0FC6CB77B}" name="CapEx Required ($)" dataCellStyle="Currency"/>
    <tableColumn id="13" xr3:uid="{834FDD8B-512A-4AA4-8276-87A344B3DBD5}" name="Annual OpEx Savings ($)" dataDxfId="92" dataCellStyle="Currency"/>
    <tableColumn id="7" xr3:uid="{2E355292-22E7-472F-AFE3-78027E32167F}" name="Simple payback w/ incentive (yr)">
      <calculatedColumnFormula>(Table210[[#This Row],[CapEx Required ($)]]-Table210[[#This Row],[Incentive ($)]])/Table210[[#This Row],[Annual OpEx Savings ($)]]</calculatedColumnFormula>
    </tableColumn>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76E16B2-ED0B-4EC6-9F5B-A6B5E635791E}" name="Table10" displayName="Table10" ref="A13:C23" totalsRowShown="0">
  <autoFilter ref="A13:C23" xr:uid="{176E16B2-ED0B-4EC6-9F5B-A6B5E635791E}"/>
  <tableColumns count="3">
    <tableColumn id="1" xr3:uid="{8E2FE791-464D-4FFE-ADD3-ED510854E820}" name="Year"/>
    <tableColumn id="2" xr3:uid="{47E3BA21-C36C-4EA4-9D6F-978D8553892A}" name="GHG Emissions Scope 1 and 2 (tCO2e)"/>
    <tableColumn id="3" xr3:uid="{A8DDAB8B-F11C-41DE-AC99-03403FE9FA42}" name="Target" dataDxfId="62">
      <calculatedColumnFormula>$B$14-($B$14*0.2)</calculatedColumnFormula>
    </tableColumn>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CFF91D4-66A9-43CF-9079-F68CF9F4DDB9}" name="Table1013" displayName="Table1013" ref="A26:E36" totalsRowShown="0">
  <autoFilter ref="A26:E36" xr:uid="{1CFF91D4-66A9-43CF-9079-F68CF9F4DDB9}"/>
  <tableColumns count="5">
    <tableColumn id="1" xr3:uid="{3C706F7A-3F26-4C45-9D5A-6BEB3DE03D01}" name="Year"/>
    <tableColumn id="2" xr3:uid="{D46BE112-298F-49B9-B425-CBFE86BABC4D}" name="Water Use (ML)"/>
    <tableColumn id="3" xr3:uid="{511484A0-EA9E-42B7-8C22-1AD375BA5E0C}" name="Target 25%" dataDxfId="61">
      <calculatedColumnFormula>$B$27-($B$27*0.25)</calculatedColumnFormula>
    </tableColumn>
    <tableColumn id="4" xr3:uid="{5B4F33EC-48BD-4CA4-87E7-9D21AA0F38B7}" name="Target 50%" dataDxfId="60"/>
    <tableColumn id="5" xr3:uid="{394C494A-C2DF-43D1-933E-B0D9F9F69DC2}" name="Water Use No ENF (ML)" dataDxfId="59">
      <calculatedColumnFormula>Table1013[[#This Row],[Water Use (ML)]]</calculatedColumnFormula>
    </tableColumn>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9974FD-72FD-4037-AB24-F1C1DDCB56B2}" name="Table104" displayName="Table104" ref="A52:E62" totalsRowShown="0">
  <autoFilter ref="A52:E62" xr:uid="{BD9974FD-72FD-4037-AB24-F1C1DDCB56B2}"/>
  <tableColumns count="5">
    <tableColumn id="1" xr3:uid="{EB74049C-70D9-435F-BF17-B67A8B7EA421}" name="Year"/>
    <tableColumn id="2" xr3:uid="{0007886D-8178-4379-B1F8-55579704A771}" name="Scope 1 (tCO2e)"/>
    <tableColumn id="4" xr3:uid="{83EFB311-3185-4F3A-AB73-100DC4A1FF49}" name="Scope 2 (tCO2e)"/>
    <tableColumn id="3" xr3:uid="{82F003D6-2BBE-4864-BDB3-3DA08E120AC3}" name="Target (S1)" dataDxfId="58">
      <calculatedColumnFormula>$B$53-($B$53*0.1)</calculatedColumnFormula>
    </tableColumn>
    <tableColumn id="5" xr3:uid="{22C1FD21-95F0-44B4-B34D-DFB6ADA5243A}" name="Target (S2)" dataDxfId="57">
      <calculatedColumnFormula>$C$53-($C$53*0.25)</calculatedColumnFormula>
    </tableColumn>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9EA190-D51E-4DC0-98FB-E452ED4F5731}" name="Table22" displayName="Table22" ref="A3:M28" totalsRowCount="1">
  <autoFilter ref="A3:M27" xr:uid="{2B8B7914-DA65-4F95-9007-39341796FFA3}"/>
  <tableColumns count="13">
    <tableColumn id="1" xr3:uid="{7FA9B195-2708-4980-BFD4-2EE80881A0B3}" name="Site" totalsRowLabel="Totals"/>
    <tableColumn id="2" xr3:uid="{565E1FAD-8162-4359-B67F-74B5C2DE94EA}" name="Facility Type"/>
    <tableColumn id="3" xr3:uid="{5AB14A20-0BA9-4562-B8FB-2EF80C0B13E4}" name="River Basin"/>
    <tableColumn id="13" xr3:uid="{BE34DE6A-D32F-4387-9DCB-AB45DEC5D321}" name="WWF Water Stress"/>
    <tableColumn id="4" xr3:uid="{A0403CF2-5A7B-4FE5-B9EA-F07FAB39A08F}" name="WWF Water Risk Level"/>
    <tableColumn id="5" xr3:uid="{5135089F-3634-4C94-A5AD-4842EFC9C4E2}" name="Surface Water" totalsRowFunction="custom" dataDxfId="56" totalsRowDxfId="55" dataCellStyle="Comma">
      <totalsRowFormula>SUM(Table22[Surface Water])</totalsRowFormula>
    </tableColumn>
    <tableColumn id="6" xr3:uid="{29523871-4BC8-4C68-AF14-006419521E07}" name="Groundwater" totalsRowFunction="custom" dataDxfId="54" totalsRowDxfId="53" dataCellStyle="Comma">
      <totalsRowFormula>SUM(Table22[Groundwater])</totalsRowFormula>
    </tableColumn>
    <tableColumn id="7" xr3:uid="{8E4E9F2A-E74C-421D-9A13-09EE6A161BAF}" name="Third-party" totalsRowFunction="custom" dataDxfId="52" totalsRowDxfId="51" dataCellStyle="Comma">
      <totalsRowFormula>SUM(Table22[Third-party])</totalsRowFormula>
    </tableColumn>
    <tableColumn id="12" xr3:uid="{5428D66C-0750-4743-A208-683325D03033}" name="Recycled Water" totalsRowFunction="custom" dataDxfId="50" totalsRowDxfId="49" dataCellStyle="Comma">
      <totalsRowFormula>SUM(Table22[Recycled Water])</totalsRowFormula>
    </tableColumn>
    <tableColumn id="8" xr3:uid="{E417A8CE-CEF8-49C9-977E-32C276DB167B}" name="Fresh Surface Water Discharge" totalsRowFunction="custom" dataDxfId="48" totalsRowDxfId="47" dataCellStyle="Comma">
      <totalsRowFormula>SUM(Table22[Fresh Surface Water Discharge])</totalsRowFormula>
    </tableColumn>
    <tableColumn id="9" xr3:uid="{48AA5AD8-0335-4F60-B848-7AF07800275A}" name="Groundwater Discharge" totalsRowFunction="custom" dataDxfId="46" totalsRowDxfId="45" dataCellStyle="Comma">
      <totalsRowFormula>SUM(Table22[Groundwater Discharge])</totalsRowFormula>
    </tableColumn>
    <tableColumn id="10" xr3:uid="{F649FFA6-AC9D-4999-8365-BC2807FBA87F}" name="Third-party Discharge" totalsRowFunction="custom" dataDxfId="44" totalsRowDxfId="43" dataCellStyle="Comma">
      <totalsRowFormula>SUM(Table22[Third-party Discharge])</totalsRowFormula>
    </tableColumn>
    <tableColumn id="11" xr3:uid="{8FC4AA6F-6854-4021-96BA-8CFAEA8263AA}" name="Consumption (W-D)" totalsRowFunction="custom" dataDxfId="42" totalsRowDxfId="41">
      <calculatedColumnFormula>(Table22[[#This Row],[Surface Water]]+Table22[[#This Row],[Groundwater]]+Table22[[#This Row],[Third-party]])-(Table22[[#This Row],[Fresh Surface Water Discharge]]+Table22[[#This Row],[Groundwater Discharge]]+Table22[[#This Row],[Third-party Discharge]])</calculatedColumnFormula>
      <totalsRowFormula>SUM(Table22[Consumption (W-D)])</totalsRowFormula>
    </tableColumn>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451282E-4D3B-40A4-96B1-79028CCAAD83}" name="Table7" displayName="Table7" ref="A3:B6" totalsRowShown="0">
  <autoFilter ref="A3:B6" xr:uid="{8451282E-4D3B-40A4-96B1-79028CCAAD83}"/>
  <tableColumns count="2">
    <tableColumn id="1" xr3:uid="{01241B32-2952-4B31-AB2F-54E3A15F8CCD}" name="Site"/>
    <tableColumn id="2" xr3:uid="{82F36FA1-B8DB-44CE-A786-3C230B3E5821}" name="Capacity" dataDxfId="40" dataCellStyle="Comma"/>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DC91A20-CB01-4EA2-9F41-EE255C1F996F}" name="Table19" displayName="Table19" ref="A1:F10" totalsRowCount="1" headerRowBorderDxfId="39">
  <autoFilter ref="A1:F9" xr:uid="{6DC91A20-CB01-4EA2-9F41-EE255C1F996F}"/>
  <tableColumns count="6">
    <tableColumn id="1" xr3:uid="{EA688860-AE48-494C-BDEE-2A44A80C3CC5}" name="Utilitie"/>
    <tableColumn id="2" xr3:uid="{4382F1B8-C4C6-4827-9788-AC8C2FE18A41}" name="Expense 2023" totalsRowFunction="custom" dataDxfId="38" totalsRowDxfId="37">
      <totalsRowFormula>SUM(B2:B8)</totalsRowFormula>
    </tableColumn>
    <tableColumn id="3" xr3:uid="{EF3D89B7-CFE2-4E0A-885F-2874BD68DD81}" name="Productivity" dataDxfId="36" totalsRowDxfId="35"/>
    <tableColumn id="4" xr3:uid="{5C846439-3730-4DF8-849E-3B6F37EA3A90}" name="Rates" dataDxfId="34" totalsRowDxfId="33"/>
    <tableColumn id="5" xr3:uid="{5511D4DE-E5A0-423D-ABFA-98C95A67CD3D}" name="Volume " dataDxfId="32" totalsRowDxfId="31"/>
    <tableColumn id="6" xr3:uid="{AE76C37A-7720-4255-B4BF-4C8BFE4786E3}" name="Expense 2024" totalsRowFunction="sum" dataDxfId="30" totalsRowDxfId="29"/>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A1F6935-59F5-49DD-96FE-70E5CD75BB77}" name="Table11" displayName="Table11" ref="A5:P36" totalsRowCount="1">
  <autoFilter ref="A5:P35" xr:uid="{8A1F6935-59F5-49DD-96FE-70E5CD75BB77}"/>
  <sortState xmlns:xlrd2="http://schemas.microsoft.com/office/spreadsheetml/2017/richdata2" ref="A6:K35">
    <sortCondition descending="1" ref="F5:F35"/>
  </sortState>
  <tableColumns count="16">
    <tableColumn id="1" xr3:uid="{5E80F1DA-2C27-419E-A819-5901ECFD206F}" name="Column1"/>
    <tableColumn id="2" xr3:uid="{84D0986B-606A-4A23-8D69-2D01C5950F6A}" name="Scope 1 (2021)" totalsRowFunction="custom" dataDxfId="28" totalsRowDxfId="27">
      <totalsRowFormula>SUM(Table11[Scope 1 (2021)])</totalsRowFormula>
    </tableColumn>
    <tableColumn id="3" xr3:uid="{FA5A626F-F955-410A-9C78-711B7FFDF7C0}" name="Scope 2 (2021)" totalsRowFunction="custom" dataDxfId="26" totalsRowDxfId="25">
      <totalsRowFormula>SUM(Table11[Scope 2 (2021)])</totalsRowFormula>
    </tableColumn>
    <tableColumn id="8" xr3:uid="{95205D0F-5937-45CB-A78C-5E8352D112C0}" name="2021 SUM" totalsRowFunction="custom" dataDxfId="24" totalsRowDxfId="23" dataCellStyle="Comma">
      <calculatedColumnFormula>SUM(Table11[[#This Row],[Scope 1 (2021)]:[Scope 2 (2021)]])</calculatedColumnFormula>
      <totalsRowFormula>SUM(Table11[2021 SUM])</totalsRowFormula>
    </tableColumn>
    <tableColumn id="4" xr3:uid="{6BE718A9-BEE7-4AB3-9319-A0622BCEC581}" name="Scope 1 (2022)" totalsRowFunction="custom" dataDxfId="22" totalsRowDxfId="21" dataCellStyle="Comma">
      <totalsRowFormula>SUM(Table11[Scope 1 (2022)])</totalsRowFormula>
    </tableColumn>
    <tableColumn id="5" xr3:uid="{572AE891-78CE-45C0-B698-AF5699999980}" name="Scope 2 (2022)" totalsRowFunction="custom" dataDxfId="20" totalsRowDxfId="19" dataCellStyle="Comma">
      <totalsRowFormula>SUM(Table11[Scope 2 (2022)])</totalsRowFormula>
    </tableColumn>
    <tableColumn id="9" xr3:uid="{7EC73128-E90E-44BA-8568-2133D304C93F}" name="2022 SUM" totalsRowFunction="custom" dataDxfId="18" totalsRowDxfId="17" dataCellStyle="Comma">
      <calculatedColumnFormula>SUM(Table11[[#This Row],[Scope 1 (2022)]:[Scope 2 (2022)]])</calculatedColumnFormula>
      <totalsRowFormula>SUM(Table11[2022 SUM])</totalsRowFormula>
    </tableColumn>
    <tableColumn id="15" xr3:uid="{C65A4FEB-01C6-4F8A-BB7C-F243F061D106}" name="2022 Prod (ton)" totalsRowFunction="sum" dataDxfId="16" totalsRowDxfId="15" dataCellStyle="Comma"/>
    <tableColumn id="6" xr3:uid="{F0100DAE-0B67-4D47-BBB5-B7D017A1A21D}" name="Scope 1 (2023)" totalsRowFunction="custom" dataDxfId="14" totalsRowDxfId="13" dataCellStyle="Comma">
      <totalsRowFormula>SUM(Table11[Scope 1 (2023)])</totalsRowFormula>
    </tableColumn>
    <tableColumn id="7" xr3:uid="{8E9D4B50-6EDF-400C-A776-BEF92769840B}" name="Scope 2 (2023)" totalsRowFunction="custom" dataDxfId="12" totalsRowDxfId="11" dataCellStyle="Comma">
      <totalsRowFormula>SUM(Table11[Scope 2 (2023)])</totalsRowFormula>
    </tableColumn>
    <tableColumn id="10" xr3:uid="{413DAD49-49A8-41B0-91FA-9C63C1E4AEC7}" name="2023 SUM" totalsRowFunction="custom" dataDxfId="10" totalsRowDxfId="9" dataCellStyle="Comma">
      <calculatedColumnFormula>SUM(Table11[[#This Row],[Scope 1 (2023)]:[Scope 2 (2023)]])</calculatedColumnFormula>
      <totalsRowFormula>SUM(Table11[2023 SUM])</totalsRowFormula>
    </tableColumn>
    <tableColumn id="13" xr3:uid="{D910AE14-DAF4-48CC-BB5B-6995781A5C0A}" name="2023 Prod (ton)" totalsRowFunction="sum" dataDxfId="8" totalsRowDxfId="7" dataCellStyle="Comma"/>
    <tableColumn id="16" xr3:uid="{7D884901-B46E-4C33-82CE-8FB0CA9EED09}" name="Delta Prod" totalsRowFunction="sum" dataDxfId="6" totalsRowDxfId="5" dataCellStyle="Comma">
      <calculatedColumnFormula>Table11[[#This Row],[2023 Prod (ton)]]-Table11[[#This Row],[2022 Prod (ton)]]</calculatedColumnFormula>
    </tableColumn>
    <tableColumn id="17" xr3:uid="{C656D035-05C4-41CE-B988-F3749A951814}" name="YoY Prod" totalsRowFunction="custom" dataDxfId="4" totalsRowDxfId="3" dataCellStyle="Comma">
      <calculatedColumnFormula>(Table11[[#This Row],[2023 Prod (ton)]]-Table11[[#This Row],[2022 Prod (ton)]])/Table11[[#This Row],[2022 Prod (ton)]]</calculatedColumnFormula>
      <totalsRowFormula>(Table11[[#Totals],[2023 Prod (ton)]]-Table11[[#Totals],[2022 Prod (ton)]])/Table11[[#Totals],[2022 Prod (ton)]]</totalsRowFormula>
    </tableColumn>
    <tableColumn id="12" xr3:uid="{F0345BCB-E9BD-4587-99C5-DCE2D256756D}" name="Delta Emissions" totalsRowFunction="sum" dataDxfId="2" totalsRowDxfId="1" dataCellStyle="Comma">
      <calculatedColumnFormula>Table11[[#This Row],[2023 SUM]]-Table11[[#This Row],[2022 SUM]]</calculatedColumnFormula>
    </tableColumn>
    <tableColumn id="11" xr3:uid="{E4734C62-266E-46D7-80D3-96746F3C88CA}" name="% YoY Emissions" totalsRowFunction="custom" totalsRowDxfId="0" dataCellStyle="Comma">
      <calculatedColumnFormula>(Table11[[#This Row],[2023 SUM]]-Table11[[#This Row],[2022 SUM]])/Table11[[#This Row],[2022 SUM]]</calculatedColumnFormula>
      <totalsRowFormula>(Table11[[#Totals],[2023 SUM]]-Table11[[#Totals],[2022 SUM]])/Table11[[#Totals],[2022 SUM]]</totalsRow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5" dT="2024-07-03T20:47:45.15" personId="{F8F19074-21F5-4AA0-BED6-9DFF5BADA732}" id="{AA1FEB10-C06A-4A53-9AD3-E07A803506F0}">
    <text xml:space="preserve">Briefly describe how you determine whether an agricultural commodity is significant to your organization in terms of revenue </text>
  </threadedComment>
  <threadedComment ref="B9" dT="2024-07-05T12:48:20.49" personId="{F8F19074-21F5-4AA0-BED6-9DFF5BADA732}" id="{1273D0F3-8D71-40B3-80BF-CC88E82AFB14}">
    <text>Explanation of Terms
Manage: the approach adopted by an organization to address and respond, which includes but is not limited to prioritizing and monitoring.
Dependencies (on the environment): aspects of environmental assets and ecosystem services that an organization relies on to function (TNFD, 2023).
Impacts (on the environment): changes in the condition of nature (quality or quantity), which may result in changes to the capacity of nature to provide social and economic functions (adapted from TNFD, 2023).</text>
    <extLst>
      <x:ext xmlns:xltc2="http://schemas.microsoft.com/office/spreadsheetml/2020/threadedcomments2" uri="{F7C98A9C-CBB3-438F-8F68-D28B6AF4A901}">
        <xltc2:checksum>2325537905</xltc2:checksum>
        <xltc2:hyperlink startIndex="294" length="10" url="https://tnfd.global/publication/glossary/%22%20/l%20%22publication-content"/>
        <xltc2:hyperlink startIndex="504" length="10" url="https://tnfd.global/publication/glossary/%22%20/l%20%22publication-content"/>
      </x:ext>
    </extLst>
  </threadedComment>
  <threadedComment ref="B9" dT="2024-07-26T14:00:17.17" personId="{F8F19074-21F5-4AA0-BED6-9DFF5BADA732}" id="{9BD8AD81-A678-4F21-99BF-0FC2C5A02FCF}" parentId="{1273D0F3-8D71-40B3-80BF-CC88E82AFB14}">
    <text>Dependencies - what do we rely on (clean water and regular water supply). Impacts, how do we impact the environment (neg or positive)</text>
  </threadedComment>
  <threadedComment ref="B17" dT="2024-07-05T14:23:20.52" personId="{F8F19074-21F5-4AA0-BED6-9DFF5BADA732}" id="{186EAE34-D99E-48D1-8231-392FF38AE0B3}">
    <text xml:space="preserve">What frequency do they meet?
What type of directors (exec/nonexec)?
Board DEI policy? Yes/No?
</text>
  </threadedComment>
  <threadedComment ref="B20" dT="2024-07-05T17:22:35.14" personId="{F8F19074-21F5-4AA0-BED6-9DFF5BADA732}" id="{64206A78-1DCC-4CAD-91F8-BEB6DCB3BBB4}">
    <text>Yes</text>
  </threadedComment>
  <threadedComment ref="B23" dT="2024-07-05T18:37:51.74" personId="{F8F19074-21F5-4AA0-BED6-9DFF5BADA732}" id="{38B32CA2-3487-4D46-AD58-92EB3A94D24C}">
    <text>Trade Assn? Like CICI or other than can provide input? Manufacturer's Alliance?</text>
  </threadedComment>
  <threadedComment ref="B24" dT="2024-07-05T18:35:40.87" personId="{F8F19074-21F5-4AA0-BED6-9DFF5BADA732}" id="{4A7A9AF1-4113-4D45-89F4-A6D6AA97EC34}">
    <text>Confirm this is no and that we plan to in near future (via ESG Reporting etc)</text>
  </threadedComment>
  <threadedComment ref="B25" dT="2024-07-05T18:41:05.55" personId="{F8F19074-21F5-4AA0-BED6-9DFF5BADA732}" id="{D9FC4CD2-E889-477F-83CA-6824577D4A73}">
    <text>Answer likely no but confirm</text>
  </threadedComment>
  <threadedComment ref="B27" dT="2024-07-05T18:46:06.09" personId="{F8F19074-21F5-4AA0-BED6-9DFF5BADA732}" id="{B979860F-E507-46FA-8E15-00439F598FFA}">
    <text>Products and Services; Upstream/Downstream value chain; Investment in R&amp;D; Operations</text>
  </threadedComment>
</ThreadedComments>
</file>

<file path=xl/threadedComments/threadedComment2.xml><?xml version="1.0" encoding="utf-8"?>
<ThreadedComments xmlns="http://schemas.microsoft.com/office/spreadsheetml/2018/threadedcomments" xmlns:x="http://schemas.openxmlformats.org/spreadsheetml/2006/main">
  <threadedComment ref="I12" dT="2024-08-22T16:44:32.34" personId="{F8F19074-21F5-4AA0-BED6-9DFF5BADA732}" id="{F3FF3672-13D6-4D79-B3C5-ADCFAE2FB025}">
    <text>70K per year 10.70 per tgal</text>
  </threadedComment>
  <threadedComment ref="I12" dT="2024-11-21T20:29:54.49" personId="{F8F19074-21F5-4AA0-BED6-9DFF5BADA732}" id="{87A3AC14-E76B-44D3-896B-B082BFB14ECE}" parentId="{F3FF3672-13D6-4D79-B3C5-ADCFAE2FB025}">
    <text>1.2 cents per gallon water</text>
  </threadedComment>
  <threadedComment ref="A15" dT="2024-08-26T18:14:20.99" personId="{F8F19074-21F5-4AA0-BED6-9DFF5BADA732}" id="{78855105-5FFC-44F1-8D42-110C164ADCB6}">
    <text>Late 2023 survey, 2024 steam trap replacement work (Hayes Mechanical)</text>
  </threadedComment>
  <threadedComment ref="K15" dT="2025-09-09T14:30:06.75" personId="{F8F19074-21F5-4AA0-BED6-9DFF5BADA732}" id="{6836ED75-B97E-4499-AABB-D14DBD61913E}">
    <text xml:space="preserve">$38,943.17 total rebate per STR App from North Shore signed in Dec 2024. </text>
  </threadedComment>
  <threadedComment ref="K16" dT="2024-08-22T16:31:56.91" personId="{F8F19074-21F5-4AA0-BED6-9DFF5BADA732}" id="{D2AA43D8-D2C8-432E-8A33-EF4142B36106}">
    <text>Reserved $, not issued until invoices provided</text>
  </threadedComment>
  <threadedComment ref="N16" dT="2024-08-22T16:30:51.57" personId="{F8F19074-21F5-4AA0-BED6-9DFF5BADA732}" id="{5E5F89F4-8887-41AA-A09A-42A10BDA3D54}">
    <text>2.5 year payback period</text>
  </threadedComment>
  <threadedComment ref="K17" dT="2024-08-22T16:17:20.59" personId="{F8F19074-21F5-4AA0-BED6-9DFF5BADA732}" id="{818064A7-ECC6-492C-87B9-FF25AED5BAF9}">
    <text>Cost of audit and execution.
50K went to vendor to reduce cost of work execution</text>
  </threadedComment>
  <threadedComment ref="L17" dT="2024-08-22T16:22:00.57" personId="{F8F19074-21F5-4AA0-BED6-9DFF5BADA732}" id="{807B2810-DB38-4C09-8B93-881BB7A042C4}">
    <text>81K capital submittal, using 50K from rebate to pay vendor</text>
  </threadedComment>
  <threadedComment ref="A19" dT="2024-11-20T16:58:29.20" personId="{F8F19074-21F5-4AA0-BED6-9DFF5BADA732}" id="{CFA96EDF-3140-46E4-8FC8-D4DD8DC9AC83}">
    <text>5-15 hp agitators, don’t need to be on 24/7. if we turn them off for a period of time can get similar mixing results (1 hour at a time). Program in DCS (deltaV) so instead of on all the time they turn on and off and power cycle and save 90K per year.</text>
  </threadedComment>
  <threadedComment ref="A19" dT="2025-06-16T15:28:42.14" personId="{F8F19074-21F5-4AA0-BED6-9DFF5BADA732}" id="{90ACFA9C-2174-46D8-85F9-B4FACC064DE5}" parentId="{CFA96EDF-3140-46E4-8FC8-D4DD8DC9AC83}">
    <text>Oct 1 2024 install</text>
  </threadedComment>
  <threadedComment ref="J19" dT="2025-06-13T14:36:30.54" personId="{F8F19074-21F5-4AA0-BED6-9DFF5BADA732}" id="{4D53657C-22C6-4779-A6C1-840BA5A99E13}">
    <text>400,000 kWh savings from Jan through June</text>
  </threadedComment>
  <threadedComment ref="A20" dT="2024-08-22T16:23:00.75" personId="{F8F19074-21F5-4AA0-BED6-9DFF5BADA732}" id="{12B17377-FE7F-4836-907D-811070081610}">
    <text>Finishing up in September outage</text>
  </threadedComment>
  <threadedComment ref="M20" dT="2024-08-22T16:24:08.69" personId="{F8F19074-21F5-4AA0-BED6-9DFF5BADA732}" id="{7DBF419C-6CAD-48BA-8702-C8299B58DFC3}">
    <text>81 locations in the plant</text>
  </threadedComment>
  <threadedComment ref="H21" dT="2025-12-15T15:01:57.33" personId="{F8F19074-21F5-4AA0-BED6-9DFF5BADA732}" id="{46A2D733-4811-4F10-9BA7-9174973B3932}">
    <text>Emission Factor = 720 kg CO2e/MWh
0.72 t CO2e/MWh x 55 MWh = 40 tons CO2e</text>
  </threadedComment>
  <threadedComment ref="J21" dT="2025-12-15T15:00:26.23" personId="{F8F19074-21F5-4AA0-BED6-9DFF5BADA732}" id="{87021575-6BA3-4AE0-8D3F-0F38CCDAC768}">
    <text>From Nico Hackel (Leuna site)</text>
  </threadedComment>
  <threadedComment ref="A22" dT="2024-10-10T20:36:38.55" personId="{F8F19074-21F5-4AA0-BED6-9DFF5BADA732}" id="{B15307F7-A096-40B1-BA7B-2845DAC28390}">
    <text>Price per ton of steam is 43.24 EUR</text>
  </threadedComment>
  <threadedComment ref="H22" dT="2025-12-08T14:28:52.76" personId="{F8F19074-21F5-4AA0-BED6-9DFF5BADA732}" id="{4B6974E0-E044-40D0-822F-491CA54372D6}">
    <text>EF per DEFRA
CO2 = 177.91 g/kwh
CH4 = 1.21644 g/kwh
N2O = 0.53235 g/kwh</text>
  </threadedComment>
  <threadedComment ref="H22" dT="2025-12-15T15:01:09.38" personId="{F8F19074-21F5-4AA0-BED6-9DFF5BADA732}" id="{2A488F13-BD09-4153-9FB2-89E5A33DB364}" parentId="{4B6974E0-E044-40D0-822F-491CA54372D6}">
    <text>871 MWh steam x 0.178 t/MWh = 155 t CO2e</text>
  </threadedComment>
  <threadedComment ref="J22" dT="2025-12-15T15:00:09.77" personId="{F8F19074-21F5-4AA0-BED6-9DFF5BADA732}" id="{28B9B009-D5D7-4294-A55D-F517EA823402}">
    <text>1,122 t steam = 871 MWh
(2792.9 kJ/kg
1 kJ = 2.78 x 10^-7 MWh)</text>
  </threadedComment>
  <threadedComment ref="L22" dT="2024-10-10T20:42:19.62" personId="{F8F19074-21F5-4AA0-BED6-9DFF5BADA732}" id="{E418DB22-0AEF-4C7C-8C63-C17338B98670}">
    <text>Convert EUR to USD</text>
  </threadedComment>
  <threadedComment ref="M22" dT="2024-10-10T20:43:03.03" personId="{F8F19074-21F5-4AA0-BED6-9DFF5BADA732}" id="{91F240DB-0CAB-4C36-AF51-D164F1B822D9}">
    <text>Convert EUR to USD</text>
  </threadedComment>
  <threadedComment ref="M22" dT="2025-12-15T13:55:58.17" personId="{F8F19074-21F5-4AA0-BED6-9DFF5BADA732}" id="{772C3DA0-A66D-4D55-9B66-B80B50B7F4D3}" parentId="{91F240DB-0CAB-4C36-AF51-D164F1B822D9}">
    <text>R341-R346 = 46,015 Euro</text>
  </threadedComment>
  <threadedComment ref="F23" dT="2024-08-26T18:41:00.14" personId="{F8F19074-21F5-4AA0-BED6-9DFF5BADA732}" id="{92135D42-48AD-4E86-9973-0CD467A2E3F7}">
    <text>Not an absolute reduction in 2024+ as the project will be an avoidance of 1058 MT CO2e that, if not done, would yield that amount (additional).</text>
  </threadedComment>
  <threadedComment ref="A27" dT="2024-11-20T16:59:57.24" personId="{F8F19074-21F5-4AA0-BED6-9DFF5BADA732}" id="{86BDBA93-C34D-408D-A661-091BDD68D0B8}">
    <text>Reduce maintenance and less water usage by removing scale etc</text>
  </threadedComment>
  <threadedComment ref="A27" dT="2024-11-21T18:15:27.52" personId="{F8F19074-21F5-4AA0-BED6-9DFF5BADA732}" id="{D3E9E547-E5E3-4524-B53E-203659B12778}" parentId="{86BDBA93-C34D-408D-A661-091BDD68D0B8}">
    <text>20 gpm savings</text>
  </threadedComment>
  <threadedComment ref="A30" dT="2025-06-13T17:31:55.76" personId="{F8F19074-21F5-4AA0-BED6-9DFF5BADA732}" id="{34779434-01E6-4FF9-BB93-22444D80D62D}">
    <text xml:space="preserve">Running dry frac crystallizers more efficiently. Don’t need all crystallizers running at all times. Turn them off at lower feed rates. Lowering the VFD set points during different recipe steps. When filling crystallizer with fluid we don’t need. </text>
  </threadedComment>
  <threadedComment ref="A30" dT="2026-02-18T16:22:11.07" personId="{F8F19074-21F5-4AA0-BED6-9DFF5BADA732}" id="{DD4D92B2-254B-47E3-97BA-1BAC0E1549FB}" parentId="{34779434-01E6-4FF9-BB93-22444D80D62D}">
    <text xml:space="preserve">The scrapers running on inside of crystallizers were running at 60%. We found that we could run from 60 to 35% for ⅓ of the time. $10K in electrical savings. 
1. Lowering VFD set point
2. Running at slower rates we don’t need to run all the crystallizers. Always have at least 1 down.
</text>
  </threadedComment>
  <threadedComment ref="A31" dT="2025-06-13T17:27:43.43" personId="{F8F19074-21F5-4AA0-BED6-9DFF5BADA732}" id="{16BCCA45-FECC-40CF-8E03-F90E11618B94}">
    <text>Piping off chillers/dry frac. Piping is not insulated and coming out of chillers at 31 deg fahrenheit...by insulating we could save kWh.
Rebate possibility...can we get a rebate? Pending with Graphet.</text>
  </threadedComment>
  <threadedComment ref="M32" dT="2024-08-26T18:20:21.28" personId="{F8F19074-21F5-4AA0-BED6-9DFF5BADA732}" id="{13F58707-8608-4C18-A0CD-76C1369EE232}">
    <text>Tie to cost of water at the site</text>
  </threadedComment>
  <threadedComment ref="A33" dT="2025-08-29T13:50:37.94" personId="{F8F19074-21F5-4AA0-BED6-9DFF5BADA732}" id="{C4B8A684-884C-42CD-A827-84BB86BF2AAE}">
    <text>Per Alberto note on 8/8/25</text>
  </threadedComment>
  <threadedComment ref="F33" dT="2025-08-29T13:49:29.63" personId="{F8F19074-21F5-4AA0-BED6-9DFF5BADA732}" id="{0E440DD2-7FFC-41AF-BE02-BEBE7A2CFB04}">
    <text>311 kg/MWh per IEA, multiplied by MWh savings</text>
  </threadedComment>
  <threadedComment ref="H33" dT="2025-08-29T13:49:29.63" personId="{F8F19074-21F5-4AA0-BED6-9DFF5BADA732}" id="{A4335206-4A01-45D8-8083-8A50B07FCA58}">
    <text>311 kg/MWh per IEA, multiplied by MWh savings</text>
  </threadedComment>
  <threadedComment ref="F34" dT="2025-08-29T13:57:13.99" personId="{F8F19074-21F5-4AA0-BED6-9DFF5BADA732}" id="{99F263C4-8726-45BF-AD86-24100FDC8EE6}">
    <text>Market based EF = 0.415 metric tons per Mwh in 2024</text>
  </threadedComment>
  <threadedComment ref="H34" dT="2025-08-29T13:57:13.99" personId="{F8F19074-21F5-4AA0-BED6-9DFF5BADA732}" id="{9D4F63C4-BCC3-4879-9229-588BA9DC2454}">
    <text>Market based EF = 0.415 metric tons per Mwh in 2024</text>
  </threadedComment>
  <threadedComment ref="A36" dT="2024-10-30T13:27:54.26" personId="{F8F19074-21F5-4AA0-BED6-9DFF5BADA732}" id="{993F1805-AA0F-40E0-875E-B89D43F81187}">
    <text>Expansion of taurate capacity. By expanding the N-Methyl Taurine capacity and investing in the newest technology, it will also improve energy efficiency by reducing steam consumption by approximately 40% annually, which equals approximately 1,000 MT CO2e per year.</text>
  </threadedComment>
  <threadedComment ref="A36" dT="2025-12-16T16:55:38.51" personId="{F8F19074-21F5-4AA0-BED6-9DFF5BADA732}" id="{646C8BC9-5521-49DB-8056-42E59F368A1A}" parentId="{993F1805-AA0F-40E0-875E-B89D43F81187}">
    <text>Economizer project</text>
  </threadedComment>
  <threadedComment ref="F36" dT="2024-10-10T20:31:13.33" personId="{F8F19074-21F5-4AA0-BED6-9DFF5BADA732}" id="{71F105DC-4E05-449D-9D65-445A270070CE}">
    <text>CO2 MB EF per European Residual Mix 2022 = 684.03 g/kWh</text>
  </threadedComment>
  <threadedComment ref="F36" dT="2025-09-25T16:45:27.59" personId="{F8F19074-21F5-4AA0-BED6-9DFF5BADA732}" id="{E932AE76-4B84-4C01-B255-E6F1B865B4F6}" parentId="{71F105DC-4E05-449D-9D65-445A270070CE}">
    <text>Ajdusted from 1,368 mt co2e to 1,000 (conservative est)</text>
  </threadedComment>
  <threadedComment ref="H36" dT="2024-10-10T20:31:13.33" personId="{F8F19074-21F5-4AA0-BED6-9DFF5BADA732}" id="{877381EA-9F70-419E-AE04-1A570199A35F}">
    <text>CO2 MB EF per European Residual Mix 2022 = 684.03 g/kWh</text>
  </threadedComment>
  <threadedComment ref="H36" dT="2025-09-25T16:45:27.59" personId="{F8F19074-21F5-4AA0-BED6-9DFF5BADA732}" id="{1EF1ED1C-4648-499B-9AE5-CBCA02958D63}" parentId="{877381EA-9F70-419E-AE04-1A570199A35F}">
    <text>Ajdusted from 1,368 mt co2e to 1,000 (conservative est)</text>
  </threadedComment>
  <threadedComment ref="J36" dT="2024-10-10T20:22:15.08" personId="{F8F19074-21F5-4AA0-BED6-9DFF5BADA732}" id="{CACF9252-50C2-4A31-BE93-CF52481190BE}">
    <text>2000/15000 MWh = approx 13% of total electricity use</text>
  </threadedComment>
  <threadedComment ref="M36" dT="2025-12-15T15:36:27.97" personId="{F8F19074-21F5-4AA0-BED6-9DFF5BADA732}" id="{49DC6BE1-D433-4A18-956F-1A77045DB92E}">
    <text>0.3 MM EURO opex savings per presentation from site. This is approx 353,000 USD</text>
  </threadedComment>
  <threadedComment ref="F37" dT="2025-09-25T16:46:14.14" personId="{F8F19074-21F5-4AA0-BED6-9DFF5BADA732}" id="{064F655F-73CB-4A3A-A24C-97E21EE45F3D}">
    <text>Project not submitted and therefore won’t happen in 2025</text>
  </threadedComment>
  <threadedComment ref="H37" dT="2025-09-25T16:46:14.14" personId="{F8F19074-21F5-4AA0-BED6-9DFF5BADA732}" id="{AB5BA4EB-0C5D-4783-8017-5CC26413F7AD}">
    <text>Project not submitted and therefore won’t happen in 2025</text>
  </threadedComment>
  <threadedComment ref="A43" dT="2026-02-18T16:35:02.22" personId="{F8F19074-21F5-4AA0-BED6-9DFF5BADA732}" id="{7B3DE585-1B4E-47F6-A27D-A9FEA078B747}">
    <text>It recirculates water to spray down odor collection, if it gets too hot it doesn’t scrub anything from the system. Manual valve to add more water and it was being used all the time. NOW it’s only opened 1 hour per day. 17 gpm for 23 hours per day.
8.5 MM gallons water saved.</text>
  </threadedComment>
  <threadedComment ref="A44" dT="2026-02-18T16:41:22.82" personId="{F8F19074-21F5-4AA0-BED6-9DFF5BADA732}" id="{9CCD3A9A-0E64-401E-9AB0-E85C85F25DDC}">
    <text>Every time they switch filters, they drop into a spent catalyst bag. The fewer times we do that, the less waste.</text>
  </threadedComment>
  <threadedComment ref="A44" dT="2026-02-18T16:41:37.44" personId="{F8F19074-21F5-4AA0-BED6-9DFF5BADA732}" id="{EAA5C109-934B-4D9E-BF5E-3E011DF83427}" parentId="{9CCD3A9A-0E64-401E-9AB0-E85C85F25DDC}">
    <text>Able to lower IV to CONTI and therefore able to use less. Also following procedure.</text>
  </threadedComment>
  <threadedComment ref="A44" dT="2026-02-18T16:43:04.86" personId="{F8F19074-21F5-4AA0-BED6-9DFF5BADA732}" id="{09893E6F-87AF-4F23-80C3-81ACC7C5060C}" parentId="{9CCD3A9A-0E64-401E-9AB0-E85C85F25DDC}">
    <text>They were switching filters every 12 hours, now it’s as needed. Extended times from 12 hour frequency, now it’s every 23 hours.</text>
  </threadedComment>
  <threadedComment ref="A44" dT="2026-02-18T16:44:24.44" personId="{F8F19074-21F5-4AA0-BED6-9DFF5BADA732}" id="{8C54CD16-666A-4796-A4BD-484FC824C6CA}" parentId="{9CCD3A9A-0E64-401E-9AB0-E85C85F25DDC}">
    <text xml:space="preserve">$65K per year in nitrogen savings. PLUS catalyst purchase and disposal </text>
  </threadedComment>
  <threadedComment ref="A47" dT="2024-11-13T16:46:33.51" personId="{F8F19074-21F5-4AA0-BED6-9DFF5BADA732}" id="{9F649C57-97D0-420A-BB81-37FC4CA18320}">
    <text>Instead of trucking it in we’d have our own</text>
  </threadedComment>
  <threadedComment ref="A48" dT="2024-11-13T16:43:49.28" personId="{F8F19074-21F5-4AA0-BED6-9DFF5BADA732}" id="{DCF46BCC-EA16-47B8-9113-6C858FD31F6F}">
    <text>Deaerator replacement and replace tank</text>
  </threadedComment>
  <threadedComment ref="I57" dT="2025-10-03T14:18:10.85" personId="{F8F19074-21F5-4AA0-BED6-9DFF5BADA732}" id="{B55E4A92-C5EE-4E7F-9DB9-B6E2EB5E8B8C}">
    <text>711 ML estimated</text>
  </threadedComment>
  <threadedComment ref="I58" dT="2025-10-03T14:18:17.81" personId="{F8F19074-21F5-4AA0-BED6-9DFF5BADA732}" id="{61EBECF1-B9DB-489C-9EA2-7334C2604886}">
    <text>711 ML estimated</text>
  </threadedComment>
  <threadedComment ref="H59" dT="2025-12-15T15:34:29.52" personId="{F8F19074-21F5-4AA0-BED6-9DFF5BADA732}" id="{2CE7E248-6CE9-4C2A-AC71-7BD8A98C57E0}">
    <text xml:space="preserve">EF per DEFRA
CO2 = 177.91 g/kwh
CH4 = 1.21644 g/kwh
N2O = 0.53235 g/kwh
</text>
  </threadedComment>
  <threadedComment ref="H59" dT="2025-12-15T15:34:53.82" personId="{F8F19074-21F5-4AA0-BED6-9DFF5BADA732}" id="{51A8BC1A-CC59-4C2B-AC50-6C3B71AC1555}" parentId="{2CE7E248-6CE9-4C2A-AC71-7BD8A98C57E0}">
    <text xml:space="preserve">330 MWh steam x 0.178 t/MWh = 59 t CO2e
</text>
  </threadedComment>
  <threadedComment ref="J59" dT="2025-12-15T15:34:07.21" personId="{F8F19074-21F5-4AA0-BED6-9DFF5BADA732}" id="{EE8D28ED-54C2-4311-BD1E-608F903D4084}">
    <text>33300 MWh steam consumption in 2024. This project will result in approximate 1% reduction in steam use across the operation. This equals approximately 333 MWh steam</text>
  </threadedComment>
  <threadedComment ref="A60" dT="2024-10-10T20:19:04.56" personId="{F8F19074-21F5-4AA0-BED6-9DFF5BADA732}" id="{DC9E59E9-166A-4F24-81F9-99D41BD4723B}">
    <text xml:space="preserve">14000 tons of steam at 23 kT NMT40
Approx 30-35% reduction in steam use across the plant
Steam has a pressure around 15 bar. In this case the steam has an energy value of 2792,9 kJ/ kg. This value in MWh (1 kJ =2,78*10^-7 MWh)
</text>
  </threadedComment>
  <threadedComment ref="A60" dT="2025-12-08T14:38:37.97" personId="{F8F19074-21F5-4AA0-BED6-9DFF5BADA732}" id="{E57B463B-0BC9-4ACF-94E2-8E24C7539190}" parentId="{DC9E59E9-166A-4F24-81F9-99D41BD4723B}">
    <text xml:space="preserve">Unused condensate. 2000 tons steam savings per year. </text>
  </threadedComment>
  <threadedComment ref="F60" dT="2024-10-10T20:32:46.91" personId="{F8F19074-21F5-4AA0-BED6-9DFF5BADA732}" id="{889EE921-B676-4981-972C-1CFC61FD1C0A}">
    <text>EF per DEFRA
CO2 = 177.91 g/kwh
CH4 = 1.21644 g/kwh
N2O = 0.53235 g/kwh</text>
  </threadedComment>
  <threadedComment ref="F60" dT="2025-09-26T14:09:14.48" personId="{F8F19074-21F5-4AA0-BED6-9DFF5BADA732}" id="{BB1290C0-C1BB-481C-95D8-9B7C5E711D37}" parentId="{889EE921-B676-4981-972C-1CFC61FD1C0A}">
    <text>1,951 to 1,500 conservative</text>
  </threadedComment>
  <threadedComment ref="H60" dT="2024-10-10T20:32:46.91" personId="{F8F19074-21F5-4AA0-BED6-9DFF5BADA732}" id="{CA6E88B0-2250-4C47-9A94-671F57557E58}">
    <text>EF per DEFRA
CO2 = 177.91 g/kwh
CH4 = 1.21644 g/kwh
N2O = 0.53235 g/kwh</text>
  </threadedComment>
  <threadedComment ref="H60" dT="2025-12-15T15:23:33.56" personId="{F8F19074-21F5-4AA0-BED6-9DFF5BADA732}" id="{BF964D7A-B302-4C19-AAB9-AD4C05FB79F8}" parentId="{CA6E88B0-2250-4C47-9A94-671F57557E58}">
    <text xml:space="preserve">0.178 t co2e x 1,552 = 276 t co2e
</text>
  </threadedComment>
  <threadedComment ref="J60" dT="2025-12-15T15:23:00.78" personId="{F8F19074-21F5-4AA0-BED6-9DFF5BADA732}" id="{75FB7197-25F1-4C40-8B43-7C10B0B0EB3E}">
    <text>2000 t steam = 1,552 MWh steam</text>
  </threadedComment>
  <threadedComment ref="G61" dT="2025-12-15T15:46:35.09" personId="{F8F19074-21F5-4AA0-BED6-9DFF5BADA732}" id="{B08F07D3-7EC9-478F-9F5D-E1BC93A58538}">
    <text>53.06 kg/MMBTU * 8,478 MMBTU = 450 t CO2e</text>
  </threadedComment>
  <threadedComment ref="J61" dT="2025-12-15T15:43:00.40" personId="{F8F19074-21F5-4AA0-BED6-9DFF5BADA732}" id="{F77E7306-1A7D-4EC7-ACD2-4F821673A947}">
    <text>8,478 MMBtu = 2,483 MWh (natural gas)</text>
  </threadedComment>
  <threadedComment ref="G62" dT="2025-12-15T15:56:37.69" personId="{F8F19074-21F5-4AA0-BED6-9DFF5BADA732}" id="{B74DAF68-E18A-43AD-AEB8-6F473CB3AB97}">
    <text>53.06 kg/MMBTU * 3,260 MMBTU = 173 t CO2e</text>
  </threadedComment>
  <threadedComment ref="M62" dT="2025-12-15T15:53:21.98" personId="{F8F19074-21F5-4AA0-BED6-9DFF5BADA732}" id="{25A93943-AD98-49F1-A9A1-1CB19E268587}">
    <text xml:space="preserve">32,595 therm savings
Approx 45 cents per therm
$14,668/yr </text>
  </threadedComment>
</ThreadedComments>
</file>

<file path=xl/threadedComments/threadedComment3.xml><?xml version="1.0" encoding="utf-8"?>
<ThreadedComments xmlns="http://schemas.microsoft.com/office/spreadsheetml/2018/threadedcomments" xmlns:x="http://schemas.openxmlformats.org/spreadsheetml/2006/main">
  <threadedComment ref="L9" dT="2024-08-09T14:49:50.48" personId="{F8F19074-21F5-4AA0-BED6-9DFF5BADA732}" id="{0EE05B27-0280-46F0-8287-81B1A2B8011E}">
    <text>20% of water consumed in process - Kai Slaasted</text>
  </threadedComment>
  <threadedComment ref="L15" dT="2024-08-09T15:10:35.90" personId="{F8F19074-21F5-4AA0-BED6-9DFF5BADA732}" id="{9EAAA07F-7E94-44F2-9605-8565035CC197}">
    <text>Discharge to NSWD + FRAC Tanks</text>
  </threadedComment>
  <threadedComment ref="I17" dT="2024-08-09T14:37:52.17" personId="{F8F19074-21F5-4AA0-BED6-9DFF5BADA732}" id="{8C108754-E58B-4E49-9C37-4DC89381010F}">
    <text>Water used as a result of  steam condensation (used for production/cleaning)</text>
  </threadedComment>
  <threadedComment ref="L26" dT="2024-08-09T15:38:40.16" personId="{F8F19074-21F5-4AA0-BED6-9DFF5BADA732}" id="{226D3BEC-571E-4348-8092-73EB203E1DE5}">
    <text>70% goes down drain (Amber 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pp.powerbi.com/groups/me/reports/1950d35e-aa0c-4d66-afde-90ee0d4dcfae/ReportSection3177e7525797811312a8?ctid=b57697b3-498a-48ed-bf8d-e8a5f3d8d5dd&amp;experience=power-bi" TargetMode="External"/><Relationship Id="rId1" Type="http://schemas.openxmlformats.org/officeDocument/2006/relationships/pivotTable" Target="../pivotTables/pivotTable1.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4.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hyperlink" Target="https://app.powerbi.com/groups/me/reports/1950d35e-aa0c-4d66-afde-90ee0d4dcfae/ReportSection3177e7525797811312a8?ctid=b57697b3-498a-48ed-bf8d-e8a5f3d8d5dd&amp;experience=power-bi" TargetMode="Externa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6.xml"/><Relationship Id="rId1" Type="http://schemas.openxmlformats.org/officeDocument/2006/relationships/vmlDrawing" Target="../drawings/vmlDrawing3.vm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10.xml"/><Relationship Id="rId1" Type="http://schemas.openxmlformats.org/officeDocument/2006/relationships/vmlDrawing" Target="../drawings/vmlDrawing4.vml"/><Relationship Id="rId4" Type="http://schemas.microsoft.com/office/2017/10/relationships/threadedComment" Target="../threadedComments/threadedComment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40961-9614-4625-9208-2BAC7DC3092C}">
  <dimension ref="A1:F53"/>
  <sheetViews>
    <sheetView zoomScaleNormal="100" workbookViewId="0">
      <selection activeCell="B15" sqref="B15"/>
    </sheetView>
  </sheetViews>
  <sheetFormatPr defaultRowHeight="14.5" x14ac:dyDescent="0.35"/>
  <cols>
    <col min="1" max="1" width="29.81640625" bestFit="1" customWidth="1"/>
    <col min="2" max="2" width="69.7265625" bestFit="1" customWidth="1"/>
    <col min="3" max="3" width="33.26953125" bestFit="1" customWidth="1"/>
  </cols>
  <sheetData>
    <row r="1" spans="1:6" ht="16" x14ac:dyDescent="0.4">
      <c r="A1" s="9" t="s">
        <v>0</v>
      </c>
    </row>
    <row r="3" spans="1:6" x14ac:dyDescent="0.35">
      <c r="A3" t="s">
        <v>1</v>
      </c>
      <c r="B3" t="s">
        <v>2</v>
      </c>
      <c r="C3" t="s">
        <v>3</v>
      </c>
    </row>
    <row r="4" spans="1:6" x14ac:dyDescent="0.35">
      <c r="A4">
        <v>1.22</v>
      </c>
      <c r="B4" s="6" t="s">
        <v>4</v>
      </c>
      <c r="C4" t="s">
        <v>5</v>
      </c>
    </row>
    <row r="5" spans="1:6" x14ac:dyDescent="0.35">
      <c r="A5">
        <v>1.22</v>
      </c>
      <c r="B5" s="6" t="s">
        <v>6</v>
      </c>
      <c r="C5" t="s">
        <v>7</v>
      </c>
    </row>
    <row r="6" spans="1:6" x14ac:dyDescent="0.35">
      <c r="A6">
        <v>1.24</v>
      </c>
      <c r="B6" s="6" t="s">
        <v>8</v>
      </c>
      <c r="C6" t="s">
        <v>9</v>
      </c>
    </row>
    <row r="7" spans="1:6" x14ac:dyDescent="0.35">
      <c r="A7" s="5" t="s">
        <v>10</v>
      </c>
      <c r="B7" s="6" t="s">
        <v>11</v>
      </c>
      <c r="C7" t="s">
        <v>9</v>
      </c>
    </row>
    <row r="8" spans="1:6" ht="43.5" x14ac:dyDescent="0.35">
      <c r="A8">
        <v>2.1</v>
      </c>
      <c r="B8" s="6" t="s">
        <v>12</v>
      </c>
      <c r="C8" t="s">
        <v>7</v>
      </c>
      <c r="F8" t="s">
        <v>13</v>
      </c>
    </row>
    <row r="9" spans="1:6" ht="29" x14ac:dyDescent="0.35">
      <c r="A9">
        <v>2.2000000000000002</v>
      </c>
      <c r="B9" s="6" t="s">
        <v>14</v>
      </c>
      <c r="C9" t="s">
        <v>7</v>
      </c>
    </row>
    <row r="10" spans="1:6" ht="29" x14ac:dyDescent="0.35">
      <c r="A10" s="5" t="s">
        <v>15</v>
      </c>
      <c r="B10" s="6" t="s">
        <v>16</v>
      </c>
      <c r="C10" t="s">
        <v>7</v>
      </c>
    </row>
    <row r="11" spans="1:6" x14ac:dyDescent="0.35">
      <c r="A11">
        <v>2.4</v>
      </c>
      <c r="B11" s="6" t="s">
        <v>17</v>
      </c>
      <c r="C11" t="s">
        <v>18</v>
      </c>
    </row>
    <row r="12" spans="1:6" ht="29" x14ac:dyDescent="0.35">
      <c r="A12" s="5" t="s">
        <v>19</v>
      </c>
      <c r="B12" s="6" t="s">
        <v>20</v>
      </c>
      <c r="C12" t="s">
        <v>21</v>
      </c>
    </row>
    <row r="13" spans="1:6" ht="43.5" x14ac:dyDescent="0.35">
      <c r="A13" s="5" t="s">
        <v>22</v>
      </c>
      <c r="B13" s="6" t="s">
        <v>23</v>
      </c>
      <c r="C13" t="s">
        <v>24</v>
      </c>
    </row>
    <row r="14" spans="1:6" ht="29" x14ac:dyDescent="0.35">
      <c r="A14" s="5" t="s">
        <v>25</v>
      </c>
      <c r="B14" s="6" t="s">
        <v>26</v>
      </c>
      <c r="C14" t="s">
        <v>24</v>
      </c>
    </row>
    <row r="15" spans="1:6" ht="29" x14ac:dyDescent="0.35">
      <c r="A15">
        <v>3.3</v>
      </c>
      <c r="B15" s="6" t="s">
        <v>27</v>
      </c>
      <c r="C15" t="s">
        <v>21</v>
      </c>
    </row>
    <row r="16" spans="1:6" ht="29" x14ac:dyDescent="0.35">
      <c r="A16" s="5" t="s">
        <v>28</v>
      </c>
      <c r="B16" s="6" t="s">
        <v>29</v>
      </c>
      <c r="C16" t="s">
        <v>30</v>
      </c>
    </row>
    <row r="17" spans="1:3" x14ac:dyDescent="0.35">
      <c r="A17">
        <v>4.0999999999999996</v>
      </c>
      <c r="B17" s="6" t="s">
        <v>31</v>
      </c>
      <c r="C17" t="s">
        <v>32</v>
      </c>
    </row>
    <row r="18" spans="1:3" ht="43.5" x14ac:dyDescent="0.35">
      <c r="A18" s="5" t="s">
        <v>33</v>
      </c>
      <c r="B18" s="6" t="s">
        <v>34</v>
      </c>
      <c r="C18" t="s">
        <v>32</v>
      </c>
    </row>
    <row r="19" spans="1:3" x14ac:dyDescent="0.35">
      <c r="A19">
        <v>4.2</v>
      </c>
      <c r="B19" s="6" t="s">
        <v>35</v>
      </c>
      <c r="C19" t="s">
        <v>32</v>
      </c>
    </row>
    <row r="20" spans="1:3" ht="29" x14ac:dyDescent="0.35">
      <c r="A20">
        <v>4.3</v>
      </c>
      <c r="B20" s="6" t="s">
        <v>36</v>
      </c>
      <c r="C20" t="s">
        <v>32</v>
      </c>
    </row>
    <row r="21" spans="1:3" ht="29" x14ac:dyDescent="0.35">
      <c r="A21" s="5" t="s">
        <v>37</v>
      </c>
      <c r="B21" s="6" t="s">
        <v>38</v>
      </c>
      <c r="C21" t="s">
        <v>32</v>
      </c>
    </row>
    <row r="22" spans="1:3" ht="58" x14ac:dyDescent="0.35">
      <c r="A22">
        <v>4.5</v>
      </c>
      <c r="B22" s="6" t="s">
        <v>39</v>
      </c>
      <c r="C22" t="s">
        <v>40</v>
      </c>
    </row>
    <row r="23" spans="1:3" ht="43.5" x14ac:dyDescent="0.35">
      <c r="A23">
        <v>4.1100000000000003</v>
      </c>
      <c r="B23" s="6" t="s">
        <v>41</v>
      </c>
      <c r="C23" t="s">
        <v>32</v>
      </c>
    </row>
    <row r="24" spans="1:3" ht="29" x14ac:dyDescent="0.35">
      <c r="A24">
        <v>4.12</v>
      </c>
      <c r="B24" s="6" t="s">
        <v>42</v>
      </c>
      <c r="C24" t="s">
        <v>32</v>
      </c>
    </row>
    <row r="25" spans="1:3" x14ac:dyDescent="0.35">
      <c r="A25">
        <v>5.0999999999999996</v>
      </c>
      <c r="B25" s="6" t="s">
        <v>43</v>
      </c>
      <c r="C25" t="s">
        <v>7</v>
      </c>
    </row>
    <row r="26" spans="1:3" ht="29" x14ac:dyDescent="0.35">
      <c r="A26">
        <v>5.3</v>
      </c>
      <c r="B26" s="6" t="s">
        <v>44</v>
      </c>
      <c r="C26" t="s">
        <v>7</v>
      </c>
    </row>
    <row r="27" spans="1:3" ht="29" x14ac:dyDescent="0.35">
      <c r="A27" s="5" t="s">
        <v>45</v>
      </c>
      <c r="B27" s="6" t="s">
        <v>46</v>
      </c>
      <c r="C27" t="s">
        <v>7</v>
      </c>
    </row>
    <row r="28" spans="1:3" ht="29" x14ac:dyDescent="0.35">
      <c r="A28" s="5">
        <v>5.4</v>
      </c>
      <c r="B28" s="6" t="s">
        <v>47</v>
      </c>
      <c r="C28" t="s">
        <v>24</v>
      </c>
    </row>
    <row r="29" spans="1:3" ht="29" x14ac:dyDescent="0.35">
      <c r="A29" s="5">
        <v>5.5</v>
      </c>
      <c r="B29" s="6" t="s">
        <v>48</v>
      </c>
      <c r="C29" t="s">
        <v>49</v>
      </c>
    </row>
    <row r="30" spans="1:3" ht="29" x14ac:dyDescent="0.35">
      <c r="A30" s="5" t="s">
        <v>50</v>
      </c>
      <c r="B30" s="6" t="s">
        <v>51</v>
      </c>
      <c r="C30" t="s">
        <v>49</v>
      </c>
    </row>
    <row r="31" spans="1:3" ht="43.5" x14ac:dyDescent="0.35">
      <c r="A31">
        <v>5.9</v>
      </c>
      <c r="B31" s="6" t="s">
        <v>52</v>
      </c>
      <c r="C31" t="s">
        <v>24</v>
      </c>
    </row>
    <row r="32" spans="1:3" x14ac:dyDescent="0.35">
      <c r="A32" s="5">
        <v>7.29</v>
      </c>
      <c r="B32" s="6" t="s">
        <v>53</v>
      </c>
      <c r="C32" t="s">
        <v>24</v>
      </c>
    </row>
    <row r="33" spans="1:3" ht="43.5" x14ac:dyDescent="0.35">
      <c r="A33">
        <v>7.39</v>
      </c>
      <c r="B33" s="6" t="s">
        <v>54</v>
      </c>
      <c r="C33" t="s">
        <v>24</v>
      </c>
    </row>
    <row r="34" spans="1:3" x14ac:dyDescent="0.35">
      <c r="B34" s="6"/>
    </row>
    <row r="35" spans="1:3" x14ac:dyDescent="0.35">
      <c r="B35" s="6"/>
    </row>
    <row r="36" spans="1:3" x14ac:dyDescent="0.35">
      <c r="B36" s="6"/>
    </row>
    <row r="37" spans="1:3" x14ac:dyDescent="0.35">
      <c r="B37" s="6"/>
    </row>
    <row r="38" spans="1:3" x14ac:dyDescent="0.35">
      <c r="B38" s="6"/>
    </row>
    <row r="39" spans="1:3" x14ac:dyDescent="0.35">
      <c r="B39" s="6"/>
    </row>
    <row r="40" spans="1:3" x14ac:dyDescent="0.35">
      <c r="B40" s="6"/>
    </row>
    <row r="41" spans="1:3" x14ac:dyDescent="0.35">
      <c r="B41" s="6"/>
    </row>
    <row r="42" spans="1:3" x14ac:dyDescent="0.35">
      <c r="B42" s="6"/>
    </row>
    <row r="43" spans="1:3" x14ac:dyDescent="0.35">
      <c r="B43" s="6"/>
    </row>
    <row r="44" spans="1:3" x14ac:dyDescent="0.35">
      <c r="B44" s="6"/>
    </row>
    <row r="45" spans="1:3" x14ac:dyDescent="0.35">
      <c r="B45" s="6"/>
    </row>
    <row r="46" spans="1:3" x14ac:dyDescent="0.35">
      <c r="B46" s="6"/>
    </row>
    <row r="47" spans="1:3" x14ac:dyDescent="0.35">
      <c r="B47" s="6"/>
    </row>
    <row r="48" spans="1:3" x14ac:dyDescent="0.35">
      <c r="A48">
        <v>8.5</v>
      </c>
      <c r="B48" s="6" t="s">
        <v>55</v>
      </c>
    </row>
    <row r="49" spans="2:2" x14ac:dyDescent="0.35">
      <c r="B49" s="6"/>
    </row>
    <row r="50" spans="2:2" x14ac:dyDescent="0.35">
      <c r="B50" s="6"/>
    </row>
    <row r="51" spans="2:2" x14ac:dyDescent="0.35">
      <c r="B51" s="6"/>
    </row>
    <row r="52" spans="2:2" x14ac:dyDescent="0.35">
      <c r="B52" s="6"/>
    </row>
    <row r="53" spans="2:2" x14ac:dyDescent="0.35">
      <c r="B53" s="6"/>
    </row>
  </sheetData>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EB6F6-CD47-4253-81C7-7A5B5E4CBBDD}">
  <sheetPr>
    <tabColor rgb="FFFFFF00"/>
  </sheetPr>
  <dimension ref="A1:E31"/>
  <sheetViews>
    <sheetView topLeftCell="A3" zoomScale="90" zoomScaleNormal="90" workbookViewId="0">
      <selection activeCell="D8" sqref="D8"/>
    </sheetView>
  </sheetViews>
  <sheetFormatPr defaultRowHeight="14.5" x14ac:dyDescent="0.35"/>
  <cols>
    <col min="1" max="1" width="10" customWidth="1"/>
    <col min="2" max="2" width="13" customWidth="1"/>
    <col min="3" max="3" width="18.26953125" customWidth="1"/>
    <col min="4" max="4" width="86.54296875" customWidth="1"/>
    <col min="5" max="5" width="153.54296875" customWidth="1"/>
  </cols>
  <sheetData>
    <row r="1" spans="1:5" ht="21" x14ac:dyDescent="0.5">
      <c r="A1" s="12" t="s">
        <v>56</v>
      </c>
    </row>
    <row r="3" spans="1:5" ht="29" x14ac:dyDescent="0.35">
      <c r="A3" t="s">
        <v>57</v>
      </c>
      <c r="B3" s="6" t="s">
        <v>1</v>
      </c>
      <c r="C3" s="6" t="s">
        <v>58</v>
      </c>
      <c r="D3" t="s">
        <v>59</v>
      </c>
      <c r="E3" t="s">
        <v>60</v>
      </c>
    </row>
    <row r="4" spans="1:5" ht="43.5" x14ac:dyDescent="0.35">
      <c r="A4" s="13">
        <v>1</v>
      </c>
      <c r="B4" s="14">
        <v>1.6</v>
      </c>
      <c r="C4" s="13" t="s">
        <v>61</v>
      </c>
      <c r="D4" s="15" t="s">
        <v>62</v>
      </c>
      <c r="E4" s="15" t="s">
        <v>63</v>
      </c>
    </row>
    <row r="5" spans="1:5" ht="43.5" x14ac:dyDescent="0.35">
      <c r="A5" s="13">
        <v>1</v>
      </c>
      <c r="B5" s="14">
        <v>1.22</v>
      </c>
      <c r="C5" s="13" t="s">
        <v>61</v>
      </c>
      <c r="D5" s="15" t="s">
        <v>64</v>
      </c>
      <c r="E5" s="15" t="s">
        <v>65</v>
      </c>
    </row>
    <row r="6" spans="1:5" ht="50.25" customHeight="1" x14ac:dyDescent="0.35">
      <c r="A6" s="13">
        <v>1</v>
      </c>
      <c r="B6" s="14">
        <v>1.22</v>
      </c>
      <c r="C6" s="13" t="s">
        <v>61</v>
      </c>
      <c r="D6" s="15" t="s">
        <v>66</v>
      </c>
      <c r="E6" s="15"/>
    </row>
    <row r="7" spans="1:5" ht="72.5" x14ac:dyDescent="0.35">
      <c r="A7" s="17">
        <v>2</v>
      </c>
      <c r="B7" s="18">
        <v>2.1</v>
      </c>
      <c r="C7" s="17" t="s">
        <v>67</v>
      </c>
      <c r="D7" s="19" t="s">
        <v>12</v>
      </c>
      <c r="E7" s="19" t="s">
        <v>68</v>
      </c>
    </row>
    <row r="8" spans="1:5" ht="174" x14ac:dyDescent="0.35">
      <c r="A8" s="17">
        <v>2</v>
      </c>
      <c r="B8" s="18">
        <v>2.4</v>
      </c>
      <c r="C8" s="17" t="s">
        <v>67</v>
      </c>
      <c r="D8" s="19" t="s">
        <v>17</v>
      </c>
      <c r="E8" s="19" t="s">
        <v>69</v>
      </c>
    </row>
    <row r="9" spans="1:5" ht="217.5" x14ac:dyDescent="0.35">
      <c r="A9" s="13">
        <v>3</v>
      </c>
      <c r="B9" s="14" t="s">
        <v>22</v>
      </c>
      <c r="C9" s="13" t="s">
        <v>61</v>
      </c>
      <c r="D9" s="15" t="s">
        <v>23</v>
      </c>
      <c r="E9" s="15" t="s">
        <v>70</v>
      </c>
    </row>
    <row r="10" spans="1:5" ht="261" x14ac:dyDescent="0.35">
      <c r="A10" s="13">
        <v>3</v>
      </c>
      <c r="B10" s="14" t="s">
        <v>25</v>
      </c>
      <c r="C10" s="13" t="s">
        <v>61</v>
      </c>
      <c r="D10" s="15" t="s">
        <v>23</v>
      </c>
      <c r="E10" s="16" t="s">
        <v>71</v>
      </c>
    </row>
    <row r="11" spans="1:5" ht="29" x14ac:dyDescent="0.35">
      <c r="A11" s="13">
        <v>3</v>
      </c>
      <c r="B11" s="14">
        <v>3.2</v>
      </c>
      <c r="C11" s="13" t="s">
        <v>61</v>
      </c>
      <c r="D11" s="48" t="s">
        <v>72</v>
      </c>
      <c r="E11" s="15" t="s">
        <v>73</v>
      </c>
    </row>
    <row r="12" spans="1:5" ht="29" x14ac:dyDescent="0.35">
      <c r="A12" s="13">
        <v>3</v>
      </c>
      <c r="B12" s="14" t="s">
        <v>28</v>
      </c>
      <c r="C12" s="13" t="s">
        <v>61</v>
      </c>
      <c r="D12" s="15" t="s">
        <v>74</v>
      </c>
      <c r="E12" s="15"/>
    </row>
    <row r="13" spans="1:5" ht="246.5" x14ac:dyDescent="0.35">
      <c r="A13" s="13">
        <v>3</v>
      </c>
      <c r="B13" s="14" t="s">
        <v>75</v>
      </c>
      <c r="C13" s="13" t="s">
        <v>61</v>
      </c>
      <c r="D13" s="48" t="s">
        <v>76</v>
      </c>
      <c r="E13" s="15" t="s">
        <v>77</v>
      </c>
    </row>
    <row r="14" spans="1:5" ht="29" x14ac:dyDescent="0.35">
      <c r="A14" s="13">
        <v>4</v>
      </c>
      <c r="B14" s="14">
        <v>4.0999999999999996</v>
      </c>
      <c r="C14" s="13" t="s">
        <v>61</v>
      </c>
      <c r="D14" s="15" t="s">
        <v>78</v>
      </c>
      <c r="E14" s="15" t="s">
        <v>79</v>
      </c>
    </row>
    <row r="15" spans="1:5" x14ac:dyDescent="0.35">
      <c r="A15" s="13">
        <v>5</v>
      </c>
      <c r="B15" s="14" t="s">
        <v>50</v>
      </c>
      <c r="C15" s="13" t="s">
        <v>61</v>
      </c>
      <c r="D15" s="48" t="s">
        <v>80</v>
      </c>
      <c r="E15" s="15" t="s">
        <v>81</v>
      </c>
    </row>
    <row r="16" spans="1:5" ht="29" x14ac:dyDescent="0.35">
      <c r="A16" s="13">
        <v>5</v>
      </c>
      <c r="B16" s="14" t="s">
        <v>82</v>
      </c>
      <c r="C16" s="13" t="s">
        <v>61</v>
      </c>
      <c r="D16" s="15" t="s">
        <v>83</v>
      </c>
      <c r="E16" s="15" t="s">
        <v>84</v>
      </c>
    </row>
    <row r="17" spans="1:5" x14ac:dyDescent="0.35">
      <c r="A17" s="13">
        <v>7</v>
      </c>
      <c r="B17" s="14">
        <v>7.29</v>
      </c>
      <c r="C17" s="13" t="s">
        <v>61</v>
      </c>
      <c r="D17" s="48" t="s">
        <v>53</v>
      </c>
      <c r="E17" s="15" t="s">
        <v>85</v>
      </c>
    </row>
    <row r="18" spans="1:5" ht="29" x14ac:dyDescent="0.35">
      <c r="A18" s="13">
        <v>7</v>
      </c>
      <c r="B18" s="14" t="s">
        <v>86</v>
      </c>
      <c r="C18" s="13" t="s">
        <v>61</v>
      </c>
      <c r="D18" s="15" t="s">
        <v>87</v>
      </c>
      <c r="E18" s="15"/>
    </row>
    <row r="19" spans="1:5" ht="29" x14ac:dyDescent="0.35">
      <c r="A19" s="13">
        <v>7</v>
      </c>
      <c r="B19" s="14">
        <v>7.45</v>
      </c>
      <c r="C19" s="13" t="s">
        <v>61</v>
      </c>
      <c r="D19" s="15" t="s">
        <v>88</v>
      </c>
      <c r="E19" s="15" t="s">
        <v>89</v>
      </c>
    </row>
    <row r="20" spans="1:5" ht="43.5" x14ac:dyDescent="0.35">
      <c r="A20" s="17">
        <v>8</v>
      </c>
      <c r="B20" s="18">
        <v>8.1999999999999993</v>
      </c>
      <c r="C20" s="17" t="s">
        <v>67</v>
      </c>
      <c r="D20" s="19" t="s">
        <v>90</v>
      </c>
      <c r="E20" s="19" t="s">
        <v>91</v>
      </c>
    </row>
    <row r="21" spans="1:5" ht="43.5" x14ac:dyDescent="0.35">
      <c r="A21" s="13">
        <v>8</v>
      </c>
      <c r="B21" s="14">
        <v>8.5</v>
      </c>
      <c r="C21" s="13" t="s">
        <v>61</v>
      </c>
      <c r="D21" s="15" t="s">
        <v>92</v>
      </c>
      <c r="E21" s="15" t="s">
        <v>93</v>
      </c>
    </row>
    <row r="22" spans="1:5" x14ac:dyDescent="0.35">
      <c r="D22" s="6"/>
      <c r="E22" s="6"/>
    </row>
    <row r="23" spans="1:5" x14ac:dyDescent="0.35">
      <c r="D23" s="6"/>
      <c r="E23" s="6"/>
    </row>
    <row r="24" spans="1:5" x14ac:dyDescent="0.35">
      <c r="D24" s="6"/>
      <c r="E24" s="6"/>
    </row>
    <row r="25" spans="1:5" x14ac:dyDescent="0.35">
      <c r="D25" s="6"/>
      <c r="E25" s="6"/>
    </row>
    <row r="26" spans="1:5" x14ac:dyDescent="0.35">
      <c r="D26" s="6"/>
      <c r="E26" s="6"/>
    </row>
    <row r="27" spans="1:5" x14ac:dyDescent="0.35">
      <c r="D27" s="6"/>
      <c r="E27" s="6"/>
    </row>
    <row r="28" spans="1:5" x14ac:dyDescent="0.35">
      <c r="D28" s="6"/>
      <c r="E28" s="6"/>
    </row>
    <row r="29" spans="1:5" x14ac:dyDescent="0.35">
      <c r="D29" s="6"/>
      <c r="E29" s="6"/>
    </row>
    <row r="30" spans="1:5" x14ac:dyDescent="0.35">
      <c r="D30" s="6"/>
      <c r="E30" s="6"/>
    </row>
    <row r="31" spans="1:5" x14ac:dyDescent="0.35">
      <c r="D31" s="6"/>
      <c r="E31" s="6"/>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D5C26-889E-4037-814E-E3AAA98EFE4B}">
  <dimension ref="A1:H311"/>
  <sheetViews>
    <sheetView topLeftCell="A176" workbookViewId="0">
      <selection activeCell="D236" sqref="D236"/>
    </sheetView>
  </sheetViews>
  <sheetFormatPr defaultColWidth="9.1796875" defaultRowHeight="14.5" x14ac:dyDescent="0.35"/>
  <cols>
    <col min="1" max="1" width="13.453125" style="103" bestFit="1" customWidth="1"/>
    <col min="2" max="2" width="18.26953125" style="103" bestFit="1" customWidth="1"/>
    <col min="3" max="3" width="17.26953125" style="103" customWidth="1"/>
    <col min="4" max="4" width="14.453125" style="103" customWidth="1"/>
    <col min="5" max="5" width="13.54296875" style="122" bestFit="1" customWidth="1"/>
    <col min="6" max="16384" width="9.1796875" style="103"/>
  </cols>
  <sheetData>
    <row r="1" spans="1:8" x14ac:dyDescent="0.35">
      <c r="A1" s="107" t="s">
        <v>94</v>
      </c>
      <c r="B1" s="107" t="s">
        <v>95</v>
      </c>
      <c r="C1" s="107" t="s">
        <v>96</v>
      </c>
      <c r="D1" s="108" t="s">
        <v>97</v>
      </c>
      <c r="E1" s="121" t="s">
        <v>98</v>
      </c>
      <c r="H1" s="4" t="s">
        <v>99</v>
      </c>
    </row>
    <row r="2" spans="1:8" x14ac:dyDescent="0.35">
      <c r="A2" s="106" t="s">
        <v>100</v>
      </c>
      <c r="B2" s="104" t="s">
        <v>100</v>
      </c>
      <c r="C2" s="105">
        <v>9.6470000000000002</v>
      </c>
      <c r="D2" s="103">
        <f>Table114[[#This Row],[Total Volume (k)]]*1000</f>
        <v>9647</v>
      </c>
      <c r="E2" s="180">
        <f>Table114[[#This Row],[lbs]]*0.000453592</f>
        <v>4.3758020240000004</v>
      </c>
      <c r="H2" s="1"/>
    </row>
    <row r="3" spans="1:8" x14ac:dyDescent="0.35">
      <c r="A3" s="106" t="s">
        <v>100</v>
      </c>
      <c r="B3" s="104" t="s">
        <v>100</v>
      </c>
      <c r="C3" s="105">
        <v>2.04</v>
      </c>
      <c r="D3" s="103">
        <f>Table114[[#This Row],[Total Volume (k)]]*1000</f>
        <v>2040</v>
      </c>
      <c r="E3" s="180">
        <f>Table114[[#This Row],[lbs]]*0.000453592</f>
        <v>0.92532767999999999</v>
      </c>
      <c r="H3" s="181" t="s">
        <v>101</v>
      </c>
    </row>
    <row r="4" spans="1:8" x14ac:dyDescent="0.35">
      <c r="A4" s="106" t="s">
        <v>102</v>
      </c>
      <c r="B4" s="104" t="s">
        <v>102</v>
      </c>
      <c r="C4" s="105">
        <v>27.072733599999996</v>
      </c>
      <c r="D4" s="103">
        <f>Table114[[#This Row],[Total Volume (k)]]*1000</f>
        <v>27072.733599999996</v>
      </c>
      <c r="E4" s="180">
        <f>Table114[[#This Row],[lbs]]*0.000453592</f>
        <v>12.279975379091198</v>
      </c>
      <c r="H4" s="182" t="s">
        <v>103</v>
      </c>
    </row>
    <row r="5" spans="1:8" x14ac:dyDescent="0.35">
      <c r="A5" s="106" t="s">
        <v>102</v>
      </c>
      <c r="B5" s="104" t="s">
        <v>104</v>
      </c>
      <c r="C5" s="105">
        <v>16.484866499999995</v>
      </c>
      <c r="D5" s="103">
        <f>Table114[[#This Row],[Total Volume (k)]]*1000</f>
        <v>16484.866499999996</v>
      </c>
      <c r="E5" s="180">
        <f>Table114[[#This Row],[lbs]]*0.000453592</f>
        <v>7.4774035654679984</v>
      </c>
      <c r="H5" s="183" t="s">
        <v>105</v>
      </c>
    </row>
    <row r="6" spans="1:8" x14ac:dyDescent="0.35">
      <c r="A6" s="106" t="s">
        <v>102</v>
      </c>
      <c r="B6" s="104" t="s">
        <v>102</v>
      </c>
      <c r="C6" s="105">
        <v>134.51816826059999</v>
      </c>
      <c r="D6" s="103">
        <f>Table114[[#This Row],[Total Volume (k)]]*1000</f>
        <v>134518.16826059998</v>
      </c>
      <c r="E6" s="180">
        <f>Table114[[#This Row],[lbs]]*0.000453592</f>
        <v>61.016364977662064</v>
      </c>
    </row>
    <row r="7" spans="1:8" x14ac:dyDescent="0.35">
      <c r="A7" s="106" t="s">
        <v>102</v>
      </c>
      <c r="B7" s="104" t="s">
        <v>106</v>
      </c>
      <c r="C7" s="105">
        <v>56.142007034399995</v>
      </c>
      <c r="D7" s="103">
        <f>Table114[[#This Row],[Total Volume (k)]]*1000</f>
        <v>56142.007034399998</v>
      </c>
      <c r="E7" s="180">
        <f>Table114[[#This Row],[lbs]]*0.000453592</f>
        <v>25.465565254747563</v>
      </c>
    </row>
    <row r="8" spans="1:8" x14ac:dyDescent="0.35">
      <c r="A8" s="106" t="s">
        <v>102</v>
      </c>
      <c r="B8" s="104" t="s">
        <v>107</v>
      </c>
      <c r="C8" s="105">
        <v>54.002000781600003</v>
      </c>
      <c r="D8" s="103">
        <f>Table114[[#This Row],[Total Volume (k)]]*1000</f>
        <v>54002.0007816</v>
      </c>
      <c r="E8" s="180">
        <f>Table114[[#This Row],[lbs]]*0.000453592</f>
        <v>24.494875538527506</v>
      </c>
    </row>
    <row r="9" spans="1:8" x14ac:dyDescent="0.35">
      <c r="A9" s="106" t="s">
        <v>102</v>
      </c>
      <c r="B9" s="104" t="s">
        <v>108</v>
      </c>
      <c r="C9" s="105">
        <v>0.90400000000000003</v>
      </c>
      <c r="D9" s="103">
        <f>Table114[[#This Row],[Total Volume (k)]]*1000</f>
        <v>904</v>
      </c>
      <c r="E9" s="180">
        <f>Table114[[#This Row],[lbs]]*0.000453592</f>
        <v>0.41004716800000002</v>
      </c>
    </row>
    <row r="10" spans="1:8" x14ac:dyDescent="0.35">
      <c r="A10" s="106" t="s">
        <v>109</v>
      </c>
      <c r="B10" s="104" t="s">
        <v>110</v>
      </c>
      <c r="C10" s="105">
        <v>24.784030839999996</v>
      </c>
      <c r="D10" s="103">
        <f>Table114[[#This Row],[Total Volume (k)]]*1000</f>
        <v>24784.030839999996</v>
      </c>
      <c r="E10" s="180">
        <f>Table114[[#This Row],[lbs]]*0.000453592</f>
        <v>11.241838116777279</v>
      </c>
    </row>
    <row r="11" spans="1:8" x14ac:dyDescent="0.35">
      <c r="A11" s="106" t="s">
        <v>111</v>
      </c>
      <c r="B11" s="104" t="s">
        <v>111</v>
      </c>
      <c r="C11" s="105">
        <v>81.394570399999992</v>
      </c>
      <c r="D11" s="103">
        <f>Table114[[#This Row],[Total Volume (k)]]*1000</f>
        <v>81394.570399999997</v>
      </c>
      <c r="E11" s="180">
        <f>Table114[[#This Row],[lbs]]*0.000453592</f>
        <v>36.919925976876797</v>
      </c>
    </row>
    <row r="12" spans="1:8" x14ac:dyDescent="0.35">
      <c r="A12" s="106" t="s">
        <v>112</v>
      </c>
      <c r="B12" s="104" t="s">
        <v>113</v>
      </c>
      <c r="C12" s="105">
        <v>4850.745640000001</v>
      </c>
      <c r="D12" s="103">
        <f>Table114[[#This Row],[Total Volume (k)]]*1000</f>
        <v>4850745.6400000006</v>
      </c>
      <c r="E12" s="180">
        <f>Table114[[#This Row],[lbs]]*0.000453592</f>
        <v>2200.2594163388803</v>
      </c>
    </row>
    <row r="13" spans="1:8" x14ac:dyDescent="0.35">
      <c r="A13" s="106" t="s">
        <v>112</v>
      </c>
      <c r="B13" s="104" t="s">
        <v>114</v>
      </c>
      <c r="C13" s="105">
        <v>201.03532452799999</v>
      </c>
      <c r="D13" s="103">
        <f>Table114[[#This Row],[Total Volume (k)]]*1000</f>
        <v>201035.324528</v>
      </c>
      <c r="E13" s="180">
        <f>Table114[[#This Row],[lbs]]*0.000453592</f>
        <v>91.188014923304578</v>
      </c>
    </row>
    <row r="14" spans="1:8" x14ac:dyDescent="0.35">
      <c r="A14" s="106" t="s">
        <v>112</v>
      </c>
      <c r="B14" s="104" t="s">
        <v>112</v>
      </c>
      <c r="C14" s="105">
        <v>76.661049823870584</v>
      </c>
      <c r="D14" s="103">
        <f>Table114[[#This Row],[Total Volume (k)]]*1000</f>
        <v>76661.049823870591</v>
      </c>
      <c r="E14" s="180">
        <f>Table114[[#This Row],[lbs]]*0.000453592</f>
        <v>34.772838911709108</v>
      </c>
    </row>
    <row r="15" spans="1:8" x14ac:dyDescent="0.35">
      <c r="A15" s="106" t="s">
        <v>112</v>
      </c>
      <c r="B15" s="104" t="s">
        <v>115</v>
      </c>
      <c r="C15" s="105">
        <v>51.7418141064</v>
      </c>
      <c r="D15" s="103">
        <f>Table114[[#This Row],[Total Volume (k)]]*1000</f>
        <v>51741.814106400001</v>
      </c>
      <c r="E15" s="180">
        <f>Table114[[#This Row],[lbs]]*0.000453592</f>
        <v>23.46967294415019</v>
      </c>
    </row>
    <row r="16" spans="1:8" x14ac:dyDescent="0.35">
      <c r="A16" s="106" t="s">
        <v>112</v>
      </c>
      <c r="B16" s="104" t="s">
        <v>116</v>
      </c>
      <c r="C16" s="105">
        <v>14.988604530276</v>
      </c>
      <c r="D16" s="103">
        <f>Table114[[#This Row],[Total Volume (k)]]*1000</f>
        <v>14988.604530275999</v>
      </c>
      <c r="E16" s="180">
        <f>Table114[[#This Row],[lbs]]*0.000453592</f>
        <v>6.7987111060969516</v>
      </c>
    </row>
    <row r="17" spans="1:5" x14ac:dyDescent="0.35">
      <c r="A17" s="106" t="s">
        <v>112</v>
      </c>
      <c r="B17" s="104" t="s">
        <v>112</v>
      </c>
      <c r="C17" s="105">
        <v>31.922999999999998</v>
      </c>
      <c r="D17" s="103">
        <f>Table114[[#This Row],[Total Volume (k)]]*1000</f>
        <v>31923</v>
      </c>
      <c r="E17" s="180">
        <f>Table114[[#This Row],[lbs]]*0.000453592</f>
        <v>14.480017416000001</v>
      </c>
    </row>
    <row r="18" spans="1:5" x14ac:dyDescent="0.35">
      <c r="A18" s="106" t="s">
        <v>112</v>
      </c>
      <c r="B18" s="104" t="s">
        <v>112</v>
      </c>
      <c r="C18" s="105">
        <v>103.45151773839997</v>
      </c>
      <c r="D18" s="103">
        <f>Table114[[#This Row],[Total Volume (k)]]*1000</f>
        <v>103451.51773839997</v>
      </c>
      <c r="E18" s="180">
        <f>Table114[[#This Row],[lbs]]*0.000453592</f>
        <v>46.924780833996316</v>
      </c>
    </row>
    <row r="19" spans="1:5" x14ac:dyDescent="0.35">
      <c r="A19" s="106" t="s">
        <v>117</v>
      </c>
      <c r="B19" s="104" t="s">
        <v>118</v>
      </c>
      <c r="C19" s="105">
        <v>273.81260999999995</v>
      </c>
      <c r="D19" s="103">
        <f>Table114[[#This Row],[Total Volume (k)]]*1000</f>
        <v>273812.60999999993</v>
      </c>
      <c r="E19" s="180">
        <f>Table114[[#This Row],[lbs]]*0.000453592</f>
        <v>124.19920939511996</v>
      </c>
    </row>
    <row r="20" spans="1:5" x14ac:dyDescent="0.35">
      <c r="A20" s="106" t="s">
        <v>119</v>
      </c>
      <c r="B20" s="104" t="s">
        <v>120</v>
      </c>
      <c r="C20" s="105">
        <v>555.57017400000007</v>
      </c>
      <c r="D20" s="103">
        <f>Table114[[#This Row],[Total Volume (k)]]*1000</f>
        <v>555570.17400000012</v>
      </c>
      <c r="E20" s="180">
        <f>Table114[[#This Row],[lbs]]*0.000453592</f>
        <v>252.00218636500804</v>
      </c>
    </row>
    <row r="21" spans="1:5" x14ac:dyDescent="0.35">
      <c r="A21" s="106" t="s">
        <v>119</v>
      </c>
      <c r="B21" s="104" t="s">
        <v>119</v>
      </c>
      <c r="C21" s="105">
        <v>388.57240000000002</v>
      </c>
      <c r="D21" s="103">
        <f>Table114[[#This Row],[Total Volume (k)]]*1000</f>
        <v>388572.4</v>
      </c>
      <c r="E21" s="180">
        <f>Table114[[#This Row],[lbs]]*0.000453592</f>
        <v>176.25333206080001</v>
      </c>
    </row>
    <row r="22" spans="1:5" x14ac:dyDescent="0.35">
      <c r="A22" s="106" t="s">
        <v>121</v>
      </c>
      <c r="B22" s="104" t="s">
        <v>122</v>
      </c>
      <c r="C22" s="105">
        <v>26.984548799999995</v>
      </c>
      <c r="D22" s="103">
        <f>Table114[[#This Row],[Total Volume (k)]]*1000</f>
        <v>26984.548799999997</v>
      </c>
      <c r="E22" s="180">
        <f>Table114[[#This Row],[lbs]]*0.000453592</f>
        <v>12.2399754592896</v>
      </c>
    </row>
    <row r="23" spans="1:5" x14ac:dyDescent="0.35">
      <c r="A23" s="106" t="s">
        <v>123</v>
      </c>
      <c r="B23" s="104" t="s">
        <v>124</v>
      </c>
      <c r="C23" s="105">
        <v>1275.1417294411399</v>
      </c>
      <c r="D23" s="103">
        <f>Table114[[#This Row],[Total Volume (k)]]*1000</f>
        <v>1275141.7294411398</v>
      </c>
      <c r="E23" s="180">
        <f>Table114[[#This Row],[lbs]]*0.000453592</f>
        <v>578.39408734066546</v>
      </c>
    </row>
    <row r="24" spans="1:5" x14ac:dyDescent="0.35">
      <c r="A24" s="106" t="s">
        <v>125</v>
      </c>
      <c r="B24" s="104" t="s">
        <v>126</v>
      </c>
      <c r="C24" s="105">
        <v>99.47245439999999</v>
      </c>
      <c r="D24" s="103">
        <f>Table114[[#This Row],[Total Volume (k)]]*1000</f>
        <v>99472.454399999988</v>
      </c>
      <c r="E24" s="180">
        <f>Table114[[#This Row],[lbs]]*0.000453592</f>
        <v>45.119909536204794</v>
      </c>
    </row>
    <row r="25" spans="1:5" x14ac:dyDescent="0.35">
      <c r="A25" s="106" t="s">
        <v>127</v>
      </c>
      <c r="B25" s="104" t="s">
        <v>128</v>
      </c>
      <c r="C25" s="105">
        <v>49.724101789999992</v>
      </c>
      <c r="D25" s="103">
        <f>Table114[[#This Row],[Total Volume (k)]]*1000</f>
        <v>49724.101789999993</v>
      </c>
      <c r="E25" s="180">
        <f>Table114[[#This Row],[lbs]]*0.000453592</f>
        <v>22.554454779129678</v>
      </c>
    </row>
    <row r="26" spans="1:5" x14ac:dyDescent="0.35">
      <c r="A26" s="106" t="s">
        <v>129</v>
      </c>
      <c r="B26" s="104" t="s">
        <v>130</v>
      </c>
      <c r="C26" s="105">
        <v>34.259794799999995</v>
      </c>
      <c r="D26" s="103">
        <f>Table114[[#This Row],[Total Volume (k)]]*1000</f>
        <v>34259.794799999996</v>
      </c>
      <c r="E26" s="180">
        <f>Table114[[#This Row],[lbs]]*0.000453592</f>
        <v>15.539968842921599</v>
      </c>
    </row>
    <row r="27" spans="1:5" x14ac:dyDescent="0.35">
      <c r="A27" s="106" t="s">
        <v>131</v>
      </c>
      <c r="B27" s="104" t="s">
        <v>132</v>
      </c>
      <c r="C27" s="105">
        <v>391.89325119999995</v>
      </c>
      <c r="D27" s="103">
        <f>Table114[[#This Row],[Total Volume (k)]]*1000</f>
        <v>391893.25119999994</v>
      </c>
      <c r="E27" s="180">
        <f>Table114[[#This Row],[lbs]]*0.000453592</f>
        <v>177.75964359831036</v>
      </c>
    </row>
    <row r="28" spans="1:5" x14ac:dyDescent="0.35">
      <c r="A28" s="106" t="s">
        <v>133</v>
      </c>
      <c r="B28" s="104" t="s">
        <v>134</v>
      </c>
      <c r="C28" s="105">
        <v>108</v>
      </c>
      <c r="D28" s="103">
        <f>Table114[[#This Row],[Total Volume (k)]]*1000</f>
        <v>108000</v>
      </c>
      <c r="E28" s="180">
        <f>Table114[[#This Row],[lbs]]*0.000453592</f>
        <v>48.987935999999998</v>
      </c>
    </row>
    <row r="29" spans="1:5" x14ac:dyDescent="0.35">
      <c r="A29" s="106" t="s">
        <v>135</v>
      </c>
      <c r="B29" s="104" t="s">
        <v>135</v>
      </c>
      <c r="C29" s="105">
        <v>1109.8468129194378</v>
      </c>
      <c r="D29" s="103">
        <f>Table114[[#This Row],[Total Volume (k)]]*1000</f>
        <v>1109846.8129194377</v>
      </c>
      <c r="E29" s="180">
        <f>Table114[[#This Row],[lbs]]*0.000453592</f>
        <v>503.41763556575359</v>
      </c>
    </row>
    <row r="30" spans="1:5" x14ac:dyDescent="0.35">
      <c r="A30" s="106" t="s">
        <v>136</v>
      </c>
      <c r="B30" s="104" t="s">
        <v>137</v>
      </c>
      <c r="C30" s="105">
        <v>146.029</v>
      </c>
      <c r="D30" s="103">
        <f>Table114[[#This Row],[Total Volume (k)]]*1000</f>
        <v>146029</v>
      </c>
      <c r="E30" s="180">
        <f>Table114[[#This Row],[lbs]]*0.000453592</f>
        <v>66.237586168000007</v>
      </c>
    </row>
    <row r="31" spans="1:5" x14ac:dyDescent="0.35">
      <c r="A31" s="106" t="s">
        <v>136</v>
      </c>
      <c r="B31" s="104" t="s">
        <v>138</v>
      </c>
      <c r="C31" s="105">
        <v>0.25</v>
      </c>
      <c r="D31" s="103">
        <f>Table114[[#This Row],[Total Volume (k)]]*1000</f>
        <v>250</v>
      </c>
      <c r="E31" s="180">
        <f>Table114[[#This Row],[lbs]]*0.000453592</f>
        <v>0.113398</v>
      </c>
    </row>
    <row r="32" spans="1:5" x14ac:dyDescent="0.35">
      <c r="A32" s="106" t="s">
        <v>139</v>
      </c>
      <c r="B32" s="104" t="s">
        <v>139</v>
      </c>
      <c r="C32" s="105">
        <v>16.524000000000001</v>
      </c>
      <c r="D32" s="103">
        <f>Table114[[#This Row],[Total Volume (k)]]*1000</f>
        <v>16524</v>
      </c>
      <c r="E32" s="180">
        <f>Table114[[#This Row],[lbs]]*0.000453592</f>
        <v>7.4951542079999998</v>
      </c>
    </row>
    <row r="33" spans="1:5" x14ac:dyDescent="0.35">
      <c r="A33" s="106" t="s">
        <v>140</v>
      </c>
      <c r="B33" s="104" t="s">
        <v>141</v>
      </c>
      <c r="C33" s="105">
        <v>744.03496000000007</v>
      </c>
      <c r="D33" s="103">
        <f>Table114[[#This Row],[Total Volume (k)]]*1000</f>
        <v>744034.96000000008</v>
      </c>
      <c r="E33" s="180">
        <f>Table114[[#This Row],[lbs]]*0.000453592</f>
        <v>337.48830557632004</v>
      </c>
    </row>
    <row r="34" spans="1:5" x14ac:dyDescent="0.35">
      <c r="A34" s="106" t="s">
        <v>142</v>
      </c>
      <c r="B34" s="104" t="s">
        <v>143</v>
      </c>
      <c r="C34" s="105">
        <v>112.43434999999999</v>
      </c>
      <c r="D34" s="103">
        <f>Table114[[#This Row],[Total Volume (k)]]*1000</f>
        <v>112434.34999999999</v>
      </c>
      <c r="E34" s="180">
        <f>Table114[[#This Row],[lbs]]*0.000453592</f>
        <v>50.999321685199995</v>
      </c>
    </row>
    <row r="35" spans="1:5" x14ac:dyDescent="0.35">
      <c r="A35" s="106" t="s">
        <v>144</v>
      </c>
      <c r="B35" s="104" t="s">
        <v>145</v>
      </c>
      <c r="C35" s="105">
        <v>14224.4579985</v>
      </c>
      <c r="D35" s="103">
        <f>Table114[[#This Row],[Total Volume (k)]]*1000</f>
        <v>14224457.998500001</v>
      </c>
      <c r="E35" s="180">
        <f>Table114[[#This Row],[lbs]]*0.000453592</f>
        <v>6452.1003524556127</v>
      </c>
    </row>
    <row r="36" spans="1:5" x14ac:dyDescent="0.35">
      <c r="A36" s="106" t="s">
        <v>144</v>
      </c>
      <c r="B36" s="104" t="s">
        <v>146</v>
      </c>
      <c r="C36" s="105">
        <v>1.7</v>
      </c>
      <c r="D36" s="103">
        <f>Table114[[#This Row],[Total Volume (k)]]*1000</f>
        <v>1700</v>
      </c>
      <c r="E36" s="180">
        <f>Table114[[#This Row],[lbs]]*0.000453592</f>
        <v>0.77110639999999997</v>
      </c>
    </row>
    <row r="37" spans="1:5" x14ac:dyDescent="0.35">
      <c r="A37" s="106" t="s">
        <v>144</v>
      </c>
      <c r="B37" s="104" t="s">
        <v>146</v>
      </c>
      <c r="C37" s="105">
        <v>681.779</v>
      </c>
      <c r="D37" s="103">
        <f>Table114[[#This Row],[Total Volume (k)]]*1000</f>
        <v>681779</v>
      </c>
      <c r="E37" s="180">
        <f>Table114[[#This Row],[lbs]]*0.000453592</f>
        <v>309.249500168</v>
      </c>
    </row>
    <row r="38" spans="1:5" x14ac:dyDescent="0.35">
      <c r="A38" s="106" t="s">
        <v>147</v>
      </c>
      <c r="B38" s="104" t="s">
        <v>148</v>
      </c>
      <c r="C38" s="105">
        <v>6.44</v>
      </c>
      <c r="D38" s="103">
        <f>Table114[[#This Row],[Total Volume (k)]]*1000</f>
        <v>6440</v>
      </c>
      <c r="E38" s="180">
        <f>Table114[[#This Row],[lbs]]*0.000453592</f>
        <v>2.9211324799999998</v>
      </c>
    </row>
    <row r="39" spans="1:5" x14ac:dyDescent="0.35">
      <c r="A39" s="106" t="s">
        <v>149</v>
      </c>
      <c r="B39" s="104" t="s">
        <v>149</v>
      </c>
      <c r="C39" s="105">
        <v>189.12045839999993</v>
      </c>
      <c r="D39" s="103">
        <f>Table114[[#This Row],[Total Volume (k)]]*1000</f>
        <v>189120.45839999994</v>
      </c>
      <c r="E39" s="180">
        <f>Table114[[#This Row],[lbs]]*0.000453592</f>
        <v>85.783526966572779</v>
      </c>
    </row>
    <row r="40" spans="1:5" x14ac:dyDescent="0.35">
      <c r="A40" s="106" t="s">
        <v>150</v>
      </c>
      <c r="B40" s="104" t="s">
        <v>150</v>
      </c>
      <c r="C40" s="105">
        <v>1783.0590304</v>
      </c>
      <c r="D40" s="103">
        <f>Table114[[#This Row],[Total Volume (k)]]*1000</f>
        <v>1783059.0304</v>
      </c>
      <c r="E40" s="180">
        <f>Table114[[#This Row],[lbs]]*0.000453592</f>
        <v>808.78131171719679</v>
      </c>
    </row>
    <row r="41" spans="1:5" x14ac:dyDescent="0.35">
      <c r="A41" s="106" t="s">
        <v>150</v>
      </c>
      <c r="B41" s="104" t="s">
        <v>151</v>
      </c>
      <c r="C41" s="105">
        <v>359.02510089599991</v>
      </c>
      <c r="D41" s="103">
        <f>Table114[[#This Row],[Total Volume (k)]]*1000</f>
        <v>359025.10089599993</v>
      </c>
      <c r="E41" s="180">
        <f>Table114[[#This Row],[lbs]]*0.000453592</f>
        <v>162.85091356561841</v>
      </c>
    </row>
    <row r="42" spans="1:5" x14ac:dyDescent="0.35">
      <c r="A42" s="106" t="s">
        <v>152</v>
      </c>
      <c r="B42" s="104" t="s">
        <v>153</v>
      </c>
      <c r="C42" s="105">
        <v>4837.5598978847993</v>
      </c>
      <c r="D42" s="103">
        <f>Table114[[#This Row],[Total Volume (k)]]*1000</f>
        <v>4837559.8978847992</v>
      </c>
      <c r="E42" s="180">
        <f>Table114[[#This Row],[lbs]]*0.000453592</f>
        <v>2194.278469201362</v>
      </c>
    </row>
    <row r="43" spans="1:5" x14ac:dyDescent="0.35">
      <c r="A43" s="106" t="s">
        <v>152</v>
      </c>
      <c r="B43" s="104" t="s">
        <v>154</v>
      </c>
      <c r="C43" s="105">
        <v>95.861999999999995</v>
      </c>
      <c r="D43" s="103">
        <f>Table114[[#This Row],[Total Volume (k)]]*1000</f>
        <v>95862</v>
      </c>
      <c r="E43" s="180">
        <f>Table114[[#This Row],[lbs]]*0.000453592</f>
        <v>43.482236303999997</v>
      </c>
    </row>
    <row r="44" spans="1:5" x14ac:dyDescent="0.35">
      <c r="A44" s="106" t="s">
        <v>152</v>
      </c>
      <c r="B44" s="104" t="s">
        <v>152</v>
      </c>
      <c r="C44" s="105">
        <v>0.50000781599999999</v>
      </c>
      <c r="D44" s="103">
        <f>Table114[[#This Row],[Total Volume (k)]]*1000</f>
        <v>500.00781599999999</v>
      </c>
      <c r="E44" s="180">
        <f>Table114[[#This Row],[lbs]]*0.000453592</f>
        <v>0.22679954527507198</v>
      </c>
    </row>
    <row r="45" spans="1:5" x14ac:dyDescent="0.35">
      <c r="A45" s="106" t="s">
        <v>155</v>
      </c>
      <c r="B45" s="104" t="s">
        <v>156</v>
      </c>
      <c r="C45" s="105">
        <v>25765.918546700002</v>
      </c>
      <c r="D45" s="103">
        <f>Table114[[#This Row],[Total Volume (k)]]*1000</f>
        <v>25765918.546700001</v>
      </c>
      <c r="E45" s="180">
        <f>Table114[[#This Row],[lbs]]*0.000453592</f>
        <v>11687.214525434747</v>
      </c>
    </row>
    <row r="46" spans="1:5" x14ac:dyDescent="0.35">
      <c r="A46" s="106" t="s">
        <v>155</v>
      </c>
      <c r="B46" s="104" t="s">
        <v>157</v>
      </c>
      <c r="C46" s="105">
        <v>761.93899999999996</v>
      </c>
      <c r="D46" s="103">
        <f>Table114[[#This Row],[Total Volume (k)]]*1000</f>
        <v>761939</v>
      </c>
      <c r="E46" s="180">
        <f>Table114[[#This Row],[lbs]]*0.000453592</f>
        <v>345.60943488800001</v>
      </c>
    </row>
    <row r="47" spans="1:5" x14ac:dyDescent="0.35">
      <c r="A47" s="106" t="s">
        <v>158</v>
      </c>
      <c r="B47" s="104" t="s">
        <v>158</v>
      </c>
      <c r="C47" s="105">
        <v>9.9432000000000009</v>
      </c>
      <c r="D47" s="103">
        <f>Table114[[#This Row],[Total Volume (k)]]*1000</f>
        <v>9943.2000000000007</v>
      </c>
      <c r="E47" s="180">
        <f>Table114[[#This Row],[lbs]]*0.000453592</f>
        <v>4.5101559743999999</v>
      </c>
    </row>
    <row r="48" spans="1:5" x14ac:dyDescent="0.35">
      <c r="A48" s="106" t="s">
        <v>159</v>
      </c>
      <c r="B48" s="104" t="s">
        <v>160</v>
      </c>
      <c r="C48" s="105">
        <v>525.91803111999991</v>
      </c>
      <c r="D48" s="103">
        <f>Table114[[#This Row],[Total Volume (k)]]*1000</f>
        <v>525918.03111999994</v>
      </c>
      <c r="E48" s="180">
        <f>Table114[[#This Row],[lbs]]*0.000453592</f>
        <v>238.552211571783</v>
      </c>
    </row>
    <row r="49" spans="1:5" x14ac:dyDescent="0.35">
      <c r="A49" s="106" t="s">
        <v>161</v>
      </c>
      <c r="B49" s="104" t="s">
        <v>161</v>
      </c>
      <c r="C49" s="105">
        <v>32.372144599999999</v>
      </c>
      <c r="D49" s="103">
        <f>Table114[[#This Row],[Total Volume (k)]]*1000</f>
        <v>32372.1446</v>
      </c>
      <c r="E49" s="180">
        <f>Table114[[#This Row],[lbs]]*0.000453592</f>
        <v>14.683745813403199</v>
      </c>
    </row>
    <row r="50" spans="1:5" x14ac:dyDescent="0.35">
      <c r="A50" s="106" t="s">
        <v>162</v>
      </c>
      <c r="B50" s="104" t="s">
        <v>162</v>
      </c>
      <c r="C50" s="105">
        <v>85.807760000000016</v>
      </c>
      <c r="D50" s="103">
        <f>Table114[[#This Row],[Total Volume (k)]]*1000</f>
        <v>85807.760000000009</v>
      </c>
      <c r="E50" s="180">
        <f>Table114[[#This Row],[lbs]]*0.000453592</f>
        <v>38.921713473920008</v>
      </c>
    </row>
    <row r="51" spans="1:5" x14ac:dyDescent="0.35">
      <c r="A51" s="106" t="s">
        <v>163</v>
      </c>
      <c r="B51" s="104" t="s">
        <v>164</v>
      </c>
      <c r="C51" s="105">
        <v>114.26246001999995</v>
      </c>
      <c r="D51" s="103">
        <f>Table114[[#This Row],[Total Volume (k)]]*1000</f>
        <v>114262.46001999995</v>
      </c>
      <c r="E51" s="180">
        <f>Table114[[#This Row],[lbs]]*0.000453592</f>
        <v>51.828537765391822</v>
      </c>
    </row>
    <row r="52" spans="1:5" x14ac:dyDescent="0.35">
      <c r="A52" s="106" t="s">
        <v>163</v>
      </c>
      <c r="B52" s="104" t="s">
        <v>165</v>
      </c>
      <c r="C52" s="105">
        <v>28.814</v>
      </c>
      <c r="D52" s="103">
        <f>Table114[[#This Row],[Total Volume (k)]]*1000</f>
        <v>28814</v>
      </c>
      <c r="E52" s="180">
        <f>Table114[[#This Row],[lbs]]*0.000453592</f>
        <v>13.069799888</v>
      </c>
    </row>
    <row r="53" spans="1:5" x14ac:dyDescent="0.35">
      <c r="A53" s="106" t="s">
        <v>163</v>
      </c>
      <c r="B53" s="104" t="s">
        <v>166</v>
      </c>
      <c r="C53" s="105">
        <v>14.06746528</v>
      </c>
      <c r="D53" s="103">
        <f>Table114[[#This Row],[Total Volume (k)]]*1000</f>
        <v>14067.46528</v>
      </c>
      <c r="E53" s="180">
        <f>Table114[[#This Row],[lbs]]*0.000453592</f>
        <v>6.3808897112857599</v>
      </c>
    </row>
    <row r="54" spans="1:5" x14ac:dyDescent="0.35">
      <c r="A54" s="106" t="s">
        <v>167</v>
      </c>
      <c r="B54" s="104" t="s">
        <v>168</v>
      </c>
      <c r="C54" s="105">
        <v>5.4989999999999997</v>
      </c>
      <c r="D54" s="103">
        <f>Table114[[#This Row],[Total Volume (k)]]*1000</f>
        <v>5499</v>
      </c>
      <c r="E54" s="180">
        <f>Table114[[#This Row],[lbs]]*0.000453592</f>
        <v>2.4943024079999998</v>
      </c>
    </row>
    <row r="55" spans="1:5" x14ac:dyDescent="0.35">
      <c r="A55" s="106" t="s">
        <v>167</v>
      </c>
      <c r="B55" s="104" t="s">
        <v>100</v>
      </c>
      <c r="C55" s="105">
        <v>3.2000000000000001E-2</v>
      </c>
      <c r="D55" s="103">
        <f>Table114[[#This Row],[Total Volume (k)]]*1000</f>
        <v>32</v>
      </c>
      <c r="E55" s="180">
        <f>Table114[[#This Row],[lbs]]*0.000453592</f>
        <v>1.4514944E-2</v>
      </c>
    </row>
    <row r="56" spans="1:5" x14ac:dyDescent="0.35">
      <c r="A56" s="106" t="s">
        <v>167</v>
      </c>
      <c r="B56" s="104" t="s">
        <v>169</v>
      </c>
      <c r="C56" s="105">
        <v>0.01</v>
      </c>
      <c r="D56" s="103">
        <f>Table114[[#This Row],[Total Volume (k)]]*1000</f>
        <v>10</v>
      </c>
      <c r="E56" s="180">
        <f>Table114[[#This Row],[lbs]]*0.000453592</f>
        <v>4.5359199999999997E-3</v>
      </c>
    </row>
    <row r="57" spans="1:5" x14ac:dyDescent="0.35">
      <c r="A57" s="106" t="s">
        <v>170</v>
      </c>
      <c r="B57" s="104" t="s">
        <v>170</v>
      </c>
      <c r="C57" s="105">
        <v>6.2624435720000005</v>
      </c>
      <c r="D57" s="103">
        <f>Table114[[#This Row],[Total Volume (k)]]*1000</f>
        <v>6262.4435720000001</v>
      </c>
      <c r="E57" s="180">
        <f>Table114[[#This Row],[lbs]]*0.000453592</f>
        <v>2.8405943047106241</v>
      </c>
    </row>
    <row r="58" spans="1:5" x14ac:dyDescent="0.35">
      <c r="A58" s="106" t="s">
        <v>171</v>
      </c>
      <c r="B58" s="104" t="s">
        <v>172</v>
      </c>
      <c r="C58" s="105">
        <v>1002.9871234000001</v>
      </c>
      <c r="D58" s="103">
        <f>Table114[[#This Row],[Total Volume (k)]]*1000</f>
        <v>1002987.1234</v>
      </c>
      <c r="E58" s="180">
        <f>Table114[[#This Row],[lbs]]*0.000453592</f>
        <v>454.94693527725281</v>
      </c>
    </row>
    <row r="59" spans="1:5" x14ac:dyDescent="0.35">
      <c r="A59" s="106" t="s">
        <v>171</v>
      </c>
      <c r="B59" s="104" t="s">
        <v>171</v>
      </c>
      <c r="C59" s="105">
        <v>507.51734546719996</v>
      </c>
      <c r="D59" s="103">
        <f>Table114[[#This Row],[Total Volume (k)]]*1000</f>
        <v>507517.34546719998</v>
      </c>
      <c r="E59" s="180">
        <f>Table114[[#This Row],[lbs]]*0.000453592</f>
        <v>230.20580776515817</v>
      </c>
    </row>
    <row r="60" spans="1:5" x14ac:dyDescent="0.35">
      <c r="A60" s="106" t="s">
        <v>171</v>
      </c>
      <c r="B60" s="104" t="s">
        <v>113</v>
      </c>
      <c r="C60" s="105">
        <v>1985.1093800000001</v>
      </c>
      <c r="D60" s="103">
        <f>Table114[[#This Row],[Total Volume (k)]]*1000</f>
        <v>1985109.3800000001</v>
      </c>
      <c r="E60" s="180">
        <f>Table114[[#This Row],[lbs]]*0.000453592</f>
        <v>900.42973389296003</v>
      </c>
    </row>
    <row r="61" spans="1:5" x14ac:dyDescent="0.35">
      <c r="A61" s="106" t="s">
        <v>173</v>
      </c>
      <c r="B61" s="104" t="s">
        <v>172</v>
      </c>
      <c r="C61" s="105">
        <v>842.69835804000002</v>
      </c>
      <c r="D61" s="103">
        <f>Table114[[#This Row],[Total Volume (k)]]*1000</f>
        <v>842698.35803999996</v>
      </c>
      <c r="E61" s="180">
        <f>Table114[[#This Row],[lbs]]*0.000453592</f>
        <v>382.24123362007964</v>
      </c>
    </row>
    <row r="62" spans="1:5" x14ac:dyDescent="0.35">
      <c r="A62" s="106" t="s">
        <v>174</v>
      </c>
      <c r="B62" s="104" t="s">
        <v>174</v>
      </c>
      <c r="C62" s="105">
        <v>165.14386899999988</v>
      </c>
      <c r="D62" s="103">
        <f>Table114[[#This Row],[Total Volume (k)]]*1000</f>
        <v>165143.86899999989</v>
      </c>
      <c r="E62" s="180">
        <f>Table114[[#This Row],[lbs]]*0.000453592</f>
        <v>74.907937827447952</v>
      </c>
    </row>
    <row r="63" spans="1:5" x14ac:dyDescent="0.35">
      <c r="A63" s="106" t="s">
        <v>175</v>
      </c>
      <c r="B63" s="104" t="s">
        <v>176</v>
      </c>
      <c r="C63" s="105">
        <v>8556.3223335999992</v>
      </c>
      <c r="D63" s="103">
        <f>Table114[[#This Row],[Total Volume (k)]]*1000</f>
        <v>8556322.3335999995</v>
      </c>
      <c r="E63" s="180">
        <f>Table114[[#This Row],[lbs]]*0.000453592</f>
        <v>3881.0793599422909</v>
      </c>
    </row>
    <row r="64" spans="1:5" x14ac:dyDescent="0.35">
      <c r="A64" s="106" t="s">
        <v>175</v>
      </c>
      <c r="B64" s="104" t="s">
        <v>177</v>
      </c>
      <c r="C64" s="105">
        <v>3918.5738999999999</v>
      </c>
      <c r="D64" s="103">
        <f>Table114[[#This Row],[Total Volume (k)]]*1000</f>
        <v>3918573.9</v>
      </c>
      <c r="E64" s="180">
        <f>Table114[[#This Row],[lbs]]*0.000453592</f>
        <v>1777.4337724488</v>
      </c>
    </row>
    <row r="65" spans="1:5" x14ac:dyDescent="0.35">
      <c r="A65" s="106" t="s">
        <v>175</v>
      </c>
      <c r="B65" s="104" t="s">
        <v>178</v>
      </c>
      <c r="C65" s="105">
        <v>2493.511</v>
      </c>
      <c r="D65" s="103">
        <f>Table114[[#This Row],[Total Volume (k)]]*1000</f>
        <v>2493511</v>
      </c>
      <c r="E65" s="180">
        <f>Table114[[#This Row],[lbs]]*0.000453592</f>
        <v>1131.036641512</v>
      </c>
    </row>
    <row r="66" spans="1:5" x14ac:dyDescent="0.35">
      <c r="A66" s="106" t="s">
        <v>175</v>
      </c>
      <c r="B66" s="104" t="s">
        <v>171</v>
      </c>
      <c r="C66" s="105">
        <v>755.33923800000002</v>
      </c>
      <c r="D66" s="103">
        <f>Table114[[#This Row],[Total Volume (k)]]*1000</f>
        <v>755339.23800000001</v>
      </c>
      <c r="E66" s="180">
        <f>Table114[[#This Row],[lbs]]*0.000453592</f>
        <v>342.615835642896</v>
      </c>
    </row>
    <row r="67" spans="1:5" x14ac:dyDescent="0.35">
      <c r="A67" s="106" t="s">
        <v>175</v>
      </c>
      <c r="B67" s="104" t="s">
        <v>172</v>
      </c>
      <c r="C67" s="105">
        <v>590.654</v>
      </c>
      <c r="D67" s="103">
        <f>Table114[[#This Row],[Total Volume (k)]]*1000</f>
        <v>590654</v>
      </c>
      <c r="E67" s="180">
        <f>Table114[[#This Row],[lbs]]*0.000453592</f>
        <v>267.91592916799999</v>
      </c>
    </row>
    <row r="68" spans="1:5" x14ac:dyDescent="0.35">
      <c r="A68" s="106" t="s">
        <v>175</v>
      </c>
      <c r="B68" s="104" t="s">
        <v>179</v>
      </c>
      <c r="C68" s="105">
        <v>316.08</v>
      </c>
      <c r="D68" s="103">
        <f>Table114[[#This Row],[Total Volume (k)]]*1000</f>
        <v>316080</v>
      </c>
      <c r="E68" s="180">
        <f>Table114[[#This Row],[lbs]]*0.000453592</f>
        <v>143.37135936000001</v>
      </c>
    </row>
    <row r="69" spans="1:5" x14ac:dyDescent="0.35">
      <c r="A69" s="106" t="s">
        <v>175</v>
      </c>
      <c r="B69" s="104" t="s">
        <v>180</v>
      </c>
      <c r="C69" s="105">
        <v>273.57129579999997</v>
      </c>
      <c r="D69" s="103">
        <f>Table114[[#This Row],[Total Volume (k)]]*1000</f>
        <v>273571.29579999996</v>
      </c>
      <c r="E69" s="180">
        <f>Table114[[#This Row],[lbs]]*0.000453592</f>
        <v>124.08975120451359</v>
      </c>
    </row>
    <row r="70" spans="1:5" x14ac:dyDescent="0.35">
      <c r="A70" s="106" t="s">
        <v>175</v>
      </c>
      <c r="B70" s="104" t="s">
        <v>181</v>
      </c>
      <c r="C70" s="105">
        <v>205.46</v>
      </c>
      <c r="D70" s="103">
        <f>Table114[[#This Row],[Total Volume (k)]]*1000</f>
        <v>205460</v>
      </c>
      <c r="E70" s="180">
        <f>Table114[[#This Row],[lbs]]*0.000453592</f>
        <v>93.195012320000004</v>
      </c>
    </row>
    <row r="71" spans="1:5" x14ac:dyDescent="0.35">
      <c r="A71" s="106" t="s">
        <v>175</v>
      </c>
      <c r="B71" s="104" t="s">
        <v>182</v>
      </c>
      <c r="C71" s="105">
        <v>48</v>
      </c>
      <c r="D71" s="103">
        <f>Table114[[#This Row],[Total Volume (k)]]*1000</f>
        <v>48000</v>
      </c>
      <c r="E71" s="180">
        <f>Table114[[#This Row],[lbs]]*0.000453592</f>
        <v>21.772416</v>
      </c>
    </row>
    <row r="72" spans="1:5" x14ac:dyDescent="0.35">
      <c r="A72" s="106" t="s">
        <v>175</v>
      </c>
      <c r="B72" s="104" t="s">
        <v>183</v>
      </c>
      <c r="C72" s="105">
        <v>10.6</v>
      </c>
      <c r="D72" s="103">
        <f>Table114[[#This Row],[Total Volume (k)]]*1000</f>
        <v>10600</v>
      </c>
      <c r="E72" s="180">
        <f>Table114[[#This Row],[lbs]]*0.000453592</f>
        <v>4.8080752000000002</v>
      </c>
    </row>
    <row r="73" spans="1:5" x14ac:dyDescent="0.35">
      <c r="A73" s="106" t="s">
        <v>175</v>
      </c>
      <c r="B73" s="104" t="s">
        <v>184</v>
      </c>
      <c r="C73" s="105">
        <v>5.9524740000000005</v>
      </c>
      <c r="D73" s="103">
        <f>Table114[[#This Row],[Total Volume (k)]]*1000</f>
        <v>5952.4740000000002</v>
      </c>
      <c r="E73" s="180">
        <f>Table114[[#This Row],[lbs]]*0.000453592</f>
        <v>2.6999945866080002</v>
      </c>
    </row>
    <row r="74" spans="1:5" x14ac:dyDescent="0.35">
      <c r="A74" s="106" t="s">
        <v>175</v>
      </c>
      <c r="B74" s="104" t="s">
        <v>185</v>
      </c>
      <c r="C74" s="105">
        <v>4.1887779999999992</v>
      </c>
      <c r="D74" s="103">
        <f>Table114[[#This Row],[Total Volume (k)]]*1000</f>
        <v>4188.7779999999993</v>
      </c>
      <c r="E74" s="180">
        <f>Table114[[#This Row],[lbs]]*0.000453592</f>
        <v>1.8999961905759997</v>
      </c>
    </row>
    <row r="75" spans="1:5" x14ac:dyDescent="0.35">
      <c r="A75" s="106" t="s">
        <v>186</v>
      </c>
      <c r="B75" s="104" t="s">
        <v>187</v>
      </c>
      <c r="C75" s="105">
        <v>2152.8583095999998</v>
      </c>
      <c r="D75" s="103">
        <f>Table114[[#This Row],[Total Volume (k)]]*1000</f>
        <v>2152858.3095999998</v>
      </c>
      <c r="E75" s="180">
        <f>Table114[[#This Row],[lbs]]*0.000453592</f>
        <v>976.51930636808311</v>
      </c>
    </row>
    <row r="76" spans="1:5" x14ac:dyDescent="0.35">
      <c r="A76" s="106" t="s">
        <v>186</v>
      </c>
      <c r="B76" s="104" t="s">
        <v>188</v>
      </c>
      <c r="C76" s="105">
        <v>607.67256000000009</v>
      </c>
      <c r="D76" s="103">
        <f>Table114[[#This Row],[Total Volume (k)]]*1000</f>
        <v>607672.56000000006</v>
      </c>
      <c r="E76" s="180">
        <f>Table114[[#This Row],[lbs]]*0.000453592</f>
        <v>275.63541183552002</v>
      </c>
    </row>
    <row r="77" spans="1:5" x14ac:dyDescent="0.35">
      <c r="A77" s="106" t="s">
        <v>186</v>
      </c>
      <c r="B77" s="104" t="s">
        <v>189</v>
      </c>
      <c r="C77" s="105">
        <v>494.13203524799991</v>
      </c>
      <c r="D77" s="103">
        <f>Table114[[#This Row],[Total Volume (k)]]*1000</f>
        <v>494132.03524799988</v>
      </c>
      <c r="E77" s="180">
        <f>Table114[[#This Row],[lbs]]*0.000453592</f>
        <v>224.13433813221076</v>
      </c>
    </row>
    <row r="78" spans="1:5" x14ac:dyDescent="0.35">
      <c r="A78" s="106" t="s">
        <v>186</v>
      </c>
      <c r="B78" s="104" t="s">
        <v>190</v>
      </c>
      <c r="C78" s="105">
        <v>397.76</v>
      </c>
      <c r="D78" s="103">
        <f>Table114[[#This Row],[Total Volume (k)]]*1000</f>
        <v>397760</v>
      </c>
      <c r="E78" s="180">
        <f>Table114[[#This Row],[lbs]]*0.000453592</f>
        <v>180.42075392000001</v>
      </c>
    </row>
    <row r="79" spans="1:5" x14ac:dyDescent="0.35">
      <c r="A79" s="106" t="s">
        <v>186</v>
      </c>
      <c r="B79" s="104" t="s">
        <v>191</v>
      </c>
      <c r="C79" s="105">
        <v>373.23599999999999</v>
      </c>
      <c r="D79" s="103">
        <f>Table114[[#This Row],[Total Volume (k)]]*1000</f>
        <v>373236</v>
      </c>
      <c r="E79" s="180">
        <f>Table114[[#This Row],[lbs]]*0.000453592</f>
        <v>169.296863712</v>
      </c>
    </row>
    <row r="80" spans="1:5" x14ac:dyDescent="0.35">
      <c r="A80" s="106" t="s">
        <v>186</v>
      </c>
      <c r="B80" s="104" t="s">
        <v>192</v>
      </c>
      <c r="C80" s="105">
        <v>358.14</v>
      </c>
      <c r="D80" s="103">
        <f>Table114[[#This Row],[Total Volume (k)]]*1000</f>
        <v>358140</v>
      </c>
      <c r="E80" s="180">
        <f>Table114[[#This Row],[lbs]]*0.000453592</f>
        <v>162.44943888</v>
      </c>
    </row>
    <row r="81" spans="1:5" x14ac:dyDescent="0.35">
      <c r="A81" s="106" t="s">
        <v>186</v>
      </c>
      <c r="B81" s="104" t="s">
        <v>193</v>
      </c>
      <c r="C81" s="105">
        <v>174.78</v>
      </c>
      <c r="D81" s="103">
        <f>Table114[[#This Row],[Total Volume (k)]]*1000</f>
        <v>174780</v>
      </c>
      <c r="E81" s="180">
        <f>Table114[[#This Row],[lbs]]*0.000453592</f>
        <v>79.278809760000001</v>
      </c>
    </row>
    <row r="82" spans="1:5" x14ac:dyDescent="0.35">
      <c r="A82" s="106" t="s">
        <v>186</v>
      </c>
      <c r="B82" s="104" t="s">
        <v>194</v>
      </c>
      <c r="C82" s="105">
        <v>164.88</v>
      </c>
      <c r="D82" s="103">
        <f>Table114[[#This Row],[Total Volume (k)]]*1000</f>
        <v>164880</v>
      </c>
      <c r="E82" s="180">
        <f>Table114[[#This Row],[lbs]]*0.000453592</f>
        <v>74.788248960000004</v>
      </c>
    </row>
    <row r="83" spans="1:5" x14ac:dyDescent="0.35">
      <c r="A83" s="106" t="s">
        <v>186</v>
      </c>
      <c r="B83" s="104" t="s">
        <v>172</v>
      </c>
      <c r="C83" s="105">
        <v>135.96884080000001</v>
      </c>
      <c r="D83" s="103">
        <f>Table114[[#This Row],[Total Volume (k)]]*1000</f>
        <v>135968.84080000001</v>
      </c>
      <c r="E83" s="180">
        <f>Table114[[#This Row],[lbs]]*0.000453592</f>
        <v>61.674378436153603</v>
      </c>
    </row>
    <row r="84" spans="1:5" x14ac:dyDescent="0.35">
      <c r="A84" s="106" t="s">
        <v>186</v>
      </c>
      <c r="B84" s="104" t="s">
        <v>195</v>
      </c>
      <c r="C84" s="105">
        <v>47.88</v>
      </c>
      <c r="D84" s="103">
        <f>Table114[[#This Row],[Total Volume (k)]]*1000</f>
        <v>47880</v>
      </c>
      <c r="E84" s="180">
        <f>Table114[[#This Row],[lbs]]*0.000453592</f>
        <v>21.717984959999999</v>
      </c>
    </row>
    <row r="85" spans="1:5" x14ac:dyDescent="0.35">
      <c r="A85" s="106" t="s">
        <v>186</v>
      </c>
      <c r="B85" s="104" t="s">
        <v>196</v>
      </c>
      <c r="C85" s="105">
        <v>30.732402799999996</v>
      </c>
      <c r="D85" s="103">
        <f>Table114[[#This Row],[Total Volume (k)]]*1000</f>
        <v>30732.402799999996</v>
      </c>
      <c r="E85" s="180">
        <f>Table114[[#This Row],[lbs]]*0.000453592</f>
        <v>13.939972050857598</v>
      </c>
    </row>
    <row r="86" spans="1:5" x14ac:dyDescent="0.35">
      <c r="A86" s="106" t="s">
        <v>186</v>
      </c>
      <c r="B86" s="104" t="s">
        <v>197</v>
      </c>
      <c r="C86" s="105">
        <v>22.588000000000001</v>
      </c>
      <c r="D86" s="103">
        <f>Table114[[#This Row],[Total Volume (k)]]*1000</f>
        <v>22588</v>
      </c>
      <c r="E86" s="180">
        <f>Table114[[#This Row],[lbs]]*0.000453592</f>
        <v>10.245736096</v>
      </c>
    </row>
    <row r="87" spans="1:5" x14ac:dyDescent="0.35">
      <c r="A87" s="106" t="s">
        <v>198</v>
      </c>
      <c r="B87" s="104" t="s">
        <v>199</v>
      </c>
      <c r="C87" s="105">
        <v>50.378741652799995</v>
      </c>
      <c r="D87" s="103">
        <f>Table114[[#This Row],[Total Volume (k)]]*1000</f>
        <v>50378.741652799996</v>
      </c>
      <c r="E87" s="180">
        <f>Table114[[#This Row],[lbs]]*0.000453592</f>
        <v>22.851394183776854</v>
      </c>
    </row>
    <row r="88" spans="1:5" x14ac:dyDescent="0.35">
      <c r="A88" s="106" t="s">
        <v>198</v>
      </c>
      <c r="B88" s="104" t="s">
        <v>200</v>
      </c>
      <c r="C88" s="105">
        <v>42.459000000000003</v>
      </c>
      <c r="D88" s="103">
        <f>Table114[[#This Row],[Total Volume (k)]]*1000</f>
        <v>42459</v>
      </c>
      <c r="E88" s="180">
        <f>Table114[[#This Row],[lbs]]*0.000453592</f>
        <v>19.259062728</v>
      </c>
    </row>
    <row r="89" spans="1:5" x14ac:dyDescent="0.35">
      <c r="A89" s="106" t="s">
        <v>201</v>
      </c>
      <c r="B89" s="104" t="s">
        <v>202</v>
      </c>
      <c r="C89" s="105">
        <v>38.711596200000002</v>
      </c>
      <c r="D89" s="103">
        <f>Table114[[#This Row],[Total Volume (k)]]*1000</f>
        <v>38711.5962</v>
      </c>
      <c r="E89" s="180">
        <f>Table114[[#This Row],[lbs]]*0.000453592</f>
        <v>17.559270343550399</v>
      </c>
    </row>
    <row r="90" spans="1:5" x14ac:dyDescent="0.35">
      <c r="A90" s="106" t="s">
        <v>203</v>
      </c>
      <c r="B90" s="104" t="s">
        <v>204</v>
      </c>
      <c r="C90" s="105">
        <v>52328.85265986</v>
      </c>
      <c r="D90" s="103">
        <f>Table114[[#This Row],[Total Volume (k)]]*1000</f>
        <v>52328852.65986</v>
      </c>
      <c r="E90" s="180">
        <f>Table114[[#This Row],[lbs]]*0.000453592</f>
        <v>23735.948935691216</v>
      </c>
    </row>
    <row r="91" spans="1:5" x14ac:dyDescent="0.35">
      <c r="A91" s="106" t="s">
        <v>203</v>
      </c>
      <c r="B91" s="104" t="s">
        <v>205</v>
      </c>
      <c r="C91" s="105">
        <v>6579.798620999999</v>
      </c>
      <c r="D91" s="103">
        <f>Table114[[#This Row],[Total Volume (k)]]*1000</f>
        <v>6579798.6209999993</v>
      </c>
      <c r="E91" s="180">
        <f>Table114[[#This Row],[lbs]]*0.000453592</f>
        <v>2984.5440160966318</v>
      </c>
    </row>
    <row r="92" spans="1:5" x14ac:dyDescent="0.35">
      <c r="A92" s="106" t="s">
        <v>203</v>
      </c>
      <c r="B92" s="104" t="s">
        <v>206</v>
      </c>
      <c r="C92" s="105">
        <v>8111.1276730000036</v>
      </c>
      <c r="D92" s="103">
        <f>Table114[[#This Row],[Total Volume (k)]]*1000</f>
        <v>8111127.6730000032</v>
      </c>
      <c r="E92" s="180">
        <f>Table114[[#This Row],[lbs]]*0.000453592</f>
        <v>3679.1426234514174</v>
      </c>
    </row>
    <row r="93" spans="1:5" x14ac:dyDescent="0.35">
      <c r="A93" s="106" t="s">
        <v>207</v>
      </c>
      <c r="B93" s="104" t="s">
        <v>208</v>
      </c>
      <c r="C93" s="105">
        <v>55591.231</v>
      </c>
      <c r="D93" s="103">
        <f>Table114[[#This Row],[Total Volume (k)]]*1000</f>
        <v>55591231</v>
      </c>
      <c r="E93" s="180">
        <f>Table114[[#This Row],[lbs]]*0.000453592</f>
        <v>25215.737651751999</v>
      </c>
    </row>
    <row r="94" spans="1:5" x14ac:dyDescent="0.35">
      <c r="A94" s="106" t="s">
        <v>207</v>
      </c>
      <c r="B94" s="104" t="s">
        <v>209</v>
      </c>
      <c r="C94" s="105">
        <v>8144.8999799999965</v>
      </c>
      <c r="D94" s="103">
        <f>Table114[[#This Row],[Total Volume (k)]]*1000</f>
        <v>8144899.9799999967</v>
      </c>
      <c r="E94" s="180">
        <f>Table114[[#This Row],[lbs]]*0.000453592</f>
        <v>3694.4614717281584</v>
      </c>
    </row>
    <row r="95" spans="1:5" x14ac:dyDescent="0.35">
      <c r="A95" s="106" t="s">
        <v>207</v>
      </c>
      <c r="B95" s="104" t="s">
        <v>210</v>
      </c>
      <c r="C95" s="105">
        <v>250.21719999999999</v>
      </c>
      <c r="D95" s="103">
        <f>Table114[[#This Row],[Total Volume (k)]]*1000</f>
        <v>250217.19999999998</v>
      </c>
      <c r="E95" s="180">
        <f>Table114[[#This Row],[lbs]]*0.000453592</f>
        <v>113.49652018239999</v>
      </c>
    </row>
    <row r="96" spans="1:5" x14ac:dyDescent="0.35">
      <c r="A96" s="106" t="s">
        <v>207</v>
      </c>
      <c r="B96" s="104" t="s">
        <v>211</v>
      </c>
      <c r="C96" s="105">
        <v>2.2046199999999998</v>
      </c>
      <c r="D96" s="103">
        <f>Table114[[#This Row],[Total Volume (k)]]*1000</f>
        <v>2204.62</v>
      </c>
      <c r="E96" s="180">
        <f>Table114[[#This Row],[lbs]]*0.000453592</f>
        <v>0.99999799503999998</v>
      </c>
    </row>
    <row r="97" spans="1:5" x14ac:dyDescent="0.35">
      <c r="A97" s="106" t="s">
        <v>212</v>
      </c>
      <c r="B97" s="104" t="s">
        <v>213</v>
      </c>
      <c r="C97" s="105">
        <v>1057.1600000000001</v>
      </c>
      <c r="D97" s="103">
        <f>Table114[[#This Row],[Total Volume (k)]]*1000</f>
        <v>1057160</v>
      </c>
      <c r="E97" s="180">
        <f>Table114[[#This Row],[lbs]]*0.000453592</f>
        <v>479.51931872</v>
      </c>
    </row>
    <row r="98" spans="1:5" x14ac:dyDescent="0.35">
      <c r="A98" s="106" t="s">
        <v>212</v>
      </c>
      <c r="B98" s="104" t="s">
        <v>214</v>
      </c>
      <c r="C98" s="105">
        <v>435.73028570000002</v>
      </c>
      <c r="D98" s="103">
        <f>Table114[[#This Row],[Total Volume (k)]]*1000</f>
        <v>435730.28570000001</v>
      </c>
      <c r="E98" s="180">
        <f>Table114[[#This Row],[lbs]]*0.000453592</f>
        <v>197.6437717512344</v>
      </c>
    </row>
    <row r="99" spans="1:5" x14ac:dyDescent="0.35">
      <c r="A99" s="106" t="s">
        <v>212</v>
      </c>
      <c r="B99" s="104" t="s">
        <v>215</v>
      </c>
      <c r="C99" s="105">
        <v>83.864999999999995</v>
      </c>
      <c r="D99" s="103">
        <f>Table114[[#This Row],[Total Volume (k)]]*1000</f>
        <v>83865</v>
      </c>
      <c r="E99" s="180">
        <f>Table114[[#This Row],[lbs]]*0.000453592</f>
        <v>38.040493079999997</v>
      </c>
    </row>
    <row r="100" spans="1:5" x14ac:dyDescent="0.35">
      <c r="A100" s="106" t="s">
        <v>212</v>
      </c>
      <c r="B100" s="104" t="s">
        <v>216</v>
      </c>
      <c r="C100" s="105">
        <v>79.366320000000002</v>
      </c>
      <c r="D100" s="103">
        <f>Table114[[#This Row],[Total Volume (k)]]*1000</f>
        <v>79366.320000000007</v>
      </c>
      <c r="E100" s="180">
        <f>Table114[[#This Row],[lbs]]*0.000453592</f>
        <v>35.999927821440004</v>
      </c>
    </row>
    <row r="101" spans="1:5" x14ac:dyDescent="0.35">
      <c r="A101" s="106" t="s">
        <v>212</v>
      </c>
      <c r="B101" s="104" t="s">
        <v>217</v>
      </c>
      <c r="C101" s="105">
        <v>58.737000000000002</v>
      </c>
      <c r="D101" s="103">
        <f>Table114[[#This Row],[Total Volume (k)]]*1000</f>
        <v>58737</v>
      </c>
      <c r="E101" s="180">
        <f>Table114[[#This Row],[lbs]]*0.000453592</f>
        <v>26.642633304</v>
      </c>
    </row>
    <row r="102" spans="1:5" x14ac:dyDescent="0.35">
      <c r="A102" s="106" t="s">
        <v>212</v>
      </c>
      <c r="B102" s="104" t="s">
        <v>218</v>
      </c>
      <c r="C102" s="105">
        <v>26</v>
      </c>
      <c r="D102" s="103">
        <f>Table114[[#This Row],[Total Volume (k)]]*1000</f>
        <v>26000</v>
      </c>
      <c r="E102" s="180">
        <f>Table114[[#This Row],[lbs]]*0.000453592</f>
        <v>11.793392000000001</v>
      </c>
    </row>
    <row r="103" spans="1:5" x14ac:dyDescent="0.35">
      <c r="A103" s="106" t="s">
        <v>212</v>
      </c>
      <c r="B103" s="104" t="s">
        <v>219</v>
      </c>
      <c r="C103" s="105">
        <v>19.59</v>
      </c>
      <c r="D103" s="103">
        <f>Table114[[#This Row],[Total Volume (k)]]*1000</f>
        <v>19590</v>
      </c>
      <c r="E103" s="180">
        <f>Table114[[#This Row],[lbs]]*0.000453592</f>
        <v>8.8858672799999994</v>
      </c>
    </row>
    <row r="104" spans="1:5" x14ac:dyDescent="0.35">
      <c r="A104" s="106" t="s">
        <v>212</v>
      </c>
      <c r="B104" s="104" t="s">
        <v>220</v>
      </c>
      <c r="C104" s="105">
        <v>8</v>
      </c>
      <c r="D104" s="103">
        <f>Table114[[#This Row],[Total Volume (k)]]*1000</f>
        <v>8000</v>
      </c>
      <c r="E104" s="180">
        <f>Table114[[#This Row],[lbs]]*0.000453592</f>
        <v>3.628736</v>
      </c>
    </row>
    <row r="105" spans="1:5" x14ac:dyDescent="0.35">
      <c r="A105" s="106" t="s">
        <v>212</v>
      </c>
      <c r="B105" s="104" t="s">
        <v>221</v>
      </c>
      <c r="C105" s="105">
        <v>2.7219178982000001</v>
      </c>
      <c r="D105" s="103">
        <f>Table114[[#This Row],[Total Volume (k)]]*1000</f>
        <v>2721.9178981999999</v>
      </c>
      <c r="E105" s="180">
        <f>Table114[[#This Row],[lbs]]*0.000453592</f>
        <v>1.2346401832803344</v>
      </c>
    </row>
    <row r="106" spans="1:5" x14ac:dyDescent="0.35">
      <c r="A106" s="106" t="s">
        <v>222</v>
      </c>
      <c r="B106" s="104" t="s">
        <v>223</v>
      </c>
      <c r="C106" s="105">
        <v>1497.3338116</v>
      </c>
      <c r="D106" s="103">
        <f>Table114[[#This Row],[Total Volume (k)]]*1000</f>
        <v>1497333.8115999999</v>
      </c>
      <c r="E106" s="180">
        <f>Table114[[#This Row],[lbs]]*0.000453592</f>
        <v>679.17863827126712</v>
      </c>
    </row>
    <row r="107" spans="1:5" x14ac:dyDescent="0.35">
      <c r="A107" s="106" t="s">
        <v>224</v>
      </c>
      <c r="B107" s="104" t="s">
        <v>224</v>
      </c>
      <c r="C107" s="105">
        <v>278.58554399999997</v>
      </c>
      <c r="D107" s="103">
        <f>Table114[[#This Row],[Total Volume (k)]]*1000</f>
        <v>278585.54399999999</v>
      </c>
      <c r="E107" s="180">
        <f>Table114[[#This Row],[lbs]]*0.000453592</f>
        <v>126.36417407404799</v>
      </c>
    </row>
    <row r="108" spans="1:5" x14ac:dyDescent="0.35">
      <c r="A108" s="106" t="s">
        <v>225</v>
      </c>
      <c r="B108" s="104" t="s">
        <v>226</v>
      </c>
      <c r="C108" s="105">
        <v>0.17499999999999999</v>
      </c>
      <c r="D108" s="103">
        <f>Table114[[#This Row],[Total Volume (k)]]*1000</f>
        <v>175</v>
      </c>
      <c r="E108" s="180">
        <f>Table114[[#This Row],[lbs]]*0.000453592</f>
        <v>7.9378600000000007E-2</v>
      </c>
    </row>
    <row r="109" spans="1:5" x14ac:dyDescent="0.35">
      <c r="A109" s="106" t="s">
        <v>225</v>
      </c>
      <c r="B109" s="104" t="s">
        <v>225</v>
      </c>
      <c r="C109" s="105">
        <v>8.0000000000000002E-3</v>
      </c>
      <c r="D109" s="103">
        <f>Table114[[#This Row],[Total Volume (k)]]*1000</f>
        <v>8</v>
      </c>
      <c r="E109" s="180">
        <f>Table114[[#This Row],[lbs]]*0.000453592</f>
        <v>3.628736E-3</v>
      </c>
    </row>
    <row r="110" spans="1:5" x14ac:dyDescent="0.35">
      <c r="A110" s="106" t="s">
        <v>227</v>
      </c>
      <c r="B110" s="104" t="s">
        <v>228</v>
      </c>
      <c r="C110" s="105">
        <v>192.96</v>
      </c>
      <c r="D110" s="103">
        <f>Table114[[#This Row],[Total Volume (k)]]*1000</f>
        <v>192960</v>
      </c>
      <c r="E110" s="180">
        <f>Table114[[#This Row],[lbs]]*0.000453592</f>
        <v>87.525112320000005</v>
      </c>
    </row>
    <row r="111" spans="1:5" x14ac:dyDescent="0.35">
      <c r="A111" s="106" t="s">
        <v>227</v>
      </c>
      <c r="B111" s="104" t="s">
        <v>229</v>
      </c>
      <c r="C111" s="105">
        <v>142.56</v>
      </c>
      <c r="D111" s="103">
        <f>Table114[[#This Row],[Total Volume (k)]]*1000</f>
        <v>142560</v>
      </c>
      <c r="E111" s="180">
        <f>Table114[[#This Row],[lbs]]*0.000453592</f>
        <v>64.664075519999997</v>
      </c>
    </row>
    <row r="112" spans="1:5" x14ac:dyDescent="0.35">
      <c r="A112" s="106" t="s">
        <v>227</v>
      </c>
      <c r="B112" s="104" t="s">
        <v>230</v>
      </c>
      <c r="C112" s="105">
        <v>99.640265744000004</v>
      </c>
      <c r="D112" s="103">
        <f>Table114[[#This Row],[Total Volume (k)]]*1000</f>
        <v>99640.265744000004</v>
      </c>
      <c r="E112" s="180">
        <f>Table114[[#This Row],[lbs]]*0.000453592</f>
        <v>45.196027419352447</v>
      </c>
    </row>
    <row r="113" spans="1:5" x14ac:dyDescent="0.35">
      <c r="A113" s="106" t="s">
        <v>227</v>
      </c>
      <c r="B113" s="104" t="s">
        <v>231</v>
      </c>
      <c r="C113" s="105">
        <v>95.239584000000008</v>
      </c>
      <c r="D113" s="103">
        <f>Table114[[#This Row],[Total Volume (k)]]*1000</f>
        <v>95239.584000000003</v>
      </c>
      <c r="E113" s="180">
        <f>Table114[[#This Row],[lbs]]*0.000453592</f>
        <v>43.199913385728003</v>
      </c>
    </row>
    <row r="114" spans="1:5" x14ac:dyDescent="0.35">
      <c r="A114" s="106" t="s">
        <v>227</v>
      </c>
      <c r="B114" s="104" t="s">
        <v>232</v>
      </c>
      <c r="C114" s="105">
        <v>44.427</v>
      </c>
      <c r="D114" s="103">
        <f>Table114[[#This Row],[Total Volume (k)]]*1000</f>
        <v>44427</v>
      </c>
      <c r="E114" s="180">
        <f>Table114[[#This Row],[lbs]]*0.000453592</f>
        <v>20.151731783999999</v>
      </c>
    </row>
    <row r="115" spans="1:5" x14ac:dyDescent="0.35">
      <c r="A115" s="106" t="s">
        <v>233</v>
      </c>
      <c r="B115" s="104" t="s">
        <v>234</v>
      </c>
      <c r="C115" s="105">
        <v>5.0279999999999996</v>
      </c>
      <c r="D115" s="103">
        <f>Table114[[#This Row],[Total Volume (k)]]*1000</f>
        <v>5028</v>
      </c>
      <c r="E115" s="180">
        <f>Table114[[#This Row],[lbs]]*0.000453592</f>
        <v>2.2806605759999998</v>
      </c>
    </row>
    <row r="116" spans="1:5" x14ac:dyDescent="0.35">
      <c r="A116" s="106" t="s">
        <v>235</v>
      </c>
      <c r="B116" s="104" t="s">
        <v>186</v>
      </c>
      <c r="C116" s="105">
        <v>3530.51886496</v>
      </c>
      <c r="D116" s="103">
        <f>Table114[[#This Row],[Total Volume (k)]]*1000</f>
        <v>3530518.8649599999</v>
      </c>
      <c r="E116" s="180">
        <f>Table114[[#This Row],[lbs]]*0.000453592</f>
        <v>1601.4151129949364</v>
      </c>
    </row>
    <row r="117" spans="1:5" x14ac:dyDescent="0.35">
      <c r="A117" s="106" t="s">
        <v>235</v>
      </c>
      <c r="B117" s="104" t="s">
        <v>236</v>
      </c>
      <c r="C117" s="105">
        <v>2589.5923289000002</v>
      </c>
      <c r="D117" s="103">
        <f>Table114[[#This Row],[Total Volume (k)]]*1000</f>
        <v>2589592.3289000001</v>
      </c>
      <c r="E117" s="180">
        <f>Table114[[#This Row],[lbs]]*0.000453592</f>
        <v>1174.6183636504088</v>
      </c>
    </row>
    <row r="118" spans="1:5" x14ac:dyDescent="0.35">
      <c r="A118" s="106" t="s">
        <v>237</v>
      </c>
      <c r="B118" s="104" t="s">
        <v>238</v>
      </c>
      <c r="C118" s="105">
        <v>0.41887779999999997</v>
      </c>
      <c r="D118" s="103">
        <f>Table114[[#This Row],[Total Volume (k)]]*1000</f>
        <v>418.87779999999998</v>
      </c>
      <c r="E118" s="180">
        <f>Table114[[#This Row],[lbs]]*0.000453592</f>
        <v>0.18999961905759999</v>
      </c>
    </row>
    <row r="119" spans="1:5" x14ac:dyDescent="0.35">
      <c r="A119" s="106" t="s">
        <v>239</v>
      </c>
      <c r="B119" s="104" t="s">
        <v>239</v>
      </c>
      <c r="C119" s="105">
        <v>4950.0780193805303</v>
      </c>
      <c r="D119" s="103">
        <f>Table114[[#This Row],[Total Volume (k)]]*1000</f>
        <v>4950078.0193805303</v>
      </c>
      <c r="E119" s="180">
        <f>Table114[[#This Row],[lbs]]*0.000453592</f>
        <v>2245.3157889668537</v>
      </c>
    </row>
    <row r="120" spans="1:5" x14ac:dyDescent="0.35">
      <c r="A120" s="106" t="s">
        <v>240</v>
      </c>
      <c r="B120" s="104" t="s">
        <v>241</v>
      </c>
      <c r="C120" s="105">
        <v>274.65173647000006</v>
      </c>
      <c r="D120" s="103">
        <f>Table114[[#This Row],[Total Volume (k)]]*1000</f>
        <v>274651.73647000006</v>
      </c>
      <c r="E120" s="180">
        <f>Table114[[#This Row],[lbs]]*0.000453592</f>
        <v>124.57983044890027</v>
      </c>
    </row>
    <row r="121" spans="1:5" x14ac:dyDescent="0.35">
      <c r="A121" s="106" t="s">
        <v>240</v>
      </c>
      <c r="B121" s="104" t="s">
        <v>242</v>
      </c>
      <c r="C121" s="105">
        <v>3.1834712799999996</v>
      </c>
      <c r="D121" s="103">
        <f>Table114[[#This Row],[Total Volume (k)]]*1000</f>
        <v>3183.4712799999998</v>
      </c>
      <c r="E121" s="180">
        <f>Table114[[#This Row],[lbs]]*0.000453592</f>
        <v>1.44399710483776</v>
      </c>
    </row>
    <row r="122" spans="1:5" x14ac:dyDescent="0.35">
      <c r="A122" s="106" t="s">
        <v>243</v>
      </c>
      <c r="B122" s="104" t="s">
        <v>244</v>
      </c>
      <c r="C122" s="105">
        <v>4962.8355143399995</v>
      </c>
      <c r="D122" s="103">
        <f>Table114[[#This Row],[Total Volume (k)]]*1000</f>
        <v>4962835.5143399993</v>
      </c>
      <c r="E122" s="180">
        <f>Table114[[#This Row],[lbs]]*0.000453592</f>
        <v>2251.1024866205089</v>
      </c>
    </row>
    <row r="123" spans="1:5" x14ac:dyDescent="0.35">
      <c r="A123" s="106" t="s">
        <v>243</v>
      </c>
      <c r="B123" s="104" t="s">
        <v>243</v>
      </c>
      <c r="C123" s="105">
        <v>2028.0519842000003</v>
      </c>
      <c r="D123" s="103">
        <f>Table114[[#This Row],[Total Volume (k)]]*1000</f>
        <v>2028051.9842000003</v>
      </c>
      <c r="E123" s="180">
        <f>Table114[[#This Row],[lbs]]*0.000453592</f>
        <v>919.90815561724651</v>
      </c>
    </row>
    <row r="124" spans="1:5" x14ac:dyDescent="0.35">
      <c r="A124" s="106" t="s">
        <v>245</v>
      </c>
      <c r="B124" s="104" t="s">
        <v>246</v>
      </c>
      <c r="C124" s="105">
        <v>32.25</v>
      </c>
      <c r="D124" s="103">
        <f>Table114[[#This Row],[Total Volume (k)]]*1000</f>
        <v>32250</v>
      </c>
      <c r="E124" s="180">
        <f>Table114[[#This Row],[lbs]]*0.000453592</f>
        <v>14.628342</v>
      </c>
    </row>
    <row r="125" spans="1:5" x14ac:dyDescent="0.35">
      <c r="A125" s="106" t="s">
        <v>245</v>
      </c>
      <c r="B125" s="104" t="s">
        <v>247</v>
      </c>
      <c r="C125" s="105">
        <v>17.940999999999999</v>
      </c>
      <c r="D125" s="103">
        <f>Table114[[#This Row],[Total Volume (k)]]*1000</f>
        <v>17941</v>
      </c>
      <c r="E125" s="180">
        <f>Table114[[#This Row],[lbs]]*0.000453592</f>
        <v>8.1378940719999999</v>
      </c>
    </row>
    <row r="126" spans="1:5" x14ac:dyDescent="0.35">
      <c r="A126" s="106" t="s">
        <v>245</v>
      </c>
      <c r="B126" s="104" t="s">
        <v>169</v>
      </c>
      <c r="C126" s="105">
        <v>14.933999999999999</v>
      </c>
      <c r="D126" s="103">
        <f>Table114[[#This Row],[Total Volume (k)]]*1000</f>
        <v>14934</v>
      </c>
      <c r="E126" s="180">
        <f>Table114[[#This Row],[lbs]]*0.000453592</f>
        <v>6.7739429280000003</v>
      </c>
    </row>
    <row r="127" spans="1:5" x14ac:dyDescent="0.35">
      <c r="A127" s="106" t="s">
        <v>245</v>
      </c>
      <c r="B127" s="104" t="s">
        <v>248</v>
      </c>
      <c r="C127" s="105">
        <v>12.212</v>
      </c>
      <c r="D127" s="103">
        <f>Table114[[#This Row],[Total Volume (k)]]*1000</f>
        <v>12212</v>
      </c>
      <c r="E127" s="180">
        <f>Table114[[#This Row],[lbs]]*0.000453592</f>
        <v>5.5392655040000003</v>
      </c>
    </row>
    <row r="128" spans="1:5" x14ac:dyDescent="0.35">
      <c r="A128" s="106" t="s">
        <v>245</v>
      </c>
      <c r="B128" s="104" t="s">
        <v>249</v>
      </c>
      <c r="C128" s="105">
        <v>8.0850000000000009</v>
      </c>
      <c r="D128" s="103">
        <f>Table114[[#This Row],[Total Volume (k)]]*1000</f>
        <v>8085.0000000000009</v>
      </c>
      <c r="E128" s="180">
        <f>Table114[[#This Row],[lbs]]*0.000453592</f>
        <v>3.6672913200000004</v>
      </c>
    </row>
    <row r="129" spans="1:5" x14ac:dyDescent="0.35">
      <c r="A129" s="106" t="s">
        <v>245</v>
      </c>
      <c r="B129" s="104" t="s">
        <v>250</v>
      </c>
      <c r="C129" s="105">
        <v>7.1249549469999982</v>
      </c>
      <c r="D129" s="103">
        <f>Table114[[#This Row],[Total Volume (k)]]*1000</f>
        <v>7124.9549469999984</v>
      </c>
      <c r="E129" s="180">
        <f>Table114[[#This Row],[lbs]]*0.000453592</f>
        <v>3.2318225643196232</v>
      </c>
    </row>
    <row r="130" spans="1:5" x14ac:dyDescent="0.35">
      <c r="A130" s="106" t="s">
        <v>245</v>
      </c>
      <c r="B130" s="104" t="s">
        <v>251</v>
      </c>
      <c r="C130" s="105">
        <v>5.2439999999999998</v>
      </c>
      <c r="D130" s="103">
        <f>Table114[[#This Row],[Total Volume (k)]]*1000</f>
        <v>5244</v>
      </c>
      <c r="E130" s="180">
        <f>Table114[[#This Row],[lbs]]*0.000453592</f>
        <v>2.378636448</v>
      </c>
    </row>
    <row r="131" spans="1:5" x14ac:dyDescent="0.35">
      <c r="A131" s="106" t="s">
        <v>245</v>
      </c>
      <c r="B131" s="104" t="s">
        <v>252</v>
      </c>
      <c r="C131" s="105">
        <v>0.71899999999999997</v>
      </c>
      <c r="D131" s="103">
        <f>Table114[[#This Row],[Total Volume (k)]]*1000</f>
        <v>719</v>
      </c>
      <c r="E131" s="180">
        <f>Table114[[#This Row],[lbs]]*0.000453592</f>
        <v>0.32613264800000002</v>
      </c>
    </row>
    <row r="132" spans="1:5" x14ac:dyDescent="0.35">
      <c r="A132" s="106" t="s">
        <v>245</v>
      </c>
      <c r="B132" s="104" t="s">
        <v>253</v>
      </c>
      <c r="C132" s="105">
        <v>0.48699999999999999</v>
      </c>
      <c r="D132" s="103">
        <f>Table114[[#This Row],[Total Volume (k)]]*1000</f>
        <v>487</v>
      </c>
      <c r="E132" s="180">
        <f>Table114[[#This Row],[lbs]]*0.000453592</f>
        <v>0.22089930399999999</v>
      </c>
    </row>
    <row r="133" spans="1:5" x14ac:dyDescent="0.35">
      <c r="A133" s="106" t="s">
        <v>245</v>
      </c>
      <c r="B133" s="104" t="s">
        <v>254</v>
      </c>
      <c r="C133" s="105">
        <v>0.19500000000000001</v>
      </c>
      <c r="D133" s="103">
        <f>Table114[[#This Row],[Total Volume (k)]]*1000</f>
        <v>195</v>
      </c>
      <c r="E133" s="180">
        <f>Table114[[#This Row],[lbs]]*0.000453592</f>
        <v>8.8450440000000005E-2</v>
      </c>
    </row>
    <row r="134" spans="1:5" x14ac:dyDescent="0.35">
      <c r="A134" s="106" t="s">
        <v>245</v>
      </c>
      <c r="B134" s="104" t="s">
        <v>255</v>
      </c>
      <c r="C134" s="105">
        <v>0.04</v>
      </c>
      <c r="D134" s="103">
        <f>Table114[[#This Row],[Total Volume (k)]]*1000</f>
        <v>40</v>
      </c>
      <c r="E134" s="180">
        <f>Table114[[#This Row],[lbs]]*0.000453592</f>
        <v>1.8143679999999999E-2</v>
      </c>
    </row>
    <row r="135" spans="1:5" x14ac:dyDescent="0.35">
      <c r="A135" s="106" t="s">
        <v>256</v>
      </c>
      <c r="B135" s="104" t="s">
        <v>256</v>
      </c>
      <c r="C135" s="105">
        <v>0.03</v>
      </c>
      <c r="D135" s="103">
        <f>Table114[[#This Row],[Total Volume (k)]]*1000</f>
        <v>30</v>
      </c>
      <c r="E135" s="180">
        <f>Table114[[#This Row],[lbs]]*0.000453592</f>
        <v>1.360776E-2</v>
      </c>
    </row>
    <row r="136" spans="1:5" x14ac:dyDescent="0.35">
      <c r="A136" s="106" t="s">
        <v>257</v>
      </c>
      <c r="B136" s="104" t="s">
        <v>257</v>
      </c>
      <c r="C136" s="105">
        <v>3.1636296999999995</v>
      </c>
      <c r="D136" s="103">
        <f>Table114[[#This Row],[Total Volume (k)]]*1000</f>
        <v>3163.6296999999995</v>
      </c>
      <c r="E136" s="180">
        <f>Table114[[#This Row],[lbs]]*0.000453592</f>
        <v>1.4349971228823999</v>
      </c>
    </row>
    <row r="137" spans="1:5" x14ac:dyDescent="0.35">
      <c r="A137" s="106" t="s">
        <v>258</v>
      </c>
      <c r="B137" s="104" t="s">
        <v>259</v>
      </c>
      <c r="C137" s="105">
        <v>582.41651159999992</v>
      </c>
      <c r="D137" s="103">
        <f>Table114[[#This Row],[Total Volume (k)]]*1000</f>
        <v>582416.51159999997</v>
      </c>
      <c r="E137" s="180">
        <f>Table114[[#This Row],[lbs]]*0.000453592</f>
        <v>264.1794703296672</v>
      </c>
    </row>
    <row r="138" spans="1:5" x14ac:dyDescent="0.35">
      <c r="A138" s="106" t="s">
        <v>258</v>
      </c>
      <c r="B138" s="104" t="s">
        <v>260</v>
      </c>
      <c r="C138" s="105">
        <v>404.52572379999998</v>
      </c>
      <c r="D138" s="103">
        <f>Table114[[#This Row],[Total Volume (k)]]*1000</f>
        <v>404525.72379999998</v>
      </c>
      <c r="E138" s="180">
        <f>Table114[[#This Row],[lbs]]*0.000453592</f>
        <v>183.48963210988958</v>
      </c>
    </row>
    <row r="139" spans="1:5" x14ac:dyDescent="0.35">
      <c r="A139" s="106" t="s">
        <v>258</v>
      </c>
      <c r="B139" s="104" t="s">
        <v>261</v>
      </c>
      <c r="C139" s="105">
        <v>354.81518486199997</v>
      </c>
      <c r="D139" s="103">
        <f>Table114[[#This Row],[Total Volume (k)]]*1000</f>
        <v>354815.18486199999</v>
      </c>
      <c r="E139" s="180">
        <f>Table114[[#This Row],[lbs]]*0.000453592</f>
        <v>160.94132933192429</v>
      </c>
    </row>
    <row r="140" spans="1:5" x14ac:dyDescent="0.35">
      <c r="A140" s="106" t="s">
        <v>262</v>
      </c>
      <c r="B140" s="104" t="s">
        <v>263</v>
      </c>
      <c r="C140" s="105">
        <v>5195.5081818000026</v>
      </c>
      <c r="D140" s="103">
        <f>Table114[[#This Row],[Total Volume (k)]]*1000</f>
        <v>5195508.1818000022</v>
      </c>
      <c r="E140" s="180">
        <f>Table114[[#This Row],[lbs]]*0.000453592</f>
        <v>2356.6409471990264</v>
      </c>
    </row>
    <row r="141" spans="1:5" x14ac:dyDescent="0.35">
      <c r="A141" s="106" t="s">
        <v>262</v>
      </c>
      <c r="B141" s="104" t="s">
        <v>264</v>
      </c>
      <c r="C141" s="105">
        <v>431.28</v>
      </c>
      <c r="D141" s="103">
        <f>Table114[[#This Row],[Total Volume (k)]]*1000</f>
        <v>431280</v>
      </c>
      <c r="E141" s="180">
        <f>Table114[[#This Row],[lbs]]*0.000453592</f>
        <v>195.62515776000001</v>
      </c>
    </row>
    <row r="142" spans="1:5" x14ac:dyDescent="0.35">
      <c r="A142" s="106" t="s">
        <v>262</v>
      </c>
      <c r="B142" s="104" t="s">
        <v>262</v>
      </c>
      <c r="C142" s="105">
        <v>317.464</v>
      </c>
      <c r="D142" s="103">
        <f>Table114[[#This Row],[Total Volume (k)]]*1000</f>
        <v>317464</v>
      </c>
      <c r="E142" s="180">
        <f>Table114[[#This Row],[lbs]]*0.000453592</f>
        <v>143.99913068800001</v>
      </c>
    </row>
    <row r="143" spans="1:5" x14ac:dyDescent="0.35">
      <c r="A143" s="106" t="s">
        <v>262</v>
      </c>
      <c r="B143" s="104" t="s">
        <v>265</v>
      </c>
      <c r="C143" s="105">
        <v>164.78211727999999</v>
      </c>
      <c r="D143" s="103">
        <f>Table114[[#This Row],[Total Volume (k)]]*1000</f>
        <v>164782.11728000001</v>
      </c>
      <c r="E143" s="180">
        <f>Table114[[#This Row],[lbs]]*0.000453592</f>
        <v>74.74385014126976</v>
      </c>
    </row>
    <row r="144" spans="1:5" x14ac:dyDescent="0.35">
      <c r="A144" s="106" t="s">
        <v>262</v>
      </c>
      <c r="B144" s="104" t="s">
        <v>113</v>
      </c>
      <c r="C144" s="105">
        <v>119.304</v>
      </c>
      <c r="D144" s="103">
        <f>Table114[[#This Row],[Total Volume (k)]]*1000</f>
        <v>119304</v>
      </c>
      <c r="E144" s="180">
        <f>Table114[[#This Row],[lbs]]*0.000453592</f>
        <v>54.115339968000001</v>
      </c>
    </row>
    <row r="145" spans="1:5" x14ac:dyDescent="0.35">
      <c r="A145" s="106" t="s">
        <v>262</v>
      </c>
      <c r="B145" s="104" t="s">
        <v>266</v>
      </c>
      <c r="C145" s="105">
        <v>38.351748899999997</v>
      </c>
      <c r="D145" s="103">
        <f>Table114[[#This Row],[Total Volume (k)]]*1000</f>
        <v>38351.748899999999</v>
      </c>
      <c r="E145" s="180">
        <f>Table114[[#This Row],[lbs]]*0.000453592</f>
        <v>17.3960464870488</v>
      </c>
    </row>
    <row r="146" spans="1:5" x14ac:dyDescent="0.35">
      <c r="A146" s="106" t="s">
        <v>262</v>
      </c>
      <c r="B146" s="104" t="s">
        <v>267</v>
      </c>
      <c r="C146" s="105">
        <v>36.18</v>
      </c>
      <c r="D146" s="103">
        <f>Table114[[#This Row],[Total Volume (k)]]*1000</f>
        <v>36180</v>
      </c>
      <c r="E146" s="180">
        <f>Table114[[#This Row],[lbs]]*0.000453592</f>
        <v>16.410958560000001</v>
      </c>
    </row>
    <row r="147" spans="1:5" x14ac:dyDescent="0.35">
      <c r="A147" s="106" t="s">
        <v>262</v>
      </c>
      <c r="B147" s="104" t="s">
        <v>268</v>
      </c>
      <c r="C147" s="105">
        <v>19.7920162528</v>
      </c>
      <c r="D147" s="103">
        <f>Table114[[#This Row],[Total Volume (k)]]*1000</f>
        <v>19792.0162528</v>
      </c>
      <c r="E147" s="180">
        <f>Table114[[#This Row],[lbs]]*0.000453592</f>
        <v>8.9775002361400578</v>
      </c>
    </row>
    <row r="148" spans="1:5" x14ac:dyDescent="0.35">
      <c r="A148" s="106" t="s">
        <v>262</v>
      </c>
      <c r="B148" s="104" t="s">
        <v>269</v>
      </c>
      <c r="C148" s="105">
        <v>12.621449499999999</v>
      </c>
      <c r="D148" s="103">
        <f>Table114[[#This Row],[Total Volume (k)]]*1000</f>
        <v>12621.449499999999</v>
      </c>
      <c r="E148" s="180">
        <f>Table114[[#This Row],[lbs]]*0.000453592</f>
        <v>5.7249885216039997</v>
      </c>
    </row>
    <row r="149" spans="1:5" x14ac:dyDescent="0.35">
      <c r="A149" s="106" t="s">
        <v>262</v>
      </c>
      <c r="B149" s="104" t="s">
        <v>270</v>
      </c>
      <c r="C149" s="105">
        <v>3.9683159999999997</v>
      </c>
      <c r="D149" s="103">
        <f>Table114[[#This Row],[Total Volume (k)]]*1000</f>
        <v>3968.3159999999998</v>
      </c>
      <c r="E149" s="180">
        <f>Table114[[#This Row],[lbs]]*0.000453592</f>
        <v>1.7999963910719998</v>
      </c>
    </row>
    <row r="150" spans="1:5" x14ac:dyDescent="0.35">
      <c r="A150" s="106" t="s">
        <v>262</v>
      </c>
      <c r="B150" s="104" t="s">
        <v>271</v>
      </c>
      <c r="C150" s="105">
        <v>3.02914788</v>
      </c>
      <c r="D150" s="103">
        <f>Table114[[#This Row],[Total Volume (k)]]*1000</f>
        <v>3029.14788</v>
      </c>
      <c r="E150" s="180">
        <f>Table114[[#This Row],[lbs]]*0.000453592</f>
        <v>1.37399724518496</v>
      </c>
    </row>
    <row r="151" spans="1:5" x14ac:dyDescent="0.35">
      <c r="A151" s="106" t="s">
        <v>262</v>
      </c>
      <c r="B151" s="104" t="s">
        <v>272</v>
      </c>
      <c r="C151" s="105">
        <v>2</v>
      </c>
      <c r="D151" s="103">
        <f>Table114[[#This Row],[Total Volume (k)]]*1000</f>
        <v>2000</v>
      </c>
      <c r="E151" s="180">
        <f>Table114[[#This Row],[lbs]]*0.000453592</f>
        <v>0.90718399999999999</v>
      </c>
    </row>
    <row r="152" spans="1:5" x14ac:dyDescent="0.35">
      <c r="A152" s="106" t="s">
        <v>273</v>
      </c>
      <c r="B152" s="104" t="s">
        <v>273</v>
      </c>
      <c r="C152" s="105">
        <v>118.76201772</v>
      </c>
      <c r="D152" s="103">
        <f>Table114[[#This Row],[Total Volume (k)]]*1000</f>
        <v>118762.01772</v>
      </c>
      <c r="E152" s="180">
        <f>Table114[[#This Row],[lbs]]*0.000453592</f>
        <v>53.86950114165024</v>
      </c>
    </row>
    <row r="153" spans="1:5" x14ac:dyDescent="0.35">
      <c r="A153" s="106" t="s">
        <v>274</v>
      </c>
      <c r="B153" s="104" t="s">
        <v>275</v>
      </c>
      <c r="C153" s="105">
        <v>418.56897279999998</v>
      </c>
      <c r="D153" s="103">
        <f>Table114[[#This Row],[Total Volume (k)]]*1000</f>
        <v>418568.97279999999</v>
      </c>
      <c r="E153" s="180">
        <f>Table114[[#This Row],[lbs]]*0.000453592</f>
        <v>189.8595375102976</v>
      </c>
    </row>
    <row r="154" spans="1:5" x14ac:dyDescent="0.35">
      <c r="A154" s="106" t="s">
        <v>274</v>
      </c>
      <c r="B154" s="104" t="s">
        <v>276</v>
      </c>
      <c r="C154" s="105">
        <v>21.943000000000001</v>
      </c>
      <c r="D154" s="103">
        <f>Table114[[#This Row],[Total Volume (k)]]*1000</f>
        <v>21943</v>
      </c>
      <c r="E154" s="180">
        <f>Table114[[#This Row],[lbs]]*0.000453592</f>
        <v>9.9531692560000007</v>
      </c>
    </row>
    <row r="155" spans="1:5" x14ac:dyDescent="0.35">
      <c r="A155" s="106" t="s">
        <v>277</v>
      </c>
      <c r="B155" s="104" t="s">
        <v>278</v>
      </c>
      <c r="C155" s="105">
        <v>26.394082059999981</v>
      </c>
      <c r="D155" s="103">
        <f>Table114[[#This Row],[Total Volume (k)]]*1000</f>
        <v>26394.082059999982</v>
      </c>
      <c r="E155" s="180">
        <f>Table114[[#This Row],[lbs]]*0.000453592</f>
        <v>11.972144469759511</v>
      </c>
    </row>
    <row r="156" spans="1:5" x14ac:dyDescent="0.35">
      <c r="A156" s="106" t="s">
        <v>277</v>
      </c>
      <c r="B156" s="104" t="s">
        <v>279</v>
      </c>
      <c r="C156" s="105">
        <v>7.3634308000000042</v>
      </c>
      <c r="D156" s="103">
        <f>Table114[[#This Row],[Total Volume (k)]]*1000</f>
        <v>7363.4308000000037</v>
      </c>
      <c r="E156" s="180">
        <f>Table114[[#This Row],[lbs]]*0.000453592</f>
        <v>3.3399933034336016</v>
      </c>
    </row>
    <row r="157" spans="1:5" x14ac:dyDescent="0.35">
      <c r="A157" s="113" t="s">
        <v>280</v>
      </c>
      <c r="B157" s="114" t="s">
        <v>281</v>
      </c>
      <c r="C157" s="115">
        <v>4714.07</v>
      </c>
      <c r="D157" s="116">
        <f>Table114[[#This Row],[Total Volume (k)]]*1000</f>
        <v>4714070</v>
      </c>
      <c r="E157" s="184">
        <f>Table114[[#This Row],[lbs]]*0.000453592</f>
        <v>2138.2644394399999</v>
      </c>
    </row>
    <row r="158" spans="1:5" x14ac:dyDescent="0.35">
      <c r="A158" s="113" t="s">
        <v>280</v>
      </c>
      <c r="B158" s="114" t="s">
        <v>282</v>
      </c>
      <c r="C158" s="115">
        <v>279.52</v>
      </c>
      <c r="D158" s="116">
        <f>Table114[[#This Row],[Total Volume (k)]]*1000</f>
        <v>279520</v>
      </c>
      <c r="E158" s="184">
        <f>Table114[[#This Row],[lbs]]*0.000453592</f>
        <v>126.78803584000001</v>
      </c>
    </row>
    <row r="159" spans="1:5" x14ac:dyDescent="0.35">
      <c r="A159" s="113" t="s">
        <v>280</v>
      </c>
      <c r="B159" s="114" t="s">
        <v>283</v>
      </c>
      <c r="C159" s="115">
        <v>2.4</v>
      </c>
      <c r="D159" s="116">
        <f>Table114[[#This Row],[Total Volume (k)]]*1000</f>
        <v>2400</v>
      </c>
      <c r="E159" s="184">
        <f>Table114[[#This Row],[lbs]]*0.000453592</f>
        <v>1.0886207999999999</v>
      </c>
    </row>
    <row r="160" spans="1:5" x14ac:dyDescent="0.35">
      <c r="A160" s="113" t="s">
        <v>280</v>
      </c>
      <c r="B160" s="114" t="s">
        <v>281</v>
      </c>
      <c r="C160" s="115">
        <v>3192.47</v>
      </c>
      <c r="D160" s="116">
        <f>Table114[[#This Row],[Total Volume (k)]]*1000</f>
        <v>3192470</v>
      </c>
      <c r="E160" s="184">
        <f>Table114[[#This Row],[lbs]]*0.000453592</f>
        <v>1448.0788522400001</v>
      </c>
    </row>
    <row r="161" spans="1:5" x14ac:dyDescent="0.35">
      <c r="A161" s="106" t="s">
        <v>244</v>
      </c>
      <c r="B161" s="104" t="s">
        <v>220</v>
      </c>
      <c r="C161" s="105">
        <v>0.45</v>
      </c>
      <c r="D161" s="103">
        <f>Table114[[#This Row],[Total Volume (k)]]*1000</f>
        <v>450</v>
      </c>
      <c r="E161" s="180">
        <f>Table114[[#This Row],[lbs]]*0.000453592</f>
        <v>0.2041164</v>
      </c>
    </row>
    <row r="162" spans="1:5" x14ac:dyDescent="0.35">
      <c r="A162" s="106" t="s">
        <v>244</v>
      </c>
      <c r="B162" s="104" t="s">
        <v>244</v>
      </c>
      <c r="C162" s="105">
        <v>2.0640000000000001</v>
      </c>
      <c r="D162" s="103">
        <f>Table114[[#This Row],[Total Volume (k)]]*1000</f>
        <v>2064</v>
      </c>
      <c r="E162" s="180">
        <f>Table114[[#This Row],[lbs]]*0.000453592</f>
        <v>0.93621388800000005</v>
      </c>
    </row>
    <row r="163" spans="1:5" x14ac:dyDescent="0.35">
      <c r="A163" s="106" t="s">
        <v>284</v>
      </c>
      <c r="B163" s="104" t="s">
        <v>285</v>
      </c>
      <c r="C163" s="105">
        <v>629.19749744000023</v>
      </c>
      <c r="D163" s="103">
        <f>Table114[[#This Row],[Total Volume (k)]]*1000</f>
        <v>629197.49744000018</v>
      </c>
      <c r="E163" s="180">
        <f>Table114[[#This Row],[lbs]]*0.000453592</f>
        <v>285.39895125880457</v>
      </c>
    </row>
    <row r="164" spans="1:5" x14ac:dyDescent="0.35">
      <c r="A164" s="106" t="s">
        <v>286</v>
      </c>
      <c r="B164" s="104" t="s">
        <v>287</v>
      </c>
      <c r="C164" s="105">
        <v>166.15326400000001</v>
      </c>
      <c r="D164" s="103">
        <f>Table114[[#This Row],[Total Volume (k)]]*1000</f>
        <v>166153.264</v>
      </c>
      <c r="E164" s="180">
        <f>Table114[[#This Row],[lbs]]*0.000453592</f>
        <v>75.365791324287997</v>
      </c>
    </row>
    <row r="165" spans="1:5" x14ac:dyDescent="0.35">
      <c r="A165" s="106" t="s">
        <v>286</v>
      </c>
      <c r="B165" s="104" t="s">
        <v>288</v>
      </c>
      <c r="C165" s="105">
        <v>101.87961270732799</v>
      </c>
      <c r="D165" s="103">
        <f>Table114[[#This Row],[Total Volume (k)]]*1000</f>
        <v>101879.61270732799</v>
      </c>
      <c r="E165" s="180">
        <f>Table114[[#This Row],[lbs]]*0.000453592</f>
        <v>46.211777287142318</v>
      </c>
    </row>
    <row r="166" spans="1:5" x14ac:dyDescent="0.35">
      <c r="A166" s="106" t="s">
        <v>286</v>
      </c>
      <c r="B166" s="104" t="s">
        <v>289</v>
      </c>
      <c r="C166" s="105">
        <v>59.4</v>
      </c>
      <c r="D166" s="103">
        <f>Table114[[#This Row],[Total Volume (k)]]*1000</f>
        <v>59400</v>
      </c>
      <c r="E166" s="180">
        <f>Table114[[#This Row],[lbs]]*0.000453592</f>
        <v>26.943364800000001</v>
      </c>
    </row>
    <row r="167" spans="1:5" x14ac:dyDescent="0.35">
      <c r="A167" s="106" t="s">
        <v>286</v>
      </c>
      <c r="B167" s="104" t="s">
        <v>244</v>
      </c>
      <c r="C167" s="105">
        <v>52.073124399999998</v>
      </c>
      <c r="D167" s="103">
        <f>Table114[[#This Row],[Total Volume (k)]]*1000</f>
        <v>52073.124400000001</v>
      </c>
      <c r="E167" s="180">
        <f>Table114[[#This Row],[lbs]]*0.000453592</f>
        <v>23.619952642844801</v>
      </c>
    </row>
    <row r="168" spans="1:5" x14ac:dyDescent="0.35">
      <c r="A168" s="106" t="s">
        <v>290</v>
      </c>
      <c r="B168" s="104" t="s">
        <v>290</v>
      </c>
      <c r="C168" s="105">
        <v>354.18001041999997</v>
      </c>
      <c r="D168" s="103">
        <f>Table114[[#This Row],[Total Volume (k)]]*1000</f>
        <v>354180.01041999995</v>
      </c>
      <c r="E168" s="180">
        <f>Table114[[#This Row],[lbs]]*0.000453592</f>
        <v>160.65321928642862</v>
      </c>
    </row>
    <row r="169" spans="1:5" x14ac:dyDescent="0.35">
      <c r="A169" s="106" t="s">
        <v>291</v>
      </c>
      <c r="B169" s="104" t="s">
        <v>292</v>
      </c>
      <c r="C169" s="105">
        <v>15.443223100000001</v>
      </c>
      <c r="D169" s="103">
        <f>Table114[[#This Row],[Total Volume (k)]]*1000</f>
        <v>15443.223100000001</v>
      </c>
      <c r="E169" s="180">
        <f>Table114[[#This Row],[lbs]]*0.000453592</f>
        <v>7.0049224523752009</v>
      </c>
    </row>
    <row r="170" spans="1:5" x14ac:dyDescent="0.35">
      <c r="A170" s="106" t="s">
        <v>291</v>
      </c>
      <c r="B170" s="104" t="s">
        <v>293</v>
      </c>
      <c r="C170" s="105">
        <v>0.64704620000000002</v>
      </c>
      <c r="D170" s="103">
        <f>Table114[[#This Row],[Total Volume (k)]]*1000</f>
        <v>647.0462</v>
      </c>
      <c r="E170" s="180">
        <f>Table114[[#This Row],[lbs]]*0.000453592</f>
        <v>0.29349497995040003</v>
      </c>
    </row>
    <row r="171" spans="1:5" x14ac:dyDescent="0.35">
      <c r="A171" s="106" t="s">
        <v>291</v>
      </c>
      <c r="B171" s="104" t="s">
        <v>294</v>
      </c>
      <c r="C171" s="105">
        <v>0.26455439999999997</v>
      </c>
      <c r="D171" s="103">
        <f>Table114[[#This Row],[Total Volume (k)]]*1000</f>
        <v>264.55439999999999</v>
      </c>
      <c r="E171" s="180">
        <f>Table114[[#This Row],[lbs]]*0.000453592</f>
        <v>0.1199997594048</v>
      </c>
    </row>
    <row r="172" spans="1:5" x14ac:dyDescent="0.35">
      <c r="A172" s="106" t="s">
        <v>295</v>
      </c>
      <c r="B172" s="104" t="s">
        <v>295</v>
      </c>
      <c r="C172" s="105">
        <v>15.31265992</v>
      </c>
      <c r="D172" s="103">
        <f>Table114[[#This Row],[Total Volume (k)]]*1000</f>
        <v>15312.65992</v>
      </c>
      <c r="E172" s="180">
        <f>Table114[[#This Row],[lbs]]*0.000453592</f>
        <v>6.9457000384326397</v>
      </c>
    </row>
    <row r="173" spans="1:5" x14ac:dyDescent="0.35">
      <c r="A173" s="106" t="s">
        <v>295</v>
      </c>
      <c r="B173" s="104" t="s">
        <v>288</v>
      </c>
      <c r="C173" s="105">
        <v>12.218002399999998</v>
      </c>
      <c r="D173" s="103">
        <f>Table114[[#This Row],[Total Volume (k)]]*1000</f>
        <v>12218.002399999998</v>
      </c>
      <c r="E173" s="180">
        <f>Table114[[#This Row],[lbs]]*0.000453592</f>
        <v>5.5419881446207988</v>
      </c>
    </row>
    <row r="174" spans="1:5" x14ac:dyDescent="0.35">
      <c r="A174" s="106" t="s">
        <v>296</v>
      </c>
      <c r="B174" s="104" t="s">
        <v>297</v>
      </c>
      <c r="C174" s="105">
        <v>17601.069833599999</v>
      </c>
      <c r="D174" s="103">
        <f>Table114[[#This Row],[Total Volume (k)]]*1000</f>
        <v>17601069.8336</v>
      </c>
      <c r="E174" s="180">
        <f>Table114[[#This Row],[lbs]]*0.000453592</f>
        <v>7983.7044679622913</v>
      </c>
    </row>
    <row r="175" spans="1:5" x14ac:dyDescent="0.35">
      <c r="A175" s="106" t="s">
        <v>298</v>
      </c>
      <c r="B175" s="104" t="s">
        <v>299</v>
      </c>
      <c r="C175" s="105">
        <v>1.68</v>
      </c>
      <c r="D175" s="103">
        <f>Table114[[#This Row],[Total Volume (k)]]*1000</f>
        <v>1680</v>
      </c>
      <c r="E175" s="180">
        <f>Table114[[#This Row],[lbs]]*0.000453592</f>
        <v>0.76203456000000003</v>
      </c>
    </row>
    <row r="176" spans="1:5" x14ac:dyDescent="0.35">
      <c r="A176" s="106" t="s">
        <v>300</v>
      </c>
      <c r="B176" s="104" t="s">
        <v>300</v>
      </c>
      <c r="C176" s="105">
        <v>384.57864239200006</v>
      </c>
      <c r="D176" s="103">
        <f>Table114[[#This Row],[Total Volume (k)]]*1000</f>
        <v>384578.64239200007</v>
      </c>
      <c r="E176" s="180">
        <f>Table114[[#This Row],[lbs]]*0.000453592</f>
        <v>174.44179555987211</v>
      </c>
    </row>
    <row r="177" spans="1:5" x14ac:dyDescent="0.35">
      <c r="A177" s="106" t="s">
        <v>300</v>
      </c>
      <c r="B177" s="104" t="s">
        <v>301</v>
      </c>
      <c r="C177" s="105">
        <v>100</v>
      </c>
      <c r="D177" s="103">
        <f>Table114[[#This Row],[Total Volume (k)]]*1000</f>
        <v>100000</v>
      </c>
      <c r="E177" s="180">
        <f>Table114[[#This Row],[lbs]]*0.000453592</f>
        <v>45.359200000000001</v>
      </c>
    </row>
    <row r="178" spans="1:5" x14ac:dyDescent="0.35">
      <c r="A178" s="106" t="s">
        <v>300</v>
      </c>
      <c r="B178" s="104" t="s">
        <v>302</v>
      </c>
      <c r="C178" s="105">
        <v>0.6</v>
      </c>
      <c r="D178" s="103">
        <f>Table114[[#This Row],[Total Volume (k)]]*1000</f>
        <v>600</v>
      </c>
      <c r="E178" s="180">
        <f>Table114[[#This Row],[lbs]]*0.000453592</f>
        <v>0.27215519999999999</v>
      </c>
    </row>
    <row r="179" spans="1:5" x14ac:dyDescent="0.35">
      <c r="A179" s="106" t="s">
        <v>303</v>
      </c>
      <c r="B179" s="104" t="s">
        <v>303</v>
      </c>
      <c r="C179" s="105">
        <v>21.173170479999996</v>
      </c>
      <c r="D179" s="103">
        <f>Table114[[#This Row],[Total Volume (k)]]*1000</f>
        <v>21173.170479999997</v>
      </c>
      <c r="E179" s="180">
        <f>Table114[[#This Row],[lbs]]*0.000453592</f>
        <v>9.6039807443641596</v>
      </c>
    </row>
    <row r="180" spans="1:5" x14ac:dyDescent="0.35">
      <c r="A180" s="106" t="s">
        <v>304</v>
      </c>
      <c r="B180" s="104" t="s">
        <v>305</v>
      </c>
      <c r="C180" s="105">
        <v>177.42781759999997</v>
      </c>
      <c r="D180" s="103">
        <f>Table114[[#This Row],[Total Volume (k)]]*1000</f>
        <v>177427.81759999998</v>
      </c>
      <c r="E180" s="180">
        <f>Table114[[#This Row],[lbs]]*0.000453592</f>
        <v>80.479838640819196</v>
      </c>
    </row>
    <row r="181" spans="1:5" x14ac:dyDescent="0.35">
      <c r="A181" s="106" t="s">
        <v>304</v>
      </c>
      <c r="B181" s="104" t="s">
        <v>304</v>
      </c>
      <c r="C181" s="105">
        <v>15.0796008</v>
      </c>
      <c r="D181" s="103">
        <f>Table114[[#This Row],[Total Volume (k)]]*1000</f>
        <v>15079.6008</v>
      </c>
      <c r="E181" s="180">
        <f>Table114[[#This Row],[lbs]]*0.000453592</f>
        <v>6.8399862860736</v>
      </c>
    </row>
    <row r="182" spans="1:5" x14ac:dyDescent="0.35">
      <c r="A182" s="106" t="s">
        <v>304</v>
      </c>
      <c r="B182" s="104" t="s">
        <v>306</v>
      </c>
      <c r="C182" s="105">
        <v>3.5273919999999999</v>
      </c>
      <c r="D182" s="103">
        <f>Table114[[#This Row],[Total Volume (k)]]*1000</f>
        <v>3527.3919999999998</v>
      </c>
      <c r="E182" s="180">
        <f>Table114[[#This Row],[lbs]]*0.000453592</f>
        <v>1.5999967920639999</v>
      </c>
    </row>
    <row r="183" spans="1:5" x14ac:dyDescent="0.35">
      <c r="A183" s="106" t="s">
        <v>307</v>
      </c>
      <c r="B183" s="104" t="s">
        <v>308</v>
      </c>
      <c r="C183" s="105">
        <v>162.7258952</v>
      </c>
      <c r="D183" s="103">
        <f>Table114[[#This Row],[Total Volume (k)]]*1000</f>
        <v>162725.8952</v>
      </c>
      <c r="E183" s="180">
        <f>Table114[[#This Row],[lbs]]*0.000453592</f>
        <v>73.811164255558396</v>
      </c>
    </row>
    <row r="184" spans="1:5" x14ac:dyDescent="0.35">
      <c r="A184" s="106" t="s">
        <v>307</v>
      </c>
      <c r="B184" s="104" t="s">
        <v>307</v>
      </c>
      <c r="C184" s="105">
        <v>39.252894628859998</v>
      </c>
      <c r="D184" s="103">
        <f>Table114[[#This Row],[Total Volume (k)]]*1000</f>
        <v>39252.894628859998</v>
      </c>
      <c r="E184" s="180">
        <f>Table114[[#This Row],[lbs]]*0.000453592</f>
        <v>17.804798980493864</v>
      </c>
    </row>
    <row r="185" spans="1:5" x14ac:dyDescent="0.35">
      <c r="A185" s="106" t="s">
        <v>309</v>
      </c>
      <c r="B185" s="104" t="s">
        <v>310</v>
      </c>
      <c r="C185" s="105">
        <v>960.29156080799987</v>
      </c>
      <c r="D185" s="103">
        <f>Table114[[#This Row],[Total Volume (k)]]*1000</f>
        <v>960291.56080799992</v>
      </c>
      <c r="E185" s="180">
        <f>Table114[[#This Row],[lbs]]*0.000453592</f>
        <v>435.58056965002231</v>
      </c>
    </row>
    <row r="186" spans="1:5" x14ac:dyDescent="0.35">
      <c r="A186" s="106" t="s">
        <v>309</v>
      </c>
      <c r="B186" s="104" t="s">
        <v>311</v>
      </c>
      <c r="C186" s="105">
        <v>250.41300000000001</v>
      </c>
      <c r="D186" s="103">
        <f>Table114[[#This Row],[Total Volume (k)]]*1000</f>
        <v>250413</v>
      </c>
      <c r="E186" s="180">
        <f>Table114[[#This Row],[lbs]]*0.000453592</f>
        <v>113.585333496</v>
      </c>
    </row>
    <row r="187" spans="1:5" x14ac:dyDescent="0.35">
      <c r="A187" s="106" t="s">
        <v>309</v>
      </c>
      <c r="B187" s="104" t="s">
        <v>312</v>
      </c>
      <c r="C187" s="105">
        <v>65.37</v>
      </c>
      <c r="D187" s="103">
        <f>Table114[[#This Row],[Total Volume (k)]]*1000</f>
        <v>65370.000000000007</v>
      </c>
      <c r="E187" s="180">
        <f>Table114[[#This Row],[lbs]]*0.000453592</f>
        <v>29.651309040000005</v>
      </c>
    </row>
    <row r="188" spans="1:5" x14ac:dyDescent="0.35">
      <c r="A188" s="106" t="s">
        <v>309</v>
      </c>
      <c r="B188" s="104" t="s">
        <v>313</v>
      </c>
      <c r="C188" s="105">
        <v>12.5</v>
      </c>
      <c r="D188" s="103">
        <f>Table114[[#This Row],[Total Volume (k)]]*1000</f>
        <v>12500</v>
      </c>
      <c r="E188" s="180">
        <f>Table114[[#This Row],[lbs]]*0.000453592</f>
        <v>5.6699000000000002</v>
      </c>
    </row>
    <row r="189" spans="1:5" x14ac:dyDescent="0.35">
      <c r="A189" s="106" t="s">
        <v>309</v>
      </c>
      <c r="B189" s="104" t="s">
        <v>309</v>
      </c>
      <c r="C189" s="105">
        <v>1.38</v>
      </c>
      <c r="D189" s="103">
        <f>Table114[[#This Row],[Total Volume (k)]]*1000</f>
        <v>1380</v>
      </c>
      <c r="E189" s="180">
        <f>Table114[[#This Row],[lbs]]*0.000453592</f>
        <v>0.62595696000000001</v>
      </c>
    </row>
    <row r="190" spans="1:5" x14ac:dyDescent="0.35">
      <c r="A190" s="109" t="s">
        <v>314</v>
      </c>
      <c r="B190" s="110" t="s">
        <v>315</v>
      </c>
      <c r="C190" s="111">
        <v>10296.158015297598</v>
      </c>
      <c r="D190" s="112">
        <f>Table114[[#This Row],[Total Volume (k)]]*1000</f>
        <v>10296158.015297599</v>
      </c>
      <c r="E190" s="185">
        <f>Table114[[#This Row],[lbs]]*0.000453592</f>
        <v>4670.2549064748682</v>
      </c>
    </row>
    <row r="191" spans="1:5" x14ac:dyDescent="0.35">
      <c r="A191" s="109" t="s">
        <v>314</v>
      </c>
      <c r="B191" s="110" t="s">
        <v>316</v>
      </c>
      <c r="C191" s="111">
        <v>9989.6540000000005</v>
      </c>
      <c r="D191" s="112">
        <f>Table114[[#This Row],[Total Volume (k)]]*1000</f>
        <v>9989654</v>
      </c>
      <c r="E191" s="185">
        <f>Table114[[#This Row],[lbs]]*0.000453592</f>
        <v>4531.2271371679999</v>
      </c>
    </row>
    <row r="192" spans="1:5" x14ac:dyDescent="0.35">
      <c r="A192" s="109" t="s">
        <v>314</v>
      </c>
      <c r="B192" s="110" t="s">
        <v>317</v>
      </c>
      <c r="C192" s="111">
        <v>5188.92</v>
      </c>
      <c r="D192" s="112">
        <f>Table114[[#This Row],[Total Volume (k)]]*1000</f>
        <v>5188920</v>
      </c>
      <c r="E192" s="185">
        <f>Table114[[#This Row],[lbs]]*0.000453592</f>
        <v>2353.6526006399999</v>
      </c>
    </row>
    <row r="193" spans="1:5" x14ac:dyDescent="0.35">
      <c r="A193" s="109" t="s">
        <v>314</v>
      </c>
      <c r="B193" s="110" t="s">
        <v>318</v>
      </c>
      <c r="C193" s="111">
        <v>3487.95</v>
      </c>
      <c r="D193" s="112">
        <f>Table114[[#This Row],[Total Volume (k)]]*1000</f>
        <v>3487950</v>
      </c>
      <c r="E193" s="185">
        <f>Table114[[#This Row],[lbs]]*0.000453592</f>
        <v>1582.1062164</v>
      </c>
    </row>
    <row r="194" spans="1:5" x14ac:dyDescent="0.35">
      <c r="A194" s="109" t="s">
        <v>314</v>
      </c>
      <c r="B194" s="110" t="s">
        <v>146</v>
      </c>
      <c r="C194" s="111">
        <v>1649.4084991999998</v>
      </c>
      <c r="D194" s="112">
        <f>Table114[[#This Row],[Total Volume (k)]]*1000</f>
        <v>1649408.4991999997</v>
      </c>
      <c r="E194" s="185">
        <f>Table114[[#This Row],[lbs]]*0.000453592</f>
        <v>748.1584999691263</v>
      </c>
    </row>
    <row r="195" spans="1:5" x14ac:dyDescent="0.35">
      <c r="A195" s="106" t="s">
        <v>319</v>
      </c>
      <c r="B195" s="104" t="s">
        <v>320</v>
      </c>
      <c r="C195" s="105">
        <v>2596.0859999999998</v>
      </c>
      <c r="D195" s="103">
        <f>Table114[[#This Row],[Total Volume (k)]]*1000</f>
        <v>2596086</v>
      </c>
      <c r="E195" s="180">
        <f>Table114[[#This Row],[lbs]]*0.000453592</f>
        <v>1177.5638409119999</v>
      </c>
    </row>
    <row r="196" spans="1:5" x14ac:dyDescent="0.35">
      <c r="A196" s="106" t="s">
        <v>319</v>
      </c>
      <c r="B196" s="104" t="s">
        <v>321</v>
      </c>
      <c r="C196" s="105">
        <v>210.89599999999999</v>
      </c>
      <c r="D196" s="103">
        <f>Table114[[#This Row],[Total Volume (k)]]*1000</f>
        <v>210896</v>
      </c>
      <c r="E196" s="180">
        <f>Table114[[#This Row],[lbs]]*0.000453592</f>
        <v>95.660738432000002</v>
      </c>
    </row>
    <row r="197" spans="1:5" x14ac:dyDescent="0.35">
      <c r="A197" s="106" t="s">
        <v>319</v>
      </c>
      <c r="B197" s="104" t="s">
        <v>146</v>
      </c>
      <c r="C197" s="105">
        <v>185.8</v>
      </c>
      <c r="D197" s="103">
        <f>Table114[[#This Row],[Total Volume (k)]]*1000</f>
        <v>185800</v>
      </c>
      <c r="E197" s="180">
        <f>Table114[[#This Row],[lbs]]*0.000453592</f>
        <v>84.277393599999996</v>
      </c>
    </row>
    <row r="198" spans="1:5" x14ac:dyDescent="0.35">
      <c r="A198" s="106" t="s">
        <v>319</v>
      </c>
      <c r="B198" s="104" t="s">
        <v>322</v>
      </c>
      <c r="C198" s="105">
        <v>53.351219999999991</v>
      </c>
      <c r="D198" s="103">
        <f>Table114[[#This Row],[Total Volume (k)]]*1000</f>
        <v>53351.219999999994</v>
      </c>
      <c r="E198" s="180">
        <f>Table114[[#This Row],[lbs]]*0.000453592</f>
        <v>24.199686582239998</v>
      </c>
    </row>
    <row r="199" spans="1:5" x14ac:dyDescent="0.35">
      <c r="A199" s="106" t="s">
        <v>319</v>
      </c>
      <c r="B199" s="104" t="s">
        <v>100</v>
      </c>
      <c r="C199" s="105">
        <v>50.7</v>
      </c>
      <c r="D199" s="103">
        <f>Table114[[#This Row],[Total Volume (k)]]*1000</f>
        <v>50700</v>
      </c>
      <c r="E199" s="180">
        <f>Table114[[#This Row],[lbs]]*0.000453592</f>
        <v>22.997114400000001</v>
      </c>
    </row>
    <row r="200" spans="1:5" x14ac:dyDescent="0.35">
      <c r="A200" s="106" t="s">
        <v>319</v>
      </c>
      <c r="B200" s="104" t="s">
        <v>323</v>
      </c>
      <c r="C200" s="105">
        <v>50.35</v>
      </c>
      <c r="D200" s="103">
        <f>Table114[[#This Row],[Total Volume (k)]]*1000</f>
        <v>50350</v>
      </c>
      <c r="E200" s="180">
        <f>Table114[[#This Row],[lbs]]*0.000453592</f>
        <v>22.838357200000001</v>
      </c>
    </row>
    <row r="201" spans="1:5" x14ac:dyDescent="0.35">
      <c r="A201" s="106" t="s">
        <v>319</v>
      </c>
      <c r="B201" s="104" t="s">
        <v>324</v>
      </c>
      <c r="C201" s="105">
        <v>20.002167979799996</v>
      </c>
      <c r="D201" s="103">
        <f>Table114[[#This Row],[Total Volume (k)]]*1000</f>
        <v>20002.167979799997</v>
      </c>
      <c r="E201" s="180">
        <f>Table114[[#This Row],[lbs]]*0.000453592</f>
        <v>9.0728233782934407</v>
      </c>
    </row>
    <row r="202" spans="1:5" x14ac:dyDescent="0.35">
      <c r="A202" s="106" t="s">
        <v>319</v>
      </c>
      <c r="B202" s="104" t="s">
        <v>325</v>
      </c>
      <c r="C202" s="105">
        <v>3.1760000000000002</v>
      </c>
      <c r="D202" s="103">
        <f>Table114[[#This Row],[Total Volume (k)]]*1000</f>
        <v>3176</v>
      </c>
      <c r="E202" s="180">
        <f>Table114[[#This Row],[lbs]]*0.000453592</f>
        <v>1.440608192</v>
      </c>
    </row>
    <row r="203" spans="1:5" x14ac:dyDescent="0.35">
      <c r="A203" s="106" t="s">
        <v>326</v>
      </c>
      <c r="B203" s="104" t="s">
        <v>326</v>
      </c>
      <c r="C203" s="105">
        <v>67.354888853999995</v>
      </c>
      <c r="D203" s="103">
        <f>Table114[[#This Row],[Total Volume (k)]]*1000</f>
        <v>67354.88885399999</v>
      </c>
      <c r="E203" s="180">
        <f>Table114[[#This Row],[lbs]]*0.000453592</f>
        <v>30.551638745063563</v>
      </c>
    </row>
    <row r="204" spans="1:5" x14ac:dyDescent="0.35">
      <c r="A204" s="106" t="s">
        <v>327</v>
      </c>
      <c r="B204" s="104" t="s">
        <v>327</v>
      </c>
      <c r="C204" s="105">
        <v>477.55200000000002</v>
      </c>
      <c r="D204" s="103">
        <f>Table114[[#This Row],[Total Volume (k)]]*1000</f>
        <v>477552</v>
      </c>
      <c r="E204" s="180">
        <f>Table114[[#This Row],[lbs]]*0.000453592</f>
        <v>216.61376678400001</v>
      </c>
    </row>
    <row r="205" spans="1:5" x14ac:dyDescent="0.35">
      <c r="A205" s="106" t="s">
        <v>328</v>
      </c>
      <c r="B205" s="104" t="s">
        <v>328</v>
      </c>
      <c r="C205" s="105">
        <v>682.5</v>
      </c>
      <c r="D205" s="103">
        <f>Table114[[#This Row],[Total Volume (k)]]*1000</f>
        <v>682500</v>
      </c>
      <c r="E205" s="180">
        <f>Table114[[#This Row],[lbs]]*0.000453592</f>
        <v>309.57654000000002</v>
      </c>
    </row>
    <row r="206" spans="1:5" x14ac:dyDescent="0.35">
      <c r="A206" s="106" t="s">
        <v>329</v>
      </c>
      <c r="B206" s="104" t="s">
        <v>330</v>
      </c>
      <c r="C206" s="105">
        <v>5979.2380868000018</v>
      </c>
      <c r="D206" s="103">
        <f>Table114[[#This Row],[Total Volume (k)]]*1000</f>
        <v>5979238.0868000016</v>
      </c>
      <c r="E206" s="180">
        <f>Table114[[#This Row],[lbs]]*0.000453592</f>
        <v>2712.1345622677864</v>
      </c>
    </row>
    <row r="207" spans="1:5" x14ac:dyDescent="0.35">
      <c r="A207" s="106" t="s">
        <v>329</v>
      </c>
      <c r="B207" s="104" t="s">
        <v>331</v>
      </c>
      <c r="C207" s="105">
        <v>3069.5806107999997</v>
      </c>
      <c r="D207" s="103">
        <f>Table114[[#This Row],[Total Volume (k)]]*1000</f>
        <v>3069580.6107999999</v>
      </c>
      <c r="E207" s="180">
        <f>Table114[[#This Row],[lbs]]*0.000453592</f>
        <v>1392.3372084139935</v>
      </c>
    </row>
    <row r="208" spans="1:5" x14ac:dyDescent="0.35">
      <c r="A208" s="106" t="s">
        <v>329</v>
      </c>
      <c r="B208" s="104" t="s">
        <v>332</v>
      </c>
      <c r="C208" s="105">
        <v>528.09500000000003</v>
      </c>
      <c r="D208" s="103">
        <f>Table114[[#This Row],[Total Volume (k)]]*1000</f>
        <v>528095</v>
      </c>
      <c r="E208" s="180">
        <f>Table114[[#This Row],[lbs]]*0.000453592</f>
        <v>239.53966724</v>
      </c>
    </row>
    <row r="209" spans="1:5" x14ac:dyDescent="0.35">
      <c r="A209" s="106" t="s">
        <v>329</v>
      </c>
      <c r="B209" s="104" t="s">
        <v>322</v>
      </c>
      <c r="C209" s="105">
        <v>116.85040000000001</v>
      </c>
      <c r="D209" s="103">
        <f>Table114[[#This Row],[Total Volume (k)]]*1000</f>
        <v>116850.40000000001</v>
      </c>
      <c r="E209" s="180">
        <f>Table114[[#This Row],[lbs]]*0.000453592</f>
        <v>53.002406636800004</v>
      </c>
    </row>
    <row r="210" spans="1:5" x14ac:dyDescent="0.35">
      <c r="A210" s="106" t="s">
        <v>329</v>
      </c>
      <c r="B210" s="104" t="s">
        <v>318</v>
      </c>
      <c r="C210" s="105">
        <v>15.500800399999999</v>
      </c>
      <c r="D210" s="103">
        <f>Table114[[#This Row],[Total Volume (k)]]*1000</f>
        <v>15500.8004</v>
      </c>
      <c r="E210" s="180">
        <f>Table114[[#This Row],[lbs]]*0.000453592</f>
        <v>7.0310390550367998</v>
      </c>
    </row>
    <row r="211" spans="1:5" x14ac:dyDescent="0.35">
      <c r="A211" s="106" t="s">
        <v>329</v>
      </c>
      <c r="B211" s="104" t="s">
        <v>333</v>
      </c>
      <c r="C211" s="105">
        <v>0.44092000000000003</v>
      </c>
      <c r="D211" s="103">
        <f>Table114[[#This Row],[Total Volume (k)]]*1000</f>
        <v>440.92</v>
      </c>
      <c r="E211" s="180">
        <f>Table114[[#This Row],[lbs]]*0.000453592</f>
        <v>0.19999778464000001</v>
      </c>
    </row>
    <row r="212" spans="1:5" x14ac:dyDescent="0.35">
      <c r="A212" s="106" t="s">
        <v>334</v>
      </c>
      <c r="B212" s="104" t="s">
        <v>335</v>
      </c>
      <c r="C212" s="105">
        <v>7152.6250355999982</v>
      </c>
      <c r="D212" s="103">
        <f>Table114[[#This Row],[Total Volume (k)]]*1000</f>
        <v>7152625.0355999982</v>
      </c>
      <c r="E212" s="180">
        <f>Table114[[#This Row],[lbs]]*0.000453592</f>
        <v>3244.3734951478746</v>
      </c>
    </row>
    <row r="213" spans="1:5" x14ac:dyDescent="0.35">
      <c r="A213" s="106" t="s">
        <v>334</v>
      </c>
      <c r="B213" s="104" t="s">
        <v>334</v>
      </c>
      <c r="C213" s="105">
        <v>792.14118947471002</v>
      </c>
      <c r="D213" s="103">
        <f>Table114[[#This Row],[Total Volume (k)]]*1000</f>
        <v>792141.18947471003</v>
      </c>
      <c r="E213" s="180">
        <f>Table114[[#This Row],[lbs]]*0.000453592</f>
        <v>359.30890641621266</v>
      </c>
    </row>
    <row r="214" spans="1:5" x14ac:dyDescent="0.35">
      <c r="A214" s="106" t="s">
        <v>336</v>
      </c>
      <c r="B214" s="104" t="s">
        <v>336</v>
      </c>
      <c r="C214" s="105">
        <v>36.287999999999997</v>
      </c>
      <c r="D214" s="103">
        <f>Table114[[#This Row],[Total Volume (k)]]*1000</f>
        <v>36288</v>
      </c>
      <c r="E214" s="180">
        <f>Table114[[#This Row],[lbs]]*0.000453592</f>
        <v>16.459946496000001</v>
      </c>
    </row>
    <row r="215" spans="1:5" x14ac:dyDescent="0.35">
      <c r="A215" s="106" t="s">
        <v>336</v>
      </c>
      <c r="B215" s="104" t="s">
        <v>337</v>
      </c>
      <c r="C215" s="105">
        <v>24.864249999999998</v>
      </c>
      <c r="D215" s="103">
        <f>Table114[[#This Row],[Total Volume (k)]]*1000</f>
        <v>24864.25</v>
      </c>
      <c r="E215" s="180">
        <f>Table114[[#This Row],[lbs]]*0.000453592</f>
        <v>11.278224886</v>
      </c>
    </row>
    <row r="216" spans="1:5" x14ac:dyDescent="0.35">
      <c r="A216" s="117" t="s">
        <v>338</v>
      </c>
      <c r="B216" s="118" t="s">
        <v>339</v>
      </c>
      <c r="C216" s="119">
        <v>198714.764</v>
      </c>
      <c r="D216" s="120">
        <f>Table114[[#This Row],[Total Volume (k)]]*1000</f>
        <v>198714764</v>
      </c>
      <c r="E216" s="186">
        <f>Table114[[#This Row],[lbs]]*0.000453592</f>
        <v>90135.427232287999</v>
      </c>
    </row>
    <row r="217" spans="1:5" x14ac:dyDescent="0.35">
      <c r="A217" s="117" t="s">
        <v>338</v>
      </c>
      <c r="B217" s="118" t="s">
        <v>340</v>
      </c>
      <c r="C217" s="119">
        <v>112484.311</v>
      </c>
      <c r="D217" s="120">
        <f>Table114[[#This Row],[Total Volume (k)]]*1000</f>
        <v>112484311</v>
      </c>
      <c r="E217" s="186">
        <f>Table114[[#This Row],[lbs]]*0.000453592</f>
        <v>51021.983595112004</v>
      </c>
    </row>
    <row r="218" spans="1:5" x14ac:dyDescent="0.35">
      <c r="A218" s="117" t="s">
        <v>338</v>
      </c>
      <c r="B218" s="118" t="s">
        <v>341</v>
      </c>
      <c r="C218" s="119">
        <v>53792.114000000001</v>
      </c>
      <c r="D218" s="120">
        <f>Table114[[#This Row],[Total Volume (k)]]*1000</f>
        <v>53792114</v>
      </c>
      <c r="E218" s="186">
        <f>Table114[[#This Row],[lbs]]*0.000453592</f>
        <v>24399.672573488002</v>
      </c>
    </row>
    <row r="219" spans="1:5" x14ac:dyDescent="0.35">
      <c r="A219" s="117" t="s">
        <v>338</v>
      </c>
      <c r="B219" s="118" t="s">
        <v>342</v>
      </c>
      <c r="C219" s="119">
        <v>11900.22</v>
      </c>
      <c r="D219" s="120">
        <f>Table114[[#This Row],[Total Volume (k)]]*1000</f>
        <v>11900220</v>
      </c>
      <c r="E219" s="186">
        <f>Table114[[#This Row],[lbs]]*0.000453592</f>
        <v>5397.8445902399999</v>
      </c>
    </row>
    <row r="225" spans="1:3" x14ac:dyDescent="0.35">
      <c r="A225"/>
      <c r="B225"/>
    </row>
    <row r="227" spans="1:3" x14ac:dyDescent="0.35">
      <c r="A227" s="82" t="s">
        <v>343</v>
      </c>
      <c r="B227" t="s">
        <v>344</v>
      </c>
      <c r="C227"/>
    </row>
    <row r="228" spans="1:3" x14ac:dyDescent="0.35">
      <c r="A228" s="123" t="s">
        <v>280</v>
      </c>
      <c r="B228" s="124">
        <v>3714.2199483200002</v>
      </c>
      <c r="C228"/>
    </row>
    <row r="229" spans="1:3" x14ac:dyDescent="0.35">
      <c r="A229" s="127" t="s">
        <v>314</v>
      </c>
      <c r="B229" s="128">
        <v>13885.399360651994</v>
      </c>
      <c r="C229"/>
    </row>
    <row r="230" spans="1:3" x14ac:dyDescent="0.35">
      <c r="A230" s="125" t="s">
        <v>338</v>
      </c>
      <c r="B230" s="126">
        <v>170954.927991128</v>
      </c>
      <c r="C230"/>
    </row>
    <row r="231" spans="1:3" x14ac:dyDescent="0.35">
      <c r="A231" s="83" t="s">
        <v>345</v>
      </c>
      <c r="B231" s="29">
        <v>188554.54730010001</v>
      </c>
      <c r="C231"/>
    </row>
    <row r="232" spans="1:3" x14ac:dyDescent="0.35">
      <c r="A232"/>
      <c r="B232"/>
      <c r="C232"/>
    </row>
    <row r="233" spans="1:3" x14ac:dyDescent="0.35">
      <c r="A233"/>
      <c r="B233"/>
      <c r="C233"/>
    </row>
    <row r="234" spans="1:3" x14ac:dyDescent="0.35">
      <c r="A234"/>
      <c r="B234"/>
      <c r="C234"/>
    </row>
    <row r="235" spans="1:3" x14ac:dyDescent="0.35">
      <c r="A235"/>
      <c r="B235"/>
      <c r="C235"/>
    </row>
    <row r="236" spans="1:3" x14ac:dyDescent="0.35">
      <c r="A236"/>
      <c r="B236"/>
      <c r="C236"/>
    </row>
    <row r="237" spans="1:3" x14ac:dyDescent="0.35">
      <c r="A237"/>
      <c r="B237"/>
      <c r="C237"/>
    </row>
    <row r="238" spans="1:3" x14ac:dyDescent="0.35">
      <c r="A238"/>
      <c r="B238"/>
      <c r="C238"/>
    </row>
    <row r="239" spans="1:3" x14ac:dyDescent="0.35">
      <c r="A239"/>
      <c r="B239"/>
      <c r="C239"/>
    </row>
    <row r="240" spans="1:3" x14ac:dyDescent="0.35">
      <c r="A240"/>
      <c r="B240"/>
      <c r="C240"/>
    </row>
    <row r="241" spans="1:3" x14ac:dyDescent="0.35">
      <c r="A241"/>
      <c r="B241"/>
      <c r="C241"/>
    </row>
    <row r="242" spans="1:3" x14ac:dyDescent="0.35">
      <c r="A242"/>
      <c r="B242"/>
      <c r="C242"/>
    </row>
    <row r="243" spans="1:3" x14ac:dyDescent="0.35">
      <c r="A243"/>
      <c r="B243"/>
      <c r="C243"/>
    </row>
    <row r="244" spans="1:3" x14ac:dyDescent="0.35">
      <c r="A244"/>
      <c r="B244"/>
      <c r="C244"/>
    </row>
    <row r="245" spans="1:3" x14ac:dyDescent="0.35">
      <c r="A245"/>
      <c r="B245"/>
    </row>
    <row r="246" spans="1:3" x14ac:dyDescent="0.35">
      <c r="A246"/>
      <c r="B246"/>
    </row>
    <row r="247" spans="1:3" x14ac:dyDescent="0.35">
      <c r="A247"/>
      <c r="B247"/>
    </row>
    <row r="248" spans="1:3" x14ac:dyDescent="0.35">
      <c r="A248"/>
      <c r="B248"/>
    </row>
    <row r="249" spans="1:3" x14ac:dyDescent="0.35">
      <c r="A249"/>
      <c r="B249"/>
    </row>
    <row r="250" spans="1:3" x14ac:dyDescent="0.35">
      <c r="A250"/>
      <c r="B250"/>
    </row>
    <row r="251" spans="1:3" x14ac:dyDescent="0.35">
      <c r="A251"/>
      <c r="B251"/>
    </row>
    <row r="252" spans="1:3" x14ac:dyDescent="0.35">
      <c r="A252"/>
      <c r="B252"/>
    </row>
    <row r="253" spans="1:3" x14ac:dyDescent="0.35">
      <c r="A253"/>
      <c r="B253"/>
    </row>
    <row r="254" spans="1:3" x14ac:dyDescent="0.35">
      <c r="A254"/>
      <c r="B254"/>
    </row>
    <row r="255" spans="1:3" x14ac:dyDescent="0.35">
      <c r="A255"/>
      <c r="B255"/>
    </row>
    <row r="256" spans="1:3" x14ac:dyDescent="0.35">
      <c r="A256"/>
      <c r="B256"/>
    </row>
    <row r="257" spans="1:2" x14ac:dyDescent="0.35">
      <c r="A257"/>
      <c r="B257"/>
    </row>
    <row r="258" spans="1:2" x14ac:dyDescent="0.35">
      <c r="A258"/>
      <c r="B258"/>
    </row>
    <row r="259" spans="1:2" x14ac:dyDescent="0.35">
      <c r="A259"/>
      <c r="B259"/>
    </row>
    <row r="260" spans="1:2" x14ac:dyDescent="0.35">
      <c r="A260"/>
      <c r="B260"/>
    </row>
    <row r="261" spans="1:2" x14ac:dyDescent="0.35">
      <c r="A261"/>
      <c r="B261"/>
    </row>
    <row r="262" spans="1:2" x14ac:dyDescent="0.35">
      <c r="A262"/>
      <c r="B262"/>
    </row>
    <row r="263" spans="1:2" x14ac:dyDescent="0.35">
      <c r="A263"/>
      <c r="B263"/>
    </row>
    <row r="264" spans="1:2" x14ac:dyDescent="0.35">
      <c r="A264"/>
      <c r="B264"/>
    </row>
    <row r="265" spans="1:2" x14ac:dyDescent="0.35">
      <c r="A265"/>
      <c r="B265"/>
    </row>
    <row r="266" spans="1:2" x14ac:dyDescent="0.35">
      <c r="A266"/>
      <c r="B266"/>
    </row>
    <row r="267" spans="1:2" x14ac:dyDescent="0.35">
      <c r="A267"/>
      <c r="B267"/>
    </row>
    <row r="268" spans="1:2" x14ac:dyDescent="0.35">
      <c r="A268"/>
      <c r="B268"/>
    </row>
    <row r="269" spans="1:2" x14ac:dyDescent="0.35">
      <c r="A269"/>
      <c r="B269"/>
    </row>
    <row r="270" spans="1:2" x14ac:dyDescent="0.35">
      <c r="A270"/>
      <c r="B270"/>
    </row>
    <row r="271" spans="1:2" x14ac:dyDescent="0.35">
      <c r="A271"/>
      <c r="B271"/>
    </row>
    <row r="272" spans="1:2" x14ac:dyDescent="0.35">
      <c r="A272"/>
      <c r="B272"/>
    </row>
    <row r="273" spans="1:2" x14ac:dyDescent="0.35">
      <c r="A273"/>
      <c r="B273"/>
    </row>
    <row r="274" spans="1:2" x14ac:dyDescent="0.35">
      <c r="A274"/>
      <c r="B274"/>
    </row>
    <row r="275" spans="1:2" x14ac:dyDescent="0.35">
      <c r="A275"/>
      <c r="B275"/>
    </row>
    <row r="276" spans="1:2" x14ac:dyDescent="0.35">
      <c r="A276"/>
      <c r="B276"/>
    </row>
    <row r="277" spans="1:2" x14ac:dyDescent="0.35">
      <c r="A277"/>
      <c r="B277"/>
    </row>
    <row r="278" spans="1:2" x14ac:dyDescent="0.35">
      <c r="A278"/>
      <c r="B278"/>
    </row>
    <row r="279" spans="1:2" x14ac:dyDescent="0.35">
      <c r="A279"/>
      <c r="B279"/>
    </row>
    <row r="280" spans="1:2" x14ac:dyDescent="0.35">
      <c r="A280"/>
      <c r="B280"/>
    </row>
    <row r="281" spans="1:2" x14ac:dyDescent="0.35">
      <c r="A281"/>
      <c r="B281"/>
    </row>
    <row r="282" spans="1:2" x14ac:dyDescent="0.35">
      <c r="A282"/>
      <c r="B282"/>
    </row>
    <row r="283" spans="1:2" x14ac:dyDescent="0.35">
      <c r="A283"/>
      <c r="B283"/>
    </row>
    <row r="284" spans="1:2" x14ac:dyDescent="0.35">
      <c r="A284"/>
      <c r="B284"/>
    </row>
    <row r="285" spans="1:2" x14ac:dyDescent="0.35">
      <c r="A285"/>
      <c r="B285"/>
    </row>
    <row r="286" spans="1:2" x14ac:dyDescent="0.35">
      <c r="A286"/>
      <c r="B286"/>
    </row>
    <row r="287" spans="1:2" x14ac:dyDescent="0.35">
      <c r="A287"/>
      <c r="B287"/>
    </row>
    <row r="288" spans="1:2" x14ac:dyDescent="0.35">
      <c r="A288"/>
      <c r="B288"/>
    </row>
    <row r="289" spans="1:2" x14ac:dyDescent="0.35">
      <c r="A289"/>
      <c r="B289"/>
    </row>
    <row r="290" spans="1:2" x14ac:dyDescent="0.35">
      <c r="A290"/>
      <c r="B290"/>
    </row>
    <row r="291" spans="1:2" x14ac:dyDescent="0.35">
      <c r="A291"/>
      <c r="B291"/>
    </row>
    <row r="292" spans="1:2" x14ac:dyDescent="0.35">
      <c r="A292"/>
      <c r="B292"/>
    </row>
    <row r="293" spans="1:2" x14ac:dyDescent="0.35">
      <c r="A293"/>
      <c r="B293"/>
    </row>
    <row r="294" spans="1:2" x14ac:dyDescent="0.35">
      <c r="A294"/>
      <c r="B294"/>
    </row>
    <row r="295" spans="1:2" x14ac:dyDescent="0.35">
      <c r="A295"/>
      <c r="B295"/>
    </row>
    <row r="296" spans="1:2" x14ac:dyDescent="0.35">
      <c r="A296"/>
      <c r="B296"/>
    </row>
    <row r="297" spans="1:2" x14ac:dyDescent="0.35">
      <c r="A297"/>
      <c r="B297"/>
    </row>
    <row r="298" spans="1:2" x14ac:dyDescent="0.35">
      <c r="A298"/>
      <c r="B298"/>
    </row>
    <row r="299" spans="1:2" x14ac:dyDescent="0.35">
      <c r="A299"/>
      <c r="B299"/>
    </row>
    <row r="300" spans="1:2" x14ac:dyDescent="0.35">
      <c r="A300"/>
      <c r="B300"/>
    </row>
    <row r="301" spans="1:2" x14ac:dyDescent="0.35">
      <c r="A301"/>
      <c r="B301"/>
    </row>
    <row r="302" spans="1:2" x14ac:dyDescent="0.35">
      <c r="A302"/>
      <c r="B302"/>
    </row>
    <row r="303" spans="1:2" x14ac:dyDescent="0.35">
      <c r="A303"/>
      <c r="B303"/>
    </row>
    <row r="304" spans="1:2" x14ac:dyDescent="0.35">
      <c r="A304"/>
      <c r="B304"/>
    </row>
    <row r="305" spans="1:2" x14ac:dyDescent="0.35">
      <c r="A305"/>
      <c r="B305"/>
    </row>
    <row r="306" spans="1:2" x14ac:dyDescent="0.35">
      <c r="A306"/>
      <c r="B306"/>
    </row>
    <row r="307" spans="1:2" x14ac:dyDescent="0.35">
      <c r="A307"/>
      <c r="B307"/>
    </row>
    <row r="308" spans="1:2" x14ac:dyDescent="0.35">
      <c r="A308"/>
      <c r="B308"/>
    </row>
    <row r="309" spans="1:2" x14ac:dyDescent="0.35">
      <c r="A309"/>
      <c r="B309"/>
    </row>
    <row r="310" spans="1:2" x14ac:dyDescent="0.35">
      <c r="A310"/>
      <c r="B310"/>
    </row>
    <row r="311" spans="1:2" x14ac:dyDescent="0.35">
      <c r="A311"/>
      <c r="B311"/>
    </row>
  </sheetData>
  <hyperlinks>
    <hyperlink ref="H1" r:id="rId2" xr:uid="{6F9F3D3E-3CE7-4967-BB92-659F4956BF0F}"/>
  </hyperlinks>
  <pageMargins left="0.7" right="0.7" top="0.75" bottom="0.75" header="0.3" footer="0.3"/>
  <pageSetup orientation="portrait" horizontalDpi="1200" verticalDpi="1200" r:id="rId3"/>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B7C98-9372-4FC3-BFBD-1BD29246F8B5}">
  <dimension ref="A1:P26"/>
  <sheetViews>
    <sheetView zoomScale="90" zoomScaleNormal="90" workbookViewId="0">
      <selection activeCell="L15" sqref="L15"/>
    </sheetView>
  </sheetViews>
  <sheetFormatPr defaultRowHeight="14.5" x14ac:dyDescent="0.35"/>
  <cols>
    <col min="1" max="1" width="44.7265625" customWidth="1"/>
    <col min="2" max="2" width="12.1796875" customWidth="1"/>
    <col min="3" max="3" width="26.1796875" customWidth="1"/>
    <col min="4" max="4" width="16.81640625" customWidth="1"/>
    <col min="5" max="5" width="14.54296875" customWidth="1"/>
    <col min="6" max="6" width="25.1796875" bestFit="1" customWidth="1"/>
    <col min="7" max="7" width="20.7265625" bestFit="1" customWidth="1"/>
    <col min="8" max="8" width="24.453125" bestFit="1" customWidth="1"/>
    <col min="9" max="9" width="15.453125" customWidth="1"/>
    <col min="10" max="10" width="18.54296875" bestFit="1" customWidth="1"/>
    <col min="11" max="11" width="22.7265625" bestFit="1" customWidth="1"/>
    <col min="12" max="12" width="24.453125" customWidth="1"/>
    <col min="14" max="14" width="13.54296875" bestFit="1" customWidth="1"/>
    <col min="15" max="15" width="10.81640625" bestFit="1" customWidth="1"/>
    <col min="16" max="16" width="14.26953125" bestFit="1" customWidth="1"/>
  </cols>
  <sheetData>
    <row r="1" spans="1:16" x14ac:dyDescent="0.35">
      <c r="A1" s="53" t="s">
        <v>346</v>
      </c>
      <c r="B1" s="53" t="s">
        <v>347</v>
      </c>
      <c r="C1" s="53"/>
      <c r="D1" s="54"/>
      <c r="N1" s="56" t="s">
        <v>348</v>
      </c>
      <c r="O1" s="56"/>
    </row>
    <row r="2" spans="1:16" x14ac:dyDescent="0.35">
      <c r="A2" t="s">
        <v>349</v>
      </c>
      <c r="B2">
        <f>COUNTIF(Table2[Stage],A2)</f>
        <v>3</v>
      </c>
      <c r="N2" s="57" t="s">
        <v>350</v>
      </c>
      <c r="O2">
        <v>2.9300099999999999E-2</v>
      </c>
    </row>
    <row r="3" spans="1:16" ht="15" thickBot="1" x14ac:dyDescent="0.4">
      <c r="A3" t="s">
        <v>351</v>
      </c>
      <c r="B3">
        <f>COUNTIF(Table2[Stage],A3)</f>
        <v>2</v>
      </c>
      <c r="N3" s="58" t="s">
        <v>352</v>
      </c>
      <c r="O3" s="52">
        <v>3.7853999999999998E-6</v>
      </c>
    </row>
    <row r="4" spans="1:16" x14ac:dyDescent="0.35">
      <c r="A4" t="s">
        <v>353</v>
      </c>
      <c r="B4">
        <f>COUNTIF(Table2[Stage],A4)</f>
        <v>2</v>
      </c>
    </row>
    <row r="5" spans="1:16" x14ac:dyDescent="0.35">
      <c r="A5" t="s">
        <v>354</v>
      </c>
      <c r="B5">
        <f>COUNTIF(Table2[Stage],A5)</f>
        <v>7</v>
      </c>
    </row>
    <row r="6" spans="1:16" ht="15" thickBot="1" x14ac:dyDescent="0.4">
      <c r="A6" s="52" t="s">
        <v>355</v>
      </c>
      <c r="B6" s="52">
        <f>COUNTIF(Table2[Stage],A6)</f>
        <v>0</v>
      </c>
    </row>
    <row r="9" spans="1:16" x14ac:dyDescent="0.35">
      <c r="A9" s="194" t="s">
        <v>356</v>
      </c>
      <c r="B9" s="194"/>
      <c r="C9" s="194"/>
      <c r="D9" s="194"/>
      <c r="E9" s="192" t="s">
        <v>357</v>
      </c>
      <c r="F9" s="192"/>
      <c r="G9" s="192"/>
      <c r="H9" s="192"/>
      <c r="I9" s="193" t="s">
        <v>358</v>
      </c>
      <c r="J9" s="193"/>
      <c r="K9" s="193"/>
      <c r="L9" s="193"/>
    </row>
    <row r="10" spans="1:16" x14ac:dyDescent="0.35">
      <c r="A10" t="s">
        <v>359</v>
      </c>
      <c r="B10" t="s">
        <v>360</v>
      </c>
      <c r="C10" t="s">
        <v>346</v>
      </c>
      <c r="D10" t="s">
        <v>361</v>
      </c>
      <c r="E10" t="s">
        <v>362</v>
      </c>
      <c r="F10" t="s">
        <v>363</v>
      </c>
      <c r="G10" t="s">
        <v>364</v>
      </c>
      <c r="H10" t="s">
        <v>365</v>
      </c>
      <c r="I10" s="10" t="s">
        <v>366</v>
      </c>
      <c r="J10" s="10" t="s">
        <v>367</v>
      </c>
      <c r="K10" s="10" t="s">
        <v>368</v>
      </c>
      <c r="L10" t="s">
        <v>369</v>
      </c>
    </row>
    <row r="11" spans="1:16" ht="29" x14ac:dyDescent="0.35">
      <c r="A11" s="6" t="s">
        <v>370</v>
      </c>
      <c r="B11" s="6" t="s">
        <v>371</v>
      </c>
      <c r="C11" t="s">
        <v>349</v>
      </c>
      <c r="D11">
        <v>2025</v>
      </c>
      <c r="E11" t="s">
        <v>372</v>
      </c>
      <c r="F11" s="7">
        <v>940</v>
      </c>
      <c r="G11" s="7">
        <f>15000000*0.0000037854</f>
        <v>56.780999999999999</v>
      </c>
      <c r="H11" s="26">
        <f>178000*0.0293001</f>
        <v>5215.4178000000002</v>
      </c>
      <c r="I11" s="10">
        <v>178000</v>
      </c>
      <c r="J11" s="10">
        <v>350000</v>
      </c>
      <c r="K11" s="10">
        <v>145000</v>
      </c>
      <c r="L11" s="51">
        <f>Table2[[#This Row],[CapEx Required]]/(Table2[[#This Row],[Incentive]]+Table2[[#This Row],[Annual OpEx Savings]])</f>
        <v>1.0835913312693499</v>
      </c>
    </row>
    <row r="12" spans="1:16" ht="29" x14ac:dyDescent="0.35">
      <c r="A12" s="6" t="s">
        <v>373</v>
      </c>
      <c r="B12" s="6" t="s">
        <v>374</v>
      </c>
      <c r="C12" t="s">
        <v>351</v>
      </c>
      <c r="D12">
        <v>2025</v>
      </c>
      <c r="E12" t="s">
        <v>375</v>
      </c>
      <c r="F12">
        <v>1058</v>
      </c>
      <c r="G12" s="8" t="s">
        <v>376</v>
      </c>
      <c r="H12" s="49">
        <f>200000*0.0293001</f>
        <v>5860.0199999999995</v>
      </c>
      <c r="I12" s="10">
        <v>100000</v>
      </c>
      <c r="J12" s="10">
        <v>1000000</v>
      </c>
      <c r="K12" s="10">
        <v>150000</v>
      </c>
      <c r="L12">
        <f>Table2[[#This Row],[CapEx Required]]/(Table2[[#This Row],[Incentive]]+Table2[[#This Row],[Annual OpEx Savings]])</f>
        <v>4</v>
      </c>
    </row>
    <row r="13" spans="1:16" x14ac:dyDescent="0.35">
      <c r="A13" s="6" t="s">
        <v>377</v>
      </c>
      <c r="B13" s="6" t="s">
        <v>374</v>
      </c>
      <c r="C13" t="s">
        <v>354</v>
      </c>
      <c r="D13">
        <v>2023</v>
      </c>
      <c r="E13" t="s">
        <v>375</v>
      </c>
      <c r="F13">
        <v>545</v>
      </c>
      <c r="G13" s="8" t="s">
        <v>376</v>
      </c>
      <c r="H13" s="49">
        <f>100000*O2</f>
        <v>2930.0099999999998</v>
      </c>
      <c r="I13" s="10">
        <v>25000</v>
      </c>
      <c r="J13" s="10"/>
      <c r="K13" s="10"/>
      <c r="L13">
        <f>Table2[[#This Row],[CapEx Required]]/(Table2[[#This Row],[Incentive]]+Table2[[#This Row],[Annual OpEx Savings]])</f>
        <v>0</v>
      </c>
      <c r="P13" s="11"/>
    </row>
    <row r="14" spans="1:16" ht="29" x14ac:dyDescent="0.35">
      <c r="A14" s="6" t="s">
        <v>378</v>
      </c>
      <c r="B14" s="6" t="s">
        <v>379</v>
      </c>
      <c r="C14" t="s">
        <v>354</v>
      </c>
      <c r="D14">
        <v>2022</v>
      </c>
      <c r="E14" t="s">
        <v>380</v>
      </c>
      <c r="F14" s="8" t="s">
        <v>376</v>
      </c>
      <c r="G14" s="49">
        <v>1400</v>
      </c>
      <c r="H14" s="8" t="s">
        <v>376</v>
      </c>
      <c r="I14" s="55"/>
      <c r="J14" s="10"/>
      <c r="K14" s="10"/>
      <c r="L14" t="e">
        <f>Table2[[#This Row],[CapEx Required]]/(Table2[[#This Row],[Incentive]]+Table2[[#This Row],[Annual OpEx Savings]])</f>
        <v>#DIV/0!</v>
      </c>
    </row>
    <row r="15" spans="1:16" ht="101.5" x14ac:dyDescent="0.35">
      <c r="A15" s="6" t="s">
        <v>381</v>
      </c>
      <c r="B15" s="6" t="s">
        <v>382</v>
      </c>
      <c r="C15" t="s">
        <v>353</v>
      </c>
      <c r="D15">
        <v>2024</v>
      </c>
      <c r="E15" t="s">
        <v>375</v>
      </c>
      <c r="F15">
        <v>1000</v>
      </c>
      <c r="G15" s="8" t="s">
        <v>376</v>
      </c>
      <c r="I15" s="10"/>
      <c r="J15" s="10"/>
      <c r="K15" s="10"/>
      <c r="L15" t="e">
        <f>Table2[[#This Row],[CapEx Required]]/(Table2[[#This Row],[Incentive]]+Table2[[#This Row],[Annual OpEx Savings]])</f>
        <v>#DIV/0!</v>
      </c>
    </row>
    <row r="16" spans="1:16" ht="43.5" x14ac:dyDescent="0.35">
      <c r="A16" s="6" t="s">
        <v>383</v>
      </c>
      <c r="B16" s="6" t="s">
        <v>379</v>
      </c>
      <c r="C16" t="s">
        <v>349</v>
      </c>
      <c r="D16">
        <v>2025</v>
      </c>
      <c r="E16" t="s">
        <v>372</v>
      </c>
      <c r="I16" s="10"/>
      <c r="J16" s="10"/>
      <c r="K16" s="10"/>
      <c r="L16" t="e">
        <f>Table2[[#This Row],[CapEx Required]]/(Table2[[#This Row],[Incentive]]+Table2[[#This Row],[Annual OpEx Savings]])</f>
        <v>#DIV/0!</v>
      </c>
    </row>
    <row r="17" spans="1:12" ht="29" x14ac:dyDescent="0.35">
      <c r="A17" s="6" t="s">
        <v>384</v>
      </c>
      <c r="B17" s="6" t="s">
        <v>374</v>
      </c>
      <c r="C17" t="s">
        <v>354</v>
      </c>
      <c r="D17">
        <v>2024</v>
      </c>
      <c r="E17" t="s">
        <v>375</v>
      </c>
      <c r="F17">
        <v>332.2</v>
      </c>
      <c r="G17" t="s">
        <v>376</v>
      </c>
      <c r="H17" s="26">
        <f>63000*O2</f>
        <v>1845.9062999999999</v>
      </c>
      <c r="I17" s="10"/>
      <c r="J17" s="10">
        <v>5000</v>
      </c>
      <c r="K17" s="10"/>
      <c r="L17" t="e">
        <f>Table2[[#This Row],[CapEx Required]]/(Table2[[#This Row],[Incentive]]+Table2[[#This Row],[Annual OpEx Savings]])</f>
        <v>#DIV/0!</v>
      </c>
    </row>
    <row r="18" spans="1:12" ht="29" x14ac:dyDescent="0.35">
      <c r="A18" s="6" t="s">
        <v>385</v>
      </c>
      <c r="B18" s="6" t="s">
        <v>374</v>
      </c>
      <c r="C18" t="s">
        <v>351</v>
      </c>
      <c r="D18">
        <v>2025</v>
      </c>
      <c r="E18" t="s">
        <v>380</v>
      </c>
      <c r="F18" t="s">
        <v>376</v>
      </c>
      <c r="G18" s="7">
        <f>(5*525600)*0.0000037854</f>
        <v>9.9480311999999991</v>
      </c>
      <c r="H18" t="s">
        <v>376</v>
      </c>
      <c r="I18" s="10"/>
      <c r="J18" s="10"/>
      <c r="K18" s="10"/>
      <c r="L18" t="e">
        <f>Table2[[#This Row],[CapEx Required]]/(Table2[[#This Row],[Incentive]]+Table2[[#This Row],[Annual OpEx Savings]])</f>
        <v>#DIV/0!</v>
      </c>
    </row>
    <row r="19" spans="1:12" x14ac:dyDescent="0.35">
      <c r="A19" s="6" t="s">
        <v>386</v>
      </c>
      <c r="B19" s="6" t="s">
        <v>371</v>
      </c>
      <c r="C19" t="s">
        <v>354</v>
      </c>
      <c r="D19">
        <v>2024</v>
      </c>
      <c r="E19" t="s">
        <v>375</v>
      </c>
      <c r="F19">
        <v>250</v>
      </c>
      <c r="G19" t="s">
        <v>376</v>
      </c>
      <c r="H19" s="26">
        <f>48360*O2</f>
        <v>1416.9528359999999</v>
      </c>
      <c r="I19" s="10">
        <v>50000</v>
      </c>
      <c r="J19" s="10"/>
      <c r="K19" s="10"/>
      <c r="L19">
        <f>Table2[[#This Row],[CapEx Required]]/(Table2[[#This Row],[Incentive]]+Table2[[#This Row],[Annual OpEx Savings]])</f>
        <v>0</v>
      </c>
    </row>
    <row r="20" spans="1:12" x14ac:dyDescent="0.35">
      <c r="A20" s="6" t="s">
        <v>377</v>
      </c>
      <c r="B20" s="6" t="s">
        <v>371</v>
      </c>
      <c r="C20" t="s">
        <v>354</v>
      </c>
      <c r="D20">
        <v>2024</v>
      </c>
      <c r="E20" t="s">
        <v>375</v>
      </c>
      <c r="I20" s="10"/>
      <c r="J20" s="10"/>
      <c r="K20" s="10"/>
      <c r="L20" t="e">
        <f>Table2[[#This Row],[CapEx Required]]/(Table2[[#This Row],[Incentive]]+Table2[[#This Row],[Annual OpEx Savings]])</f>
        <v>#DIV/0!</v>
      </c>
    </row>
    <row r="21" spans="1:12" ht="29" x14ac:dyDescent="0.35">
      <c r="A21" s="6" t="s">
        <v>387</v>
      </c>
      <c r="B21" s="6" t="s">
        <v>371</v>
      </c>
      <c r="C21" t="s">
        <v>354</v>
      </c>
      <c r="D21">
        <v>2023</v>
      </c>
      <c r="E21" t="s">
        <v>375</v>
      </c>
      <c r="F21">
        <v>10</v>
      </c>
      <c r="G21" t="s">
        <v>376</v>
      </c>
      <c r="H21" s="26">
        <f>1865*O2</f>
        <v>54.644686499999999</v>
      </c>
      <c r="I21" s="10">
        <v>300</v>
      </c>
      <c r="J21" s="10">
        <v>1000</v>
      </c>
      <c r="K21" s="10">
        <v>1500</v>
      </c>
      <c r="L21" s="51">
        <f>Table2[[#This Row],[CapEx Required]]/(Table2[[#This Row],[Incentive]]+Table2[[#This Row],[Annual OpEx Savings]])</f>
        <v>0.55555555555555558</v>
      </c>
    </row>
    <row r="22" spans="1:12" x14ac:dyDescent="0.35">
      <c r="A22" s="6" t="s">
        <v>388</v>
      </c>
      <c r="B22" s="6" t="s">
        <v>371</v>
      </c>
      <c r="C22" t="s">
        <v>349</v>
      </c>
      <c r="D22">
        <v>2025</v>
      </c>
      <c r="E22" t="s">
        <v>372</v>
      </c>
      <c r="F22">
        <v>24</v>
      </c>
      <c r="G22" s="50">
        <f>170000*O3</f>
        <v>0.64351799999999992</v>
      </c>
      <c r="H22" s="7">
        <f>4433*O2</f>
        <v>129.8873433</v>
      </c>
      <c r="I22" s="10">
        <v>3325</v>
      </c>
      <c r="J22" s="10">
        <v>10000</v>
      </c>
      <c r="K22" s="10">
        <v>5500</v>
      </c>
      <c r="L22" s="51">
        <f>Table2[[#This Row],[CapEx Required]]/(Table2[[#This Row],[Incentive]]+Table2[[#This Row],[Annual OpEx Savings]])</f>
        <v>1.1331444759206799</v>
      </c>
    </row>
    <row r="23" spans="1:12" x14ac:dyDescent="0.35">
      <c r="A23" s="6" t="s">
        <v>389</v>
      </c>
      <c r="B23" s="6" t="s">
        <v>371</v>
      </c>
      <c r="C23" t="s">
        <v>354</v>
      </c>
      <c r="D23">
        <v>2024</v>
      </c>
      <c r="E23" t="s">
        <v>375</v>
      </c>
      <c r="F23">
        <f>63671-(63671*0.0372)</f>
        <v>61302.438800000004</v>
      </c>
      <c r="I23" s="10"/>
      <c r="J23" s="10"/>
      <c r="K23" s="10"/>
    </row>
    <row r="24" spans="1:12" x14ac:dyDescent="0.35">
      <c r="A24" s="6" t="s">
        <v>390</v>
      </c>
      <c r="B24" s="6" t="s">
        <v>371</v>
      </c>
      <c r="C24" t="s">
        <v>353</v>
      </c>
      <c r="D24">
        <v>2024</v>
      </c>
      <c r="E24" t="s">
        <v>375</v>
      </c>
      <c r="F24">
        <f>63671-(63671*0.0372)</f>
        <v>61302.438800000004</v>
      </c>
      <c r="I24" s="10"/>
      <c r="J24" s="10"/>
      <c r="K24" s="10"/>
    </row>
    <row r="26" spans="1:12" x14ac:dyDescent="0.35">
      <c r="K26" s="11"/>
    </row>
  </sheetData>
  <mergeCells count="3">
    <mergeCell ref="E9:H9"/>
    <mergeCell ref="I9:L9"/>
    <mergeCell ref="A9:D9"/>
  </mergeCells>
  <dataValidations count="2">
    <dataValidation type="list" allowBlank="1" showInputMessage="1" showErrorMessage="1" sqref="C11:C24" xr:uid="{057365AE-5D9B-4638-82B0-43715F8428B1}">
      <formula1>$A$2:$A$6</formula1>
    </dataValidation>
    <dataValidation allowBlank="1" showInputMessage="1" sqref="D11:D24" xr:uid="{605BB553-C0B7-43EE-BE18-09BF3C4D5530}"/>
  </dataValidations>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A588E-2EE0-4F1A-B6E8-4B018FB296B5}">
  <dimension ref="A1:F312"/>
  <sheetViews>
    <sheetView topLeftCell="A155" workbookViewId="0">
      <selection activeCell="E226" sqref="E226"/>
    </sheetView>
  </sheetViews>
  <sheetFormatPr defaultColWidth="9.1796875" defaultRowHeight="14.5" x14ac:dyDescent="0.35"/>
  <cols>
    <col min="1" max="1" width="13.453125" style="1" bestFit="1" customWidth="1"/>
    <col min="2" max="2" width="21.54296875" style="1" bestFit="1" customWidth="1"/>
    <col min="3" max="3" width="14" style="1" bestFit="1" customWidth="1"/>
    <col min="4" max="4" width="15.54296875" style="134" customWidth="1"/>
    <col min="5" max="5" width="14.81640625" style="1" customWidth="1"/>
    <col min="6" max="16384" width="9.1796875" style="1"/>
  </cols>
  <sheetData>
    <row r="1" spans="1:6" x14ac:dyDescent="0.35">
      <c r="A1" s="2" t="s">
        <v>94</v>
      </c>
      <c r="B1" s="2" t="s">
        <v>391</v>
      </c>
      <c r="C1" s="2" t="s">
        <v>392</v>
      </c>
      <c r="D1" s="133" t="s">
        <v>393</v>
      </c>
    </row>
    <row r="2" spans="1:6" x14ac:dyDescent="0.35">
      <c r="A2" s="3" t="s">
        <v>100</v>
      </c>
      <c r="B2" s="130">
        <v>4.82</v>
      </c>
      <c r="C2" s="130">
        <f>Table16[[#This Row],[Total Spend (k)]]*1000</f>
        <v>4820</v>
      </c>
      <c r="D2" s="131">
        <f>Table16[[#This Row],[Total Spend ($)]]/$C$220</f>
        <v>1.1108226815116311E-5</v>
      </c>
      <c r="F2" s="4" t="s">
        <v>99</v>
      </c>
    </row>
    <row r="3" spans="1:6" x14ac:dyDescent="0.35">
      <c r="A3" s="3" t="s">
        <v>100</v>
      </c>
      <c r="B3" s="130">
        <v>71.363240000000005</v>
      </c>
      <c r="C3" s="130">
        <f>Table16[[#This Row],[Total Spend (k)]]*1000</f>
        <v>71363.240000000005</v>
      </c>
      <c r="D3" s="131">
        <f>Table16[[#This Row],[Total Spend ($)]]/$C$220</f>
        <v>1.6446453447750643E-4</v>
      </c>
    </row>
    <row r="4" spans="1:6" x14ac:dyDescent="0.35">
      <c r="A4" s="3" t="s">
        <v>102</v>
      </c>
      <c r="B4" s="130">
        <v>3.3928085669999994</v>
      </c>
      <c r="C4" s="130">
        <f>Table16[[#This Row],[Total Spend (k)]]*1000</f>
        <v>3392.8085669999996</v>
      </c>
      <c r="D4" s="131">
        <f>Table16[[#This Row],[Total Spend ($)]]/$C$220</f>
        <v>7.8191052079887434E-6</v>
      </c>
      <c r="F4" s="181" t="s">
        <v>101</v>
      </c>
    </row>
    <row r="5" spans="1:6" x14ac:dyDescent="0.35">
      <c r="A5" s="3" t="s">
        <v>102</v>
      </c>
      <c r="B5" s="130">
        <v>54.632271000000003</v>
      </c>
      <c r="C5" s="130">
        <f>Table16[[#This Row],[Total Spend (k)]]*1000</f>
        <v>54632.271000000001</v>
      </c>
      <c r="D5" s="131">
        <f>Table16[[#This Row],[Total Spend ($)]]/$C$220</f>
        <v>1.2590615304831974E-4</v>
      </c>
      <c r="F5" s="182" t="s">
        <v>103</v>
      </c>
    </row>
    <row r="6" spans="1:6" x14ac:dyDescent="0.35">
      <c r="A6" s="3" t="s">
        <v>102</v>
      </c>
      <c r="B6" s="130">
        <v>46.746649999999995</v>
      </c>
      <c r="C6" s="130">
        <f>Table16[[#This Row],[Total Spend (k)]]*1000</f>
        <v>46746.649999999994</v>
      </c>
      <c r="D6" s="131">
        <f>Table16[[#This Row],[Total Spend ($)]]/$C$220</f>
        <v>1.0773286121304084E-4</v>
      </c>
      <c r="F6" s="183" t="s">
        <v>105</v>
      </c>
    </row>
    <row r="7" spans="1:6" x14ac:dyDescent="0.35">
      <c r="A7" s="3" t="s">
        <v>102</v>
      </c>
      <c r="B7" s="130">
        <v>327.09775000000008</v>
      </c>
      <c r="C7" s="130">
        <f>Table16[[#This Row],[Total Spend (k)]]*1000</f>
        <v>327097.75000000006</v>
      </c>
      <c r="D7" s="131">
        <f>Table16[[#This Row],[Total Spend ($)]]/$C$220</f>
        <v>7.53833194546517E-4</v>
      </c>
    </row>
    <row r="8" spans="1:6" x14ac:dyDescent="0.35">
      <c r="A8" s="3" t="s">
        <v>102</v>
      </c>
      <c r="B8" s="130">
        <v>5.4611999999999998</v>
      </c>
      <c r="C8" s="130">
        <f>Table16[[#This Row],[Total Spend (k)]]*1000</f>
        <v>5461.2</v>
      </c>
      <c r="D8" s="131">
        <f>Table16[[#This Row],[Total Spend ($)]]/$C$220</f>
        <v>1.258594362711892E-5</v>
      </c>
    </row>
    <row r="9" spans="1:6" x14ac:dyDescent="0.35">
      <c r="A9" s="3" t="s">
        <v>102</v>
      </c>
      <c r="B9" s="130">
        <v>107.84698</v>
      </c>
      <c r="C9" s="130">
        <f>Table16[[#This Row],[Total Spend (k)]]*1000</f>
        <v>107846.98</v>
      </c>
      <c r="D9" s="131">
        <f>Table16[[#This Row],[Total Spend ($)]]/$C$220</f>
        <v>2.4854537659031381E-4</v>
      </c>
    </row>
    <row r="10" spans="1:6" x14ac:dyDescent="0.35">
      <c r="A10" s="3" t="s">
        <v>109</v>
      </c>
      <c r="B10" s="130">
        <v>223.18432440000001</v>
      </c>
      <c r="C10" s="130">
        <f>Table16[[#This Row],[Total Spend (k)]]*1000</f>
        <v>223184.32440000001</v>
      </c>
      <c r="D10" s="131">
        <f>Table16[[#This Row],[Total Spend ($)]]/$C$220</f>
        <v>5.1435313216051826E-4</v>
      </c>
    </row>
    <row r="11" spans="1:6" x14ac:dyDescent="0.35">
      <c r="A11" s="3" t="s">
        <v>111</v>
      </c>
      <c r="B11" s="130">
        <v>81.328352637999998</v>
      </c>
      <c r="C11" s="130">
        <f>Table16[[#This Row],[Total Spend (k)]]*1000</f>
        <v>81328.352637999997</v>
      </c>
      <c r="D11" s="131">
        <f>Table16[[#This Row],[Total Spend ($)]]/$C$220</f>
        <v>1.8743024639059482E-4</v>
      </c>
    </row>
    <row r="12" spans="1:6" x14ac:dyDescent="0.35">
      <c r="A12" s="3" t="s">
        <v>112</v>
      </c>
      <c r="B12" s="130">
        <v>1456.48633</v>
      </c>
      <c r="C12" s="130">
        <f>Table16[[#This Row],[Total Spend (k)]]*1000</f>
        <v>1456486.3299999998</v>
      </c>
      <c r="D12" s="131">
        <f>Table16[[#This Row],[Total Spend ($)]]/$C$220</f>
        <v>3.356634959907955E-3</v>
      </c>
    </row>
    <row r="13" spans="1:6" x14ac:dyDescent="0.35">
      <c r="A13" s="3" t="s">
        <v>112</v>
      </c>
      <c r="B13" s="130">
        <v>116.15724</v>
      </c>
      <c r="C13" s="130">
        <f>Table16[[#This Row],[Total Spend (k)]]*1000</f>
        <v>116157.24</v>
      </c>
      <c r="D13" s="131">
        <f>Table16[[#This Row],[Total Spend ($)]]/$C$220</f>
        <v>2.6769729629417036E-4</v>
      </c>
    </row>
    <row r="14" spans="1:6" x14ac:dyDescent="0.35">
      <c r="A14" s="3" t="s">
        <v>112</v>
      </c>
      <c r="B14" s="130">
        <v>429.43035000000003</v>
      </c>
      <c r="C14" s="130">
        <f>Table16[[#This Row],[Total Spend (k)]]*1000</f>
        <v>429430.35000000003</v>
      </c>
      <c r="D14" s="131">
        <f>Table16[[#This Row],[Total Spend ($)]]/$C$220</f>
        <v>9.89670068276926E-4</v>
      </c>
    </row>
    <row r="15" spans="1:6" x14ac:dyDescent="0.35">
      <c r="A15" s="3" t="s">
        <v>112</v>
      </c>
      <c r="B15" s="130">
        <v>313.10608000000002</v>
      </c>
      <c r="C15" s="130">
        <f>Table16[[#This Row],[Total Spend (k)]]*1000</f>
        <v>313106.08</v>
      </c>
      <c r="D15" s="131">
        <f>Table16[[#This Row],[Total Spend ($)]]/$C$220</f>
        <v>7.2158783274521847E-4</v>
      </c>
    </row>
    <row r="16" spans="1:6" x14ac:dyDescent="0.35">
      <c r="A16" s="3" t="s">
        <v>112</v>
      </c>
      <c r="B16" s="130">
        <v>13945.691979999998</v>
      </c>
      <c r="C16" s="130">
        <f>Table16[[#This Row],[Total Spend (k)]]*1000</f>
        <v>13945691.979999999</v>
      </c>
      <c r="D16" s="131">
        <f>Table16[[#This Row],[Total Spend ($)]]/$C$220</f>
        <v>3.2139400333524581E-2</v>
      </c>
    </row>
    <row r="17" spans="1:4" x14ac:dyDescent="0.35">
      <c r="A17" s="3" t="s">
        <v>112</v>
      </c>
      <c r="B17" s="130">
        <v>196.71033840000001</v>
      </c>
      <c r="C17" s="130">
        <f>Table16[[#This Row],[Total Spend (k)]]*1000</f>
        <v>196710.33840000001</v>
      </c>
      <c r="D17" s="131">
        <f>Table16[[#This Row],[Total Spend ($)]]/$C$220</f>
        <v>4.5334088295134522E-4</v>
      </c>
    </row>
    <row r="18" spans="1:4" x14ac:dyDescent="0.35">
      <c r="A18" s="3" t="s">
        <v>112</v>
      </c>
      <c r="B18" s="130">
        <v>55.358499999999999</v>
      </c>
      <c r="C18" s="130">
        <f>Table16[[#This Row],[Total Spend (k)]]*1000</f>
        <v>55358.5</v>
      </c>
      <c r="D18" s="131">
        <f>Table16[[#This Row],[Total Spend ($)]]/$C$220</f>
        <v>1.2757982866070877E-4</v>
      </c>
    </row>
    <row r="19" spans="1:4" x14ac:dyDescent="0.35">
      <c r="A19" s="3" t="s">
        <v>117</v>
      </c>
      <c r="B19" s="130">
        <v>1913.77656</v>
      </c>
      <c r="C19" s="130">
        <f>Table16[[#This Row],[Total Spend (k)]]*1000</f>
        <v>1913776.56</v>
      </c>
      <c r="D19" s="131">
        <f>Table16[[#This Row],[Total Spend ($)]]/$C$220</f>
        <v>4.4105112244674383E-3</v>
      </c>
    </row>
    <row r="20" spans="1:4" x14ac:dyDescent="0.35">
      <c r="A20" s="3" t="s">
        <v>119</v>
      </c>
      <c r="B20" s="130">
        <v>0.3337</v>
      </c>
      <c r="C20" s="130">
        <f>Table16[[#This Row],[Total Spend (k)]]*1000</f>
        <v>333.7</v>
      </c>
      <c r="D20" s="131">
        <f>Table16[[#This Row],[Total Spend ($)]]/$C$220</f>
        <v>7.6904881498014789E-7</v>
      </c>
    </row>
    <row r="21" spans="1:4" x14ac:dyDescent="0.35">
      <c r="A21" s="3" t="s">
        <v>119</v>
      </c>
      <c r="B21" s="130">
        <v>678.57142999999985</v>
      </c>
      <c r="C21" s="130">
        <f>Table16[[#This Row],[Total Spend (k)]]*1000</f>
        <v>678571.42999999982</v>
      </c>
      <c r="D21" s="131">
        <f>Table16[[#This Row],[Total Spend ($)]]/$C$220</f>
        <v>1.5638434345846097E-3</v>
      </c>
    </row>
    <row r="22" spans="1:4" x14ac:dyDescent="0.35">
      <c r="A22" s="3" t="s">
        <v>121</v>
      </c>
      <c r="B22" s="130">
        <v>59.338244519999996</v>
      </c>
      <c r="C22" s="130">
        <f>Table16[[#This Row],[Total Spend (k)]]*1000</f>
        <v>59338.244519999993</v>
      </c>
      <c r="D22" s="131">
        <f>Table16[[#This Row],[Total Spend ($)]]/$C$220</f>
        <v>1.3675159314086979E-4</v>
      </c>
    </row>
    <row r="23" spans="1:4" x14ac:dyDescent="0.35">
      <c r="A23" s="3" t="s">
        <v>123</v>
      </c>
      <c r="B23" s="130">
        <v>1385.4752128999999</v>
      </c>
      <c r="C23" s="130">
        <f>Table16[[#This Row],[Total Spend (k)]]*1000</f>
        <v>1385475.2128999999</v>
      </c>
      <c r="D23" s="131">
        <f>Table16[[#This Row],[Total Spend ($)]]/$C$220</f>
        <v>3.192981931870282E-3</v>
      </c>
    </row>
    <row r="24" spans="1:4" x14ac:dyDescent="0.35">
      <c r="A24" s="3" t="s">
        <v>125</v>
      </c>
      <c r="B24" s="130">
        <v>202.28956554999999</v>
      </c>
      <c r="C24" s="130">
        <f>Table16[[#This Row],[Total Spend (k)]]*1000</f>
        <v>202289.56555</v>
      </c>
      <c r="D24" s="131">
        <f>Table16[[#This Row],[Total Spend ($)]]/$C$220</f>
        <v>4.6619883329060972E-4</v>
      </c>
    </row>
    <row r="25" spans="1:4" x14ac:dyDescent="0.35">
      <c r="A25" s="3" t="s">
        <v>127</v>
      </c>
      <c r="B25" s="130">
        <v>148.33643291999996</v>
      </c>
      <c r="C25" s="130">
        <f>Table16[[#This Row],[Total Spend (k)]]*1000</f>
        <v>148336.43291999996</v>
      </c>
      <c r="D25" s="131">
        <f>Table16[[#This Row],[Total Spend ($)]]/$C$220</f>
        <v>3.4185783025324597E-4</v>
      </c>
    </row>
    <row r="26" spans="1:4" x14ac:dyDescent="0.35">
      <c r="A26" s="3" t="s">
        <v>129</v>
      </c>
      <c r="B26" s="130">
        <v>645.00645799999995</v>
      </c>
      <c r="C26" s="130">
        <f>Table16[[#This Row],[Total Spend (k)]]*1000</f>
        <v>645006.45799999998</v>
      </c>
      <c r="D26" s="131">
        <f>Table16[[#This Row],[Total Spend ($)]]/$C$220</f>
        <v>1.4864892183980897E-3</v>
      </c>
    </row>
    <row r="27" spans="1:4" x14ac:dyDescent="0.35">
      <c r="A27" s="3" t="s">
        <v>131</v>
      </c>
      <c r="B27" s="130">
        <v>950.41793117999987</v>
      </c>
      <c r="C27" s="130">
        <f>Table16[[#This Row],[Total Spend (k)]]*1000</f>
        <v>950417.93117999984</v>
      </c>
      <c r="D27" s="131">
        <f>Table16[[#This Row],[Total Spend ($)]]/$C$220</f>
        <v>2.1903439727595526E-3</v>
      </c>
    </row>
    <row r="28" spans="1:4" x14ac:dyDescent="0.35">
      <c r="A28" s="3" t="s">
        <v>133</v>
      </c>
      <c r="B28" s="130">
        <v>22.741829999999997</v>
      </c>
      <c r="C28" s="130">
        <f>Table16[[#This Row],[Total Spend (k)]]*1000</f>
        <v>22741.829999999998</v>
      </c>
      <c r="D28" s="131">
        <f>Table16[[#This Row],[Total Spend ($)]]/$C$220</f>
        <v>5.2411080047887254E-5</v>
      </c>
    </row>
    <row r="29" spans="1:4" x14ac:dyDescent="0.35">
      <c r="A29" s="3" t="s">
        <v>135</v>
      </c>
      <c r="B29" s="130">
        <v>4832.0653100000009</v>
      </c>
      <c r="C29" s="130">
        <f>Table16[[#This Row],[Total Spend (k)]]*1000</f>
        <v>4832065.3100000005</v>
      </c>
      <c r="D29" s="131">
        <f>Table16[[#This Row],[Total Spend ($)]]/$C$220</f>
        <v>1.1136032665754214E-2</v>
      </c>
    </row>
    <row r="30" spans="1:4" x14ac:dyDescent="0.35">
      <c r="A30" s="3" t="s">
        <v>136</v>
      </c>
      <c r="B30" s="130">
        <v>0.52749999999999997</v>
      </c>
      <c r="C30" s="130">
        <f>Table16[[#This Row],[Total Spend (k)]]*1000</f>
        <v>527.5</v>
      </c>
      <c r="D30" s="131">
        <f>Table16[[#This Row],[Total Spend ($)]]/$C$220</f>
        <v>1.2156824989572312E-6</v>
      </c>
    </row>
    <row r="31" spans="1:4" x14ac:dyDescent="0.35">
      <c r="A31" s="3" t="s">
        <v>136</v>
      </c>
      <c r="B31" s="130">
        <v>1098.7241699999993</v>
      </c>
      <c r="C31" s="130">
        <f>Table16[[#This Row],[Total Spend (k)]]*1000</f>
        <v>1098724.1699999992</v>
      </c>
      <c r="D31" s="131">
        <f>Table16[[#This Row],[Total Spend ($)]]/$C$220</f>
        <v>2.5321322173465569E-3</v>
      </c>
    </row>
    <row r="32" spans="1:4" x14ac:dyDescent="0.35">
      <c r="A32" s="3" t="s">
        <v>139</v>
      </c>
      <c r="B32" s="130">
        <v>53.237130000000008</v>
      </c>
      <c r="C32" s="130">
        <f>Table16[[#This Row],[Total Spend (k)]]*1000</f>
        <v>53237.130000000005</v>
      </c>
      <c r="D32" s="131">
        <f>Table16[[#This Row],[Total Spend ($)]]/$C$220</f>
        <v>1.2269089523357532E-4</v>
      </c>
    </row>
    <row r="33" spans="1:4" x14ac:dyDescent="0.35">
      <c r="A33" s="3" t="s">
        <v>140</v>
      </c>
      <c r="B33" s="130">
        <v>382.69349999999997</v>
      </c>
      <c r="C33" s="130">
        <f>Table16[[#This Row],[Total Spend (k)]]*1000</f>
        <v>382693.5</v>
      </c>
      <c r="D33" s="131">
        <f>Table16[[#This Row],[Total Spend ($)]]/$C$220</f>
        <v>8.8195979225533488E-4</v>
      </c>
    </row>
    <row r="34" spans="1:4" x14ac:dyDescent="0.35">
      <c r="A34" s="3" t="s">
        <v>142</v>
      </c>
      <c r="B34" s="130">
        <v>23.052</v>
      </c>
      <c r="C34" s="130">
        <f>Table16[[#This Row],[Total Spend (k)]]*1000</f>
        <v>23052</v>
      </c>
      <c r="D34" s="131">
        <f>Table16[[#This Row],[Total Spend ($)]]/$C$220</f>
        <v>5.3125901357274108E-5</v>
      </c>
    </row>
    <row r="35" spans="1:4" x14ac:dyDescent="0.35">
      <c r="A35" s="3" t="s">
        <v>144</v>
      </c>
      <c r="B35" s="130">
        <v>2.3290000000000002</v>
      </c>
      <c r="C35" s="130">
        <f>Table16[[#This Row],[Total Spend (k)]]*1000</f>
        <v>2329</v>
      </c>
      <c r="D35" s="131">
        <f>Table16[[#This Row],[Total Spend ($)]]/$C$220</f>
        <v>5.3674398863912628E-6</v>
      </c>
    </row>
    <row r="36" spans="1:4" x14ac:dyDescent="0.35">
      <c r="A36" s="3" t="s">
        <v>144</v>
      </c>
      <c r="B36" s="130">
        <v>8743.5048602000006</v>
      </c>
      <c r="C36" s="130">
        <f>Table16[[#This Row],[Total Spend (k)]]*1000</f>
        <v>8743504.8602000009</v>
      </c>
      <c r="D36" s="131">
        <f>Table16[[#This Row],[Total Spend ($)]]/$C$220</f>
        <v>2.0150380735720633E-2</v>
      </c>
    </row>
    <row r="37" spans="1:4" x14ac:dyDescent="0.35">
      <c r="A37" s="3" t="s">
        <v>144</v>
      </c>
      <c r="B37" s="130">
        <v>594.73546999999996</v>
      </c>
      <c r="C37" s="130">
        <f>Table16[[#This Row],[Total Spend (k)]]*1000</f>
        <v>594735.47</v>
      </c>
      <c r="D37" s="131">
        <f>Table16[[#This Row],[Total Spend ($)]]/$C$220</f>
        <v>1.370634127749959E-3</v>
      </c>
    </row>
    <row r="38" spans="1:4" x14ac:dyDescent="0.35">
      <c r="A38" s="3" t="s">
        <v>147</v>
      </c>
      <c r="B38" s="130">
        <v>34.397709999999996</v>
      </c>
      <c r="C38" s="130">
        <f>Table16[[#This Row],[Total Spend (k)]]*1000</f>
        <v>34397.71</v>
      </c>
      <c r="D38" s="131">
        <f>Table16[[#This Row],[Total Spend ($)]]/$C$220</f>
        <v>7.9273353651575619E-5</v>
      </c>
    </row>
    <row r="39" spans="1:4" x14ac:dyDescent="0.35">
      <c r="A39" s="3" t="s">
        <v>149</v>
      </c>
      <c r="B39" s="130">
        <v>18.294738212000002</v>
      </c>
      <c r="C39" s="130">
        <f>Table16[[#This Row],[Total Spend (k)]]*1000</f>
        <v>18294.738212000004</v>
      </c>
      <c r="D39" s="131">
        <f>Table16[[#This Row],[Total Spend ($)]]/$C$220</f>
        <v>4.2162261739018982E-5</v>
      </c>
    </row>
    <row r="40" spans="1:4" x14ac:dyDescent="0.35">
      <c r="A40" s="3" t="s">
        <v>150</v>
      </c>
      <c r="B40" s="130">
        <v>1538.4902431719997</v>
      </c>
      <c r="C40" s="130">
        <f>Table16[[#This Row],[Total Spend (k)]]*1000</f>
        <v>1538490.2431719997</v>
      </c>
      <c r="D40" s="131">
        <f>Table16[[#This Row],[Total Spend ($)]]/$C$220</f>
        <v>3.5456221107879713E-3</v>
      </c>
    </row>
    <row r="41" spans="1:4" x14ac:dyDescent="0.35">
      <c r="A41" s="3" t="s">
        <v>150</v>
      </c>
      <c r="B41" s="130">
        <v>386.23233340000002</v>
      </c>
      <c r="C41" s="130">
        <f>Table16[[#This Row],[Total Spend (k)]]*1000</f>
        <v>386232.3334</v>
      </c>
      <c r="D41" s="131">
        <f>Table16[[#This Row],[Total Spend ($)]]/$C$220</f>
        <v>8.9011542795411271E-4</v>
      </c>
    </row>
    <row r="42" spans="1:4" x14ac:dyDescent="0.35">
      <c r="A42" s="3" t="s">
        <v>152</v>
      </c>
      <c r="B42" s="130">
        <v>0.55500000000000005</v>
      </c>
      <c r="C42" s="130">
        <f>Table16[[#This Row],[Total Spend (k)]]*1000</f>
        <v>555</v>
      </c>
      <c r="D42" s="131">
        <f>Table16[[#This Row],[Total Spend ($)]]/$C$220</f>
        <v>1.2790593116990773E-6</v>
      </c>
    </row>
    <row r="43" spans="1:4" x14ac:dyDescent="0.35">
      <c r="A43" s="3" t="s">
        <v>152</v>
      </c>
      <c r="B43" s="130">
        <v>54.992339999999999</v>
      </c>
      <c r="C43" s="130">
        <f>Table16[[#This Row],[Total Spend (k)]]*1000</f>
        <v>54992.34</v>
      </c>
      <c r="D43" s="131">
        <f>Table16[[#This Row],[Total Spend ($)]]/$C$220</f>
        <v>1.2673597216057952E-4</v>
      </c>
    </row>
    <row r="44" spans="1:4" x14ac:dyDescent="0.35">
      <c r="A44" s="3" t="s">
        <v>152</v>
      </c>
      <c r="B44" s="130">
        <v>1607.0464014669999</v>
      </c>
      <c r="C44" s="130">
        <f>Table16[[#This Row],[Total Spend (k)]]*1000</f>
        <v>1607046.4014669999</v>
      </c>
      <c r="D44" s="131">
        <f>Table16[[#This Row],[Total Spend ($)]]/$C$220</f>
        <v>3.7036174128447928E-3</v>
      </c>
    </row>
    <row r="45" spans="1:4" x14ac:dyDescent="0.35">
      <c r="A45" s="3" t="s">
        <v>155</v>
      </c>
      <c r="B45" s="130">
        <v>469.95853690000007</v>
      </c>
      <c r="C45" s="130">
        <f>Table16[[#This Row],[Total Spend (k)]]*1000</f>
        <v>469958.53690000006</v>
      </c>
      <c r="D45" s="131">
        <f>Table16[[#This Row],[Total Spend ($)]]/$C$220</f>
        <v>1.0830717887106659E-3</v>
      </c>
    </row>
    <row r="46" spans="1:4" x14ac:dyDescent="0.35">
      <c r="A46" s="3" t="s">
        <v>155</v>
      </c>
      <c r="B46" s="130">
        <v>17257.743091107997</v>
      </c>
      <c r="C46" s="130">
        <f>Table16[[#This Row],[Total Spend (k)]]*1000</f>
        <v>17257743.091107998</v>
      </c>
      <c r="D46" s="131">
        <f>Table16[[#This Row],[Total Spend ($)]]/$C$220</f>
        <v>3.9772390990256042E-2</v>
      </c>
    </row>
    <row r="47" spans="1:4" x14ac:dyDescent="0.35">
      <c r="A47" s="3" t="s">
        <v>158</v>
      </c>
      <c r="B47" s="130">
        <v>70.831130000000002</v>
      </c>
      <c r="C47" s="130">
        <f>Table16[[#This Row],[Total Spend (k)]]*1000</f>
        <v>70831.13</v>
      </c>
      <c r="D47" s="131">
        <f>Table16[[#This Row],[Total Spend ($)]]/$C$220</f>
        <v>1.6323822772012228E-4</v>
      </c>
    </row>
    <row r="48" spans="1:4" x14ac:dyDescent="0.35">
      <c r="A48" s="3" t="s">
        <v>159</v>
      </c>
      <c r="B48" s="130">
        <v>340.52222031799994</v>
      </c>
      <c r="C48" s="130">
        <f>Table16[[#This Row],[Total Spend (k)]]*1000</f>
        <v>340522.22031799995</v>
      </c>
      <c r="D48" s="131">
        <f>Table16[[#This Row],[Total Spend ($)]]/$C$220</f>
        <v>7.8477138151023884E-4</v>
      </c>
    </row>
    <row r="49" spans="1:4" x14ac:dyDescent="0.35">
      <c r="A49" s="3" t="s">
        <v>161</v>
      </c>
      <c r="B49" s="130">
        <v>52.496052000000006</v>
      </c>
      <c r="C49" s="130">
        <f>Table16[[#This Row],[Total Spend (k)]]*1000</f>
        <v>52496.052000000003</v>
      </c>
      <c r="D49" s="131">
        <f>Table16[[#This Row],[Total Spend ($)]]/$C$220</f>
        <v>1.2098299844691708E-4</v>
      </c>
    </row>
    <row r="50" spans="1:4" x14ac:dyDescent="0.35">
      <c r="A50" s="3" t="s">
        <v>162</v>
      </c>
      <c r="B50" s="130">
        <v>251.21643</v>
      </c>
      <c r="C50" s="130">
        <f>Table16[[#This Row],[Total Spend (k)]]*1000</f>
        <v>251216.43</v>
      </c>
      <c r="D50" s="131">
        <f>Table16[[#This Row],[Total Spend ($)]]/$C$220</f>
        <v>5.7895624151945845E-4</v>
      </c>
    </row>
    <row r="51" spans="1:4" x14ac:dyDescent="0.35">
      <c r="A51" s="3" t="s">
        <v>163</v>
      </c>
      <c r="B51" s="130">
        <v>965.53145999999981</v>
      </c>
      <c r="C51" s="130">
        <f>Table16[[#This Row],[Total Spend (k)]]*1000</f>
        <v>965531.45999999985</v>
      </c>
      <c r="D51" s="131">
        <f>Table16[[#This Row],[Total Spend ($)]]/$C$220</f>
        <v>2.2251747831556847E-3</v>
      </c>
    </row>
    <row r="52" spans="1:4" x14ac:dyDescent="0.35">
      <c r="A52" s="3" t="s">
        <v>163</v>
      </c>
      <c r="B52" s="130">
        <v>3821.9861194300001</v>
      </c>
      <c r="C52" s="130">
        <f>Table16[[#This Row],[Total Spend (k)]]*1000</f>
        <v>3821986.11943</v>
      </c>
      <c r="D52" s="131">
        <f>Table16[[#This Row],[Total Spend ($)]]/$C$220</f>
        <v>8.8081926761109253E-3</v>
      </c>
    </row>
    <row r="53" spans="1:4" x14ac:dyDescent="0.35">
      <c r="A53" s="3" t="s">
        <v>163</v>
      </c>
      <c r="B53" s="130">
        <v>603.40510139399998</v>
      </c>
      <c r="C53" s="130">
        <f>Table16[[#This Row],[Total Spend (k)]]*1000</f>
        <v>603405.101394</v>
      </c>
      <c r="D53" s="131">
        <f>Table16[[#This Row],[Total Spend ($)]]/$C$220</f>
        <v>1.3906142588553543E-3</v>
      </c>
    </row>
    <row r="54" spans="1:4" x14ac:dyDescent="0.35">
      <c r="A54" s="3" t="s">
        <v>167</v>
      </c>
      <c r="B54" s="130">
        <v>5.2455400000000001</v>
      </c>
      <c r="C54" s="130">
        <f>Table16[[#This Row],[Total Spend (k)]]*1000</f>
        <v>5245.54</v>
      </c>
      <c r="D54" s="131">
        <f>Table16[[#This Row],[Total Spend ($)]]/$C$220</f>
        <v>1.2088931138540501E-5</v>
      </c>
    </row>
    <row r="55" spans="1:4" x14ac:dyDescent="0.35">
      <c r="A55" s="3" t="s">
        <v>167</v>
      </c>
      <c r="B55" s="130">
        <v>0.252</v>
      </c>
      <c r="C55" s="130">
        <f>Table16[[#This Row],[Total Spend (k)]]*1000</f>
        <v>252</v>
      </c>
      <c r="D55" s="131">
        <f>Table16[[#This Row],[Total Spend ($)]]/$C$220</f>
        <v>5.8076206585255406E-7</v>
      </c>
    </row>
    <row r="56" spans="1:4" x14ac:dyDescent="0.35">
      <c r="A56" s="3" t="s">
        <v>167</v>
      </c>
      <c r="B56" s="130">
        <v>417.86141000000009</v>
      </c>
      <c r="C56" s="130">
        <f>Table16[[#This Row],[Total Spend (k)]]*1000</f>
        <v>417861.41000000009</v>
      </c>
      <c r="D56" s="131">
        <f>Table16[[#This Row],[Total Spend ($)]]/$C$220</f>
        <v>9.6300815758595688E-4</v>
      </c>
    </row>
    <row r="57" spans="1:4" x14ac:dyDescent="0.35">
      <c r="A57" s="3" t="s">
        <v>170</v>
      </c>
      <c r="B57" s="130">
        <v>49.383822875</v>
      </c>
      <c r="C57" s="130">
        <f>Table16[[#This Row],[Total Spend (k)]]*1000</f>
        <v>49383.822874999998</v>
      </c>
      <c r="D57" s="131">
        <f>Table16[[#This Row],[Total Spend ($)]]/$C$220</f>
        <v>1.138105198118318E-4</v>
      </c>
    </row>
    <row r="58" spans="1:4" x14ac:dyDescent="0.35">
      <c r="A58" s="3" t="s">
        <v>171</v>
      </c>
      <c r="B58" s="130">
        <v>1714.87664</v>
      </c>
      <c r="C58" s="130">
        <f>Table16[[#This Row],[Total Spend (k)]]*1000</f>
        <v>1714876.64</v>
      </c>
      <c r="D58" s="131">
        <f>Table16[[#This Row],[Total Spend ($)]]/$C$220</f>
        <v>3.9521242068598673E-3</v>
      </c>
    </row>
    <row r="59" spans="1:4" x14ac:dyDescent="0.35">
      <c r="A59" s="3" t="s">
        <v>171</v>
      </c>
      <c r="B59" s="130">
        <v>858.28335000000004</v>
      </c>
      <c r="C59" s="130">
        <f>Table16[[#This Row],[Total Spend (k)]]*1000</f>
        <v>858283.35000000009</v>
      </c>
      <c r="D59" s="131">
        <f>Table16[[#This Row],[Total Spend ($)]]/$C$220</f>
        <v>1.9780095691779792E-3</v>
      </c>
    </row>
    <row r="60" spans="1:4" x14ac:dyDescent="0.35">
      <c r="A60" s="3" t="s">
        <v>171</v>
      </c>
      <c r="B60" s="130">
        <v>4155.688900000001</v>
      </c>
      <c r="C60" s="130">
        <f>Table16[[#This Row],[Total Spend (k)]]*1000</f>
        <v>4155688.9000000008</v>
      </c>
      <c r="D60" s="131">
        <f>Table16[[#This Row],[Total Spend ($)]]/$C$220</f>
        <v>9.5772478992243188E-3</v>
      </c>
    </row>
    <row r="61" spans="1:4" x14ac:dyDescent="0.35">
      <c r="A61" s="3" t="s">
        <v>173</v>
      </c>
      <c r="B61" s="130">
        <v>841.57655413999998</v>
      </c>
      <c r="C61" s="130">
        <f>Table16[[#This Row],[Total Spend (k)]]*1000</f>
        <v>841576.55414000002</v>
      </c>
      <c r="D61" s="131">
        <f>Table16[[#This Row],[Total Spend ($)]]/$C$220</f>
        <v>1.9395068974421437E-3</v>
      </c>
    </row>
    <row r="62" spans="1:4" x14ac:dyDescent="0.35">
      <c r="A62" s="3" t="s">
        <v>174</v>
      </c>
      <c r="B62" s="130">
        <v>529.755</v>
      </c>
      <c r="C62" s="130">
        <f>Table16[[#This Row],[Total Spend (k)]]*1000</f>
        <v>529755</v>
      </c>
      <c r="D62" s="131">
        <f>Table16[[#This Row],[Total Spend ($)]]/$C$220</f>
        <v>1.2208793976020626E-3</v>
      </c>
    </row>
    <row r="63" spans="1:4" x14ac:dyDescent="0.35">
      <c r="A63" s="3" t="s">
        <v>175</v>
      </c>
      <c r="B63" s="130">
        <v>55.1</v>
      </c>
      <c r="C63" s="130">
        <f>Table16[[#This Row],[Total Spend (k)]]*1000</f>
        <v>55100</v>
      </c>
      <c r="D63" s="131">
        <f>Table16[[#This Row],[Total Spend ($)]]/$C$220</f>
        <v>1.2698408662093543E-4</v>
      </c>
    </row>
    <row r="64" spans="1:4" x14ac:dyDescent="0.35">
      <c r="A64" s="3" t="s">
        <v>175</v>
      </c>
      <c r="B64" s="130">
        <v>2148.2859600000002</v>
      </c>
      <c r="C64" s="130">
        <f>Table16[[#This Row],[Total Spend (k)]]*1000</f>
        <v>2148285.96</v>
      </c>
      <c r="D64" s="131">
        <f>Table16[[#This Row],[Total Spend ($)]]/$C$220</f>
        <v>4.9509642546493541E-3</v>
      </c>
    </row>
    <row r="65" spans="1:4" x14ac:dyDescent="0.35">
      <c r="A65" s="3" t="s">
        <v>175</v>
      </c>
      <c r="B65" s="130">
        <v>774.95013919999985</v>
      </c>
      <c r="C65" s="130">
        <f>Table16[[#This Row],[Total Spend (k)]]*1000</f>
        <v>774950.13919999986</v>
      </c>
      <c r="D65" s="131">
        <f>Table16[[#This Row],[Total Spend ($)]]/$C$220</f>
        <v>1.7859589038671279E-3</v>
      </c>
    </row>
    <row r="66" spans="1:4" x14ac:dyDescent="0.35">
      <c r="A66" s="3" t="s">
        <v>175</v>
      </c>
      <c r="B66" s="130">
        <v>1787.96415</v>
      </c>
      <c r="C66" s="130">
        <f>Table16[[#This Row],[Total Spend (k)]]*1000</f>
        <v>1787964.15</v>
      </c>
      <c r="D66" s="131">
        <f>Table16[[#This Row],[Total Spend ($)]]/$C$220</f>
        <v>4.120562513588515E-3</v>
      </c>
    </row>
    <row r="67" spans="1:4" x14ac:dyDescent="0.35">
      <c r="A67" s="3" t="s">
        <v>175</v>
      </c>
      <c r="B67" s="130">
        <v>6.9152940000000003</v>
      </c>
      <c r="C67" s="130">
        <f>Table16[[#This Row],[Total Spend (k)]]*1000</f>
        <v>6915.2939999999999</v>
      </c>
      <c r="D67" s="131">
        <f>Table16[[#This Row],[Total Spend ($)]]/$C$220</f>
        <v>1.5937065196102267E-5</v>
      </c>
    </row>
    <row r="68" spans="1:4" x14ac:dyDescent="0.35">
      <c r="A68" s="3" t="s">
        <v>175</v>
      </c>
      <c r="B68" s="130">
        <v>231.45879413500003</v>
      </c>
      <c r="C68" s="130">
        <f>Table16[[#This Row],[Total Spend (k)]]*1000</f>
        <v>231458.79413500003</v>
      </c>
      <c r="D68" s="131">
        <f>Table16[[#This Row],[Total Spend ($)]]/$C$220</f>
        <v>5.3342256921263349E-4</v>
      </c>
    </row>
    <row r="69" spans="1:4" x14ac:dyDescent="0.35">
      <c r="A69" s="3" t="s">
        <v>175</v>
      </c>
      <c r="B69" s="130">
        <v>19.127479999999998</v>
      </c>
      <c r="C69" s="130">
        <f>Table16[[#This Row],[Total Spend (k)]]*1000</f>
        <v>19127.48</v>
      </c>
      <c r="D69" s="131">
        <f>Table16[[#This Row],[Total Spend ($)]]/$C$220</f>
        <v>4.4081407933942106E-5</v>
      </c>
    </row>
    <row r="70" spans="1:4" x14ac:dyDescent="0.35">
      <c r="A70" s="3" t="s">
        <v>175</v>
      </c>
      <c r="B70" s="130">
        <v>94.599000000000004</v>
      </c>
      <c r="C70" s="130">
        <f>Table16[[#This Row],[Total Spend (k)]]*1000</f>
        <v>94599</v>
      </c>
      <c r="D70" s="131">
        <f>Table16[[#This Row],[Total Spend ($)]]/$C$220</f>
        <v>2.1801393122057841E-4</v>
      </c>
    </row>
    <row r="71" spans="1:4" x14ac:dyDescent="0.35">
      <c r="A71" s="3" t="s">
        <v>175</v>
      </c>
      <c r="B71" s="130">
        <v>8239.5215828920009</v>
      </c>
      <c r="C71" s="130">
        <f>Table16[[#This Row],[Total Spend (k)]]*1000</f>
        <v>8239521.5828920007</v>
      </c>
      <c r="D71" s="131">
        <f>Table16[[#This Row],[Total Spend ($)]]/$C$220</f>
        <v>1.8988895143321683E-2</v>
      </c>
    </row>
    <row r="72" spans="1:4" x14ac:dyDescent="0.35">
      <c r="A72" s="3" t="s">
        <v>175</v>
      </c>
      <c r="B72" s="130">
        <v>3097.4405400000005</v>
      </c>
      <c r="C72" s="130">
        <f>Table16[[#This Row],[Total Spend (k)]]*1000</f>
        <v>3097440.5400000005</v>
      </c>
      <c r="D72" s="131">
        <f>Table16[[#This Row],[Total Spend ($)]]/$C$220</f>
        <v>7.1383966939121066E-3</v>
      </c>
    </row>
    <row r="73" spans="1:4" x14ac:dyDescent="0.35">
      <c r="A73" s="3" t="s">
        <v>175</v>
      </c>
      <c r="B73" s="130">
        <v>512.43335000000002</v>
      </c>
      <c r="C73" s="130">
        <f>Table16[[#This Row],[Total Spend (k)]]*1000</f>
        <v>512433.35000000003</v>
      </c>
      <c r="D73" s="131">
        <f>Table16[[#This Row],[Total Spend ($)]]/$C$220</f>
        <v>1.1809597260227971E-3</v>
      </c>
    </row>
    <row r="74" spans="1:4" x14ac:dyDescent="0.35">
      <c r="A74" s="3" t="s">
        <v>175</v>
      </c>
      <c r="B74" s="130">
        <v>683.34028000000001</v>
      </c>
      <c r="C74" s="130">
        <f>Table16[[#This Row],[Total Spend (k)]]*1000</f>
        <v>683340.28</v>
      </c>
      <c r="D74" s="131">
        <f>Table16[[#This Row],[Total Spend ($)]]/$C$220</f>
        <v>1.5748337805280266E-3</v>
      </c>
    </row>
    <row r="75" spans="1:4" x14ac:dyDescent="0.35">
      <c r="A75" s="3" t="s">
        <v>186</v>
      </c>
      <c r="B75" s="130">
        <v>72.864990000000006</v>
      </c>
      <c r="C75" s="130">
        <f>Table16[[#This Row],[Total Spend (k)]]*1000</f>
        <v>72864.990000000005</v>
      </c>
      <c r="D75" s="131">
        <f>Table16[[#This Row],[Total Spend ($)]]/$C$220</f>
        <v>1.6792548460605434E-4</v>
      </c>
    </row>
    <row r="76" spans="1:4" x14ac:dyDescent="0.35">
      <c r="A76" s="3" t="s">
        <v>186</v>
      </c>
      <c r="B76" s="130">
        <v>173.20248000000004</v>
      </c>
      <c r="C76" s="130">
        <f>Table16[[#This Row],[Total Spend (k)]]*1000</f>
        <v>173202.48000000004</v>
      </c>
      <c r="D76" s="131">
        <f>Table16[[#This Row],[Total Spend ($)]]/$C$220</f>
        <v>3.9916440514121309E-4</v>
      </c>
    </row>
    <row r="77" spans="1:4" x14ac:dyDescent="0.35">
      <c r="A77" s="3" t="s">
        <v>186</v>
      </c>
      <c r="B77" s="130">
        <v>2021.6912999999997</v>
      </c>
      <c r="C77" s="130">
        <f>Table16[[#This Row],[Total Spend (k)]]*1000</f>
        <v>2021691.2999999998</v>
      </c>
      <c r="D77" s="131">
        <f>Table16[[#This Row],[Total Spend ($)]]/$C$220</f>
        <v>4.6592127615243473E-3</v>
      </c>
    </row>
    <row r="78" spans="1:4" x14ac:dyDescent="0.35">
      <c r="A78" s="3" t="s">
        <v>186</v>
      </c>
      <c r="B78" s="130">
        <v>609.53452000000004</v>
      </c>
      <c r="C78" s="130">
        <f>Table16[[#This Row],[Total Spend (k)]]*1000</f>
        <v>609534.52</v>
      </c>
      <c r="D78" s="131">
        <f>Table16[[#This Row],[Total Spend ($)]]/$C$220</f>
        <v>1.4047401866811306E-3</v>
      </c>
    </row>
    <row r="79" spans="1:4" x14ac:dyDescent="0.35">
      <c r="A79" s="3" t="s">
        <v>186</v>
      </c>
      <c r="B79" s="130">
        <v>452.44977</v>
      </c>
      <c r="C79" s="130">
        <f>Table16[[#This Row],[Total Spend (k)]]*1000</f>
        <v>452449.77</v>
      </c>
      <c r="D79" s="131">
        <f>Table16[[#This Row],[Total Spend ($)]]/$C$220</f>
        <v>1.0427208853956863E-3</v>
      </c>
    </row>
    <row r="80" spans="1:4" x14ac:dyDescent="0.35">
      <c r="A80" s="3" t="s">
        <v>186</v>
      </c>
      <c r="B80" s="130">
        <v>209.96911000000003</v>
      </c>
      <c r="C80" s="130">
        <f>Table16[[#This Row],[Total Spend (k)]]*1000</f>
        <v>209969.11000000002</v>
      </c>
      <c r="D80" s="131">
        <f>Table16[[#This Row],[Total Spend ($)]]/$C$220</f>
        <v>4.8389719876516736E-4</v>
      </c>
    </row>
    <row r="81" spans="1:4" x14ac:dyDescent="0.35">
      <c r="A81" s="3" t="s">
        <v>186</v>
      </c>
      <c r="B81" s="130">
        <v>488.25489256000003</v>
      </c>
      <c r="C81" s="130">
        <f>Table16[[#This Row],[Total Spend (k)]]*1000</f>
        <v>488254.89256000001</v>
      </c>
      <c r="D81" s="131">
        <f>Table16[[#This Row],[Total Spend ($)]]/$C$220</f>
        <v>1.1252377780387398E-3</v>
      </c>
    </row>
    <row r="82" spans="1:4" x14ac:dyDescent="0.35">
      <c r="A82" s="3" t="s">
        <v>186</v>
      </c>
      <c r="B82" s="130">
        <v>435.31172999999995</v>
      </c>
      <c r="C82" s="130">
        <f>Table16[[#This Row],[Total Spend (k)]]*1000</f>
        <v>435311.73</v>
      </c>
      <c r="D82" s="131">
        <f>Table16[[#This Row],[Total Spend ($)]]/$C$220</f>
        <v>1.0032243635105127E-3</v>
      </c>
    </row>
    <row r="83" spans="1:4" x14ac:dyDescent="0.35">
      <c r="A83" s="3" t="s">
        <v>186</v>
      </c>
      <c r="B83" s="130">
        <v>300.62216999999998</v>
      </c>
      <c r="C83" s="130">
        <f>Table16[[#This Row],[Total Spend (k)]]*1000</f>
        <v>300622.17</v>
      </c>
      <c r="D83" s="131">
        <f>Table16[[#This Row],[Total Spend ($)]]/$C$220</f>
        <v>6.9281727178681623E-4</v>
      </c>
    </row>
    <row r="84" spans="1:4" x14ac:dyDescent="0.35">
      <c r="A84" s="3" t="s">
        <v>186</v>
      </c>
      <c r="B84" s="130">
        <v>334.08919000000003</v>
      </c>
      <c r="C84" s="130">
        <f>Table16[[#This Row],[Total Spend (k)]]*1000</f>
        <v>334089.19</v>
      </c>
      <c r="D84" s="131">
        <f>Table16[[#This Row],[Total Spend ($)]]/$C$220</f>
        <v>7.6994574668018422E-4</v>
      </c>
    </row>
    <row r="85" spans="1:4" x14ac:dyDescent="0.35">
      <c r="A85" s="3" t="s">
        <v>186</v>
      </c>
      <c r="B85" s="130">
        <v>668.66142558400009</v>
      </c>
      <c r="C85" s="130">
        <f>Table16[[#This Row],[Total Spend (k)]]*1000</f>
        <v>668661.42558400007</v>
      </c>
      <c r="D85" s="131">
        <f>Table16[[#This Row],[Total Spend ($)]]/$C$220</f>
        <v>1.5410047257066576E-3</v>
      </c>
    </row>
    <row r="86" spans="1:4" x14ac:dyDescent="0.35">
      <c r="A86" s="3" t="s">
        <v>186</v>
      </c>
      <c r="B86" s="130">
        <v>48.774436399999999</v>
      </c>
      <c r="C86" s="130">
        <f>Table16[[#This Row],[Total Spend (k)]]*1000</f>
        <v>48774.436399999999</v>
      </c>
      <c r="D86" s="131">
        <f>Table16[[#This Row],[Total Spend ($)]]/$C$220</f>
        <v>1.124061208113413E-4</v>
      </c>
    </row>
    <row r="87" spans="1:4" x14ac:dyDescent="0.35">
      <c r="A87" s="3" t="s">
        <v>198</v>
      </c>
      <c r="B87" s="130">
        <v>61.584240000000001</v>
      </c>
      <c r="C87" s="130">
        <f>Table16[[#This Row],[Total Spend (k)]]*1000</f>
        <v>61584.24</v>
      </c>
      <c r="D87" s="131">
        <f>Table16[[#This Row],[Total Spend ($)]]/$C$220</f>
        <v>1.4192773986650592E-4</v>
      </c>
    </row>
    <row r="88" spans="1:4" x14ac:dyDescent="0.35">
      <c r="A88" s="3" t="s">
        <v>198</v>
      </c>
      <c r="B88" s="130">
        <v>223.35321999999999</v>
      </c>
      <c r="C88" s="130">
        <f>Table16[[#This Row],[Total Spend (k)]]*1000</f>
        <v>223353.22</v>
      </c>
      <c r="D88" s="131">
        <f>Table16[[#This Row],[Total Spend ($)]]/$C$220</f>
        <v>5.1474237088103172E-4</v>
      </c>
    </row>
    <row r="89" spans="1:4" x14ac:dyDescent="0.35">
      <c r="A89" s="3" t="s">
        <v>201</v>
      </c>
      <c r="B89" s="130">
        <v>533.97533215999999</v>
      </c>
      <c r="C89" s="130">
        <f>Table16[[#This Row],[Total Spend (k)]]*1000</f>
        <v>533975.33215999999</v>
      </c>
      <c r="D89" s="131">
        <f>Table16[[#This Row],[Total Spend ($)]]/$C$220</f>
        <v>1.2306056230934339E-3</v>
      </c>
    </row>
    <row r="90" spans="1:4" x14ac:dyDescent="0.35">
      <c r="A90" s="3" t="s">
        <v>203</v>
      </c>
      <c r="B90" s="130">
        <v>848.02686055500021</v>
      </c>
      <c r="C90" s="130">
        <f>Table16[[#This Row],[Total Spend (k)]]*1000</f>
        <v>848026.86055500025</v>
      </c>
      <c r="D90" s="131">
        <f>Table16[[#This Row],[Total Spend ($)]]/$C$220</f>
        <v>1.9543723469618163E-3</v>
      </c>
    </row>
    <row r="91" spans="1:4" x14ac:dyDescent="0.35">
      <c r="A91" s="3" t="s">
        <v>203</v>
      </c>
      <c r="B91" s="130">
        <v>30613.215097336008</v>
      </c>
      <c r="C91" s="130">
        <f>Table16[[#This Row],[Total Spend (k)]]*1000</f>
        <v>30613215.097336009</v>
      </c>
      <c r="D91" s="131">
        <f>Table16[[#This Row],[Total Spend ($)]]/$C$220</f>
        <v>7.0551563659989908E-2</v>
      </c>
    </row>
    <row r="92" spans="1:4" x14ac:dyDescent="0.35">
      <c r="A92" s="3" t="s">
        <v>203</v>
      </c>
      <c r="B92" s="130">
        <v>945.12691029199982</v>
      </c>
      <c r="C92" s="130">
        <f>Table16[[#This Row],[Total Spend (k)]]*1000</f>
        <v>945126.91029199981</v>
      </c>
      <c r="D92" s="131">
        <f>Table16[[#This Row],[Total Spend ($)]]/$C$220</f>
        <v>2.1781502258492987E-3</v>
      </c>
    </row>
    <row r="93" spans="1:4" x14ac:dyDescent="0.35">
      <c r="A93" s="3" t="s">
        <v>207</v>
      </c>
      <c r="B93" s="130">
        <v>157.81858700000001</v>
      </c>
      <c r="C93" s="130">
        <f>Table16[[#This Row],[Total Spend (k)]]*1000</f>
        <v>157818.587</v>
      </c>
      <c r="D93" s="131">
        <f>Table16[[#This Row],[Total Spend ($)]]/$C$220</f>
        <v>3.6371051038115487E-4</v>
      </c>
    </row>
    <row r="94" spans="1:4" x14ac:dyDescent="0.35">
      <c r="A94" s="3" t="s">
        <v>207</v>
      </c>
      <c r="B94" s="130">
        <v>2.7557800000000001</v>
      </c>
      <c r="C94" s="130">
        <f>Table16[[#This Row],[Total Spend (k)]]*1000</f>
        <v>2755.78</v>
      </c>
      <c r="D94" s="131">
        <f>Table16[[#This Row],[Total Spend ($)]]/$C$220</f>
        <v>6.3510019279172678E-6</v>
      </c>
    </row>
    <row r="95" spans="1:4" x14ac:dyDescent="0.35">
      <c r="A95" s="3" t="s">
        <v>207</v>
      </c>
      <c r="B95" s="130">
        <v>467.28459883999977</v>
      </c>
      <c r="C95" s="130">
        <f>Table16[[#This Row],[Total Spend (k)]]*1000</f>
        <v>467284.59883999976</v>
      </c>
      <c r="D95" s="131">
        <f>Table16[[#This Row],[Total Spend ($)]]/$C$220</f>
        <v>1.0769094006484136E-3</v>
      </c>
    </row>
    <row r="96" spans="1:4" x14ac:dyDescent="0.35">
      <c r="A96" s="3" t="s">
        <v>207</v>
      </c>
      <c r="B96" s="130">
        <v>8899.1697509999995</v>
      </c>
      <c r="C96" s="130">
        <f>Table16[[#This Row],[Total Spend (k)]]*1000</f>
        <v>8899169.7510000002</v>
      </c>
      <c r="D96" s="131">
        <f>Table16[[#This Row],[Total Spend ($)]]/$C$220</f>
        <v>2.0509127813346503E-2</v>
      </c>
    </row>
    <row r="97" spans="1:4" x14ac:dyDescent="0.35">
      <c r="A97" s="3" t="s">
        <v>212</v>
      </c>
      <c r="B97" s="130">
        <v>10.347220000000002</v>
      </c>
      <c r="C97" s="130">
        <f>Table16[[#This Row],[Total Spend (k)]]*1000</f>
        <v>10347.220000000001</v>
      </c>
      <c r="D97" s="131">
        <f>Table16[[#This Row],[Total Spend ($)]]/$C$220</f>
        <v>2.3846320885043114E-5</v>
      </c>
    </row>
    <row r="98" spans="1:4" x14ac:dyDescent="0.35">
      <c r="A98" s="3" t="s">
        <v>212</v>
      </c>
      <c r="B98" s="130">
        <v>497.79773999999998</v>
      </c>
      <c r="C98" s="130">
        <f>Table16[[#This Row],[Total Spend (k)]]*1000</f>
        <v>497797.74</v>
      </c>
      <c r="D98" s="131">
        <f>Table16[[#This Row],[Total Spend ($)]]/$C$220</f>
        <v>1.1472303327743356E-3</v>
      </c>
    </row>
    <row r="99" spans="1:4" x14ac:dyDescent="0.35">
      <c r="A99" s="3" t="s">
        <v>212</v>
      </c>
      <c r="B99" s="130">
        <v>26.813099999999999</v>
      </c>
      <c r="C99" s="130">
        <f>Table16[[#This Row],[Total Spend (k)]]*1000</f>
        <v>26813.1</v>
      </c>
      <c r="D99" s="131">
        <f>Table16[[#This Row],[Total Spend ($)]]/$C$220</f>
        <v>6.1793775190123473E-5</v>
      </c>
    </row>
    <row r="100" spans="1:4" x14ac:dyDescent="0.35">
      <c r="A100" s="3" t="s">
        <v>212</v>
      </c>
      <c r="B100" s="130">
        <v>28.483410000000003</v>
      </c>
      <c r="C100" s="130">
        <f>Table16[[#This Row],[Total Spend (k)]]*1000</f>
        <v>28483.410000000003</v>
      </c>
      <c r="D100" s="131">
        <f>Table16[[#This Row],[Total Spend ($)]]/$C$220</f>
        <v>6.564319061160832E-5</v>
      </c>
    </row>
    <row r="101" spans="1:4" x14ac:dyDescent="0.35">
      <c r="A101" s="3" t="s">
        <v>212</v>
      </c>
      <c r="B101" s="130">
        <v>1025.17562</v>
      </c>
      <c r="C101" s="130">
        <f>Table16[[#This Row],[Total Spend (k)]]*1000</f>
        <v>1025175.62</v>
      </c>
      <c r="D101" s="131">
        <f>Table16[[#This Row],[Total Spend ($)]]/$C$220</f>
        <v>2.3626313925907655E-3</v>
      </c>
    </row>
    <row r="102" spans="1:4" x14ac:dyDescent="0.35">
      <c r="A102" s="3" t="s">
        <v>212</v>
      </c>
      <c r="B102" s="130">
        <v>27.315413799999998</v>
      </c>
      <c r="C102" s="130">
        <f>Table16[[#This Row],[Total Spend (k)]]*1000</f>
        <v>27315.413799999998</v>
      </c>
      <c r="D102" s="131">
        <f>Table16[[#This Row],[Total Spend ($)]]/$C$220</f>
        <v>6.2951413286132396E-5</v>
      </c>
    </row>
    <row r="103" spans="1:4" x14ac:dyDescent="0.35">
      <c r="A103" s="3" t="s">
        <v>212</v>
      </c>
      <c r="B103" s="130">
        <v>30.48874</v>
      </c>
      <c r="C103" s="130">
        <f>Table16[[#This Row],[Total Spend (k)]]*1000</f>
        <v>30488.74</v>
      </c>
      <c r="D103" s="131">
        <f>Table16[[#This Row],[Total Spend ($)]]/$C$220</f>
        <v>7.0264696935084923E-5</v>
      </c>
    </row>
    <row r="104" spans="1:4" x14ac:dyDescent="0.35">
      <c r="A104" s="3" t="s">
        <v>212</v>
      </c>
      <c r="B104" s="130">
        <v>119.72161</v>
      </c>
      <c r="C104" s="130">
        <f>Table16[[#This Row],[Total Spend (k)]]*1000</f>
        <v>119721.61</v>
      </c>
      <c r="D104" s="131">
        <f>Table16[[#This Row],[Total Spend ($)]]/$C$220</f>
        <v>2.759117839317214E-4</v>
      </c>
    </row>
    <row r="105" spans="1:4" x14ac:dyDescent="0.35">
      <c r="A105" s="3" t="s">
        <v>212</v>
      </c>
      <c r="B105" s="130">
        <v>16.079999999999998</v>
      </c>
      <c r="C105" s="130">
        <f>Table16[[#This Row],[Total Spend (k)]]*1000</f>
        <v>16079.999999999998</v>
      </c>
      <c r="D105" s="131">
        <f>Table16[[#This Row],[Total Spend ($)]]/$C$220</f>
        <v>3.7058150868686776E-5</v>
      </c>
    </row>
    <row r="106" spans="1:4" x14ac:dyDescent="0.35">
      <c r="A106" s="3" t="s">
        <v>222</v>
      </c>
      <c r="B106" s="130">
        <v>1902.9717098000003</v>
      </c>
      <c r="C106" s="130">
        <f>Table16[[#This Row],[Total Spend (k)]]*1000</f>
        <v>1902971.7098000003</v>
      </c>
      <c r="D106" s="131">
        <f>Table16[[#This Row],[Total Spend ($)]]/$C$220</f>
        <v>4.385610243819108E-3</v>
      </c>
    </row>
    <row r="107" spans="1:4" x14ac:dyDescent="0.35">
      <c r="A107" s="3" t="s">
        <v>224</v>
      </c>
      <c r="B107" s="130">
        <v>147.52527480000001</v>
      </c>
      <c r="C107" s="130">
        <f>Table16[[#This Row],[Total Spend (k)]]*1000</f>
        <v>147525.27480000001</v>
      </c>
      <c r="D107" s="131">
        <f>Table16[[#This Row],[Total Spend ($)]]/$C$220</f>
        <v>3.3998842602505453E-4</v>
      </c>
    </row>
    <row r="108" spans="1:4" x14ac:dyDescent="0.35">
      <c r="A108" s="3" t="s">
        <v>225</v>
      </c>
      <c r="B108" s="130">
        <v>2.07375</v>
      </c>
      <c r="C108" s="130">
        <f>Table16[[#This Row],[Total Spend (k)]]*1000</f>
        <v>2073.75</v>
      </c>
      <c r="D108" s="131">
        <f>Table16[[#This Row],[Total Spend ($)]]/$C$220</f>
        <v>4.7791878335783093E-6</v>
      </c>
    </row>
    <row r="109" spans="1:4" x14ac:dyDescent="0.35">
      <c r="A109" s="3" t="s">
        <v>225</v>
      </c>
      <c r="B109" s="130">
        <v>16.224</v>
      </c>
      <c r="C109" s="130">
        <f>Table16[[#This Row],[Total Spend (k)]]*1000</f>
        <v>16224</v>
      </c>
      <c r="D109" s="131">
        <f>Table16[[#This Row],[Total Spend ($)]]/$C$220</f>
        <v>3.7390014906316815E-5</v>
      </c>
    </row>
    <row r="110" spans="1:4" x14ac:dyDescent="0.35">
      <c r="A110" s="3" t="s">
        <v>227</v>
      </c>
      <c r="B110" s="130">
        <v>352.08</v>
      </c>
      <c r="C110" s="130">
        <f>Table16[[#This Row],[Total Spend (k)]]*1000</f>
        <v>352080</v>
      </c>
      <c r="D110" s="131">
        <f>Table16[[#This Row],[Total Spend ($)]]/$C$220</f>
        <v>8.1140757200542544E-4</v>
      </c>
    </row>
    <row r="111" spans="1:4" x14ac:dyDescent="0.35">
      <c r="A111" s="3" t="s">
        <v>227</v>
      </c>
      <c r="B111" s="130">
        <v>229.797</v>
      </c>
      <c r="C111" s="130">
        <f>Table16[[#This Row],[Total Spend (k)]]*1000</f>
        <v>229797</v>
      </c>
      <c r="D111" s="131">
        <f>Table16[[#This Row],[Total Spend ($)]]/$C$220</f>
        <v>5.2959277955047361E-4</v>
      </c>
    </row>
    <row r="112" spans="1:4" x14ac:dyDescent="0.35">
      <c r="A112" s="3" t="s">
        <v>227</v>
      </c>
      <c r="B112" s="130">
        <v>170.99508999999998</v>
      </c>
      <c r="C112" s="130">
        <f>Table16[[#This Row],[Total Spend (k)]]*1000</f>
        <v>170995.08999999997</v>
      </c>
      <c r="D112" s="131">
        <f>Table16[[#This Row],[Total Spend ($)]]/$C$220</f>
        <v>3.9407722904382297E-4</v>
      </c>
    </row>
    <row r="113" spans="1:4" x14ac:dyDescent="0.35">
      <c r="A113" s="3" t="s">
        <v>227</v>
      </c>
      <c r="B113" s="130">
        <v>583.20000000000005</v>
      </c>
      <c r="C113" s="130">
        <f>Table16[[#This Row],[Total Spend (k)]]*1000</f>
        <v>583200</v>
      </c>
      <c r="D113" s="131">
        <f>Table16[[#This Row],[Total Spend ($)]]/$C$220</f>
        <v>1.344049352401625E-3</v>
      </c>
    </row>
    <row r="114" spans="1:4" x14ac:dyDescent="0.35">
      <c r="A114" s="3" t="s">
        <v>227</v>
      </c>
      <c r="B114" s="130">
        <v>182.07599999999999</v>
      </c>
      <c r="C114" s="130">
        <f>Table16[[#This Row],[Total Spend (k)]]*1000</f>
        <v>182076</v>
      </c>
      <c r="D114" s="131">
        <f>Table16[[#This Row],[Total Spend ($)]]/$C$220</f>
        <v>4.1961442024670485E-4</v>
      </c>
    </row>
    <row r="115" spans="1:4" x14ac:dyDescent="0.35">
      <c r="A115" s="3" t="s">
        <v>233</v>
      </c>
      <c r="B115" s="130">
        <v>29.464080000000003</v>
      </c>
      <c r="C115" s="130">
        <f>Table16[[#This Row],[Total Spend (k)]]*1000</f>
        <v>29464.080000000002</v>
      </c>
      <c r="D115" s="131">
        <f>Table16[[#This Row],[Total Spend ($)]]/$C$220</f>
        <v>6.7903253846210006E-5</v>
      </c>
    </row>
    <row r="116" spans="1:4" x14ac:dyDescent="0.35">
      <c r="A116" s="3" t="s">
        <v>235</v>
      </c>
      <c r="B116" s="130">
        <v>3024.3410463660002</v>
      </c>
      <c r="C116" s="130">
        <f>Table16[[#This Row],[Total Spend (k)]]*1000</f>
        <v>3024341.0463660001</v>
      </c>
      <c r="D116" s="131">
        <f>Table16[[#This Row],[Total Spend ($)]]/$C$220</f>
        <v>6.9699307695642587E-3</v>
      </c>
    </row>
    <row r="117" spans="1:4" x14ac:dyDescent="0.35">
      <c r="A117" s="3" t="s">
        <v>235</v>
      </c>
      <c r="B117" s="130">
        <v>2232.0131687229996</v>
      </c>
      <c r="C117" s="130">
        <f>Table16[[#This Row],[Total Spend (k)]]*1000</f>
        <v>2232013.1687229997</v>
      </c>
      <c r="D117" s="131">
        <f>Table16[[#This Row],[Total Spend ($)]]/$C$220</f>
        <v>5.1439229320542641E-3</v>
      </c>
    </row>
    <row r="118" spans="1:4" x14ac:dyDescent="0.35">
      <c r="A118" s="3" t="s">
        <v>237</v>
      </c>
      <c r="B118" s="130">
        <v>2.0055526000000001</v>
      </c>
      <c r="C118" s="130">
        <f>Table16[[#This Row],[Total Spend (k)]]*1000</f>
        <v>2005.5526000000002</v>
      </c>
      <c r="D118" s="131">
        <f>Table16[[#This Row],[Total Spend ($)]]/$C$220</f>
        <v>4.6220193299680995E-6</v>
      </c>
    </row>
    <row r="119" spans="1:4" x14ac:dyDescent="0.35">
      <c r="A119" s="3" t="s">
        <v>239</v>
      </c>
      <c r="B119" s="130">
        <v>3955.7690400000006</v>
      </c>
      <c r="C119" s="130">
        <f>Table16[[#This Row],[Total Spend (k)]]*1000</f>
        <v>3955769.0400000005</v>
      </c>
      <c r="D119" s="131">
        <f>Table16[[#This Row],[Total Spend ($)]]/$C$220</f>
        <v>9.1165103162935499E-3</v>
      </c>
    </row>
    <row r="120" spans="1:4" x14ac:dyDescent="0.35">
      <c r="A120" s="3" t="s">
        <v>240</v>
      </c>
      <c r="B120" s="130">
        <v>27.892451324000003</v>
      </c>
      <c r="C120" s="130">
        <f>Table16[[#This Row],[Total Spend (k)]]*1000</f>
        <v>27892.451324000001</v>
      </c>
      <c r="D120" s="131">
        <f>Table16[[#This Row],[Total Spend ($)]]/$C$220</f>
        <v>6.4281260526262093E-5</v>
      </c>
    </row>
    <row r="121" spans="1:4" x14ac:dyDescent="0.35">
      <c r="A121" s="3" t="s">
        <v>240</v>
      </c>
      <c r="B121" s="130">
        <v>1047.1831478920001</v>
      </c>
      <c r="C121" s="130">
        <f>Table16[[#This Row],[Total Spend (k)]]*1000</f>
        <v>1047183.147892</v>
      </c>
      <c r="D121" s="131">
        <f>Table16[[#This Row],[Total Spend ($)]]/$C$220</f>
        <v>2.4133501916497563E-3</v>
      </c>
    </row>
    <row r="122" spans="1:4" x14ac:dyDescent="0.35">
      <c r="A122" s="3" t="s">
        <v>243</v>
      </c>
      <c r="B122" s="130">
        <v>1449.7214534799996</v>
      </c>
      <c r="C122" s="130">
        <f>Table16[[#This Row],[Total Spend (k)]]*1000</f>
        <v>1449721.4534799997</v>
      </c>
      <c r="D122" s="131">
        <f>Table16[[#This Row],[Total Spend ($)]]/$C$220</f>
        <v>3.3410445485468729E-3</v>
      </c>
    </row>
    <row r="123" spans="1:4" x14ac:dyDescent="0.35">
      <c r="A123" s="3" t="s">
        <v>243</v>
      </c>
      <c r="B123" s="130">
        <v>3111.5349727920006</v>
      </c>
      <c r="C123" s="130">
        <f>Table16[[#This Row],[Total Spend (k)]]*1000</f>
        <v>3111534.9727920005</v>
      </c>
      <c r="D123" s="131">
        <f>Table16[[#This Row],[Total Spend ($)]]/$C$220</f>
        <v>7.1708788840125111E-3</v>
      </c>
    </row>
    <row r="124" spans="1:4" x14ac:dyDescent="0.35">
      <c r="A124" s="3" t="s">
        <v>245</v>
      </c>
      <c r="B124" s="130">
        <v>79.233560000000026</v>
      </c>
      <c r="C124" s="130">
        <f>Table16[[#This Row],[Total Spend (k)]]*1000</f>
        <v>79233.560000000027</v>
      </c>
      <c r="D124" s="131">
        <f>Table16[[#This Row],[Total Spend ($)]]/$C$220</f>
        <v>1.8260256345417581E-4</v>
      </c>
    </row>
    <row r="125" spans="1:4" x14ac:dyDescent="0.35">
      <c r="A125" s="3" t="s">
        <v>245</v>
      </c>
      <c r="B125" s="130">
        <v>3.9261300000000001</v>
      </c>
      <c r="C125" s="130">
        <f>Table16[[#This Row],[Total Spend (k)]]*1000</f>
        <v>3926.13</v>
      </c>
      <c r="D125" s="131">
        <f>Table16[[#This Row],[Total Spend ($)]]/$C$220</f>
        <v>9.0482038476416191E-6</v>
      </c>
    </row>
    <row r="126" spans="1:4" x14ac:dyDescent="0.35">
      <c r="A126" s="3" t="s">
        <v>245</v>
      </c>
      <c r="B126" s="130">
        <v>190.00145999999995</v>
      </c>
      <c r="C126" s="130">
        <f>Table16[[#This Row],[Total Spend (k)]]*1000</f>
        <v>190001.45999999996</v>
      </c>
      <c r="D126" s="131">
        <f>Table16[[#This Row],[Total Spend ($)]]/$C$220</f>
        <v>4.3787952549444994E-4</v>
      </c>
    </row>
    <row r="127" spans="1:4" x14ac:dyDescent="0.35">
      <c r="A127" s="3" t="s">
        <v>245</v>
      </c>
      <c r="B127" s="130">
        <v>154.16556</v>
      </c>
      <c r="C127" s="130">
        <f>Table16[[#This Row],[Total Spend (k)]]*1000</f>
        <v>154165.56</v>
      </c>
      <c r="D127" s="131">
        <f>Table16[[#This Row],[Total Spend ($)]]/$C$220</f>
        <v>3.5529170281315819E-4</v>
      </c>
    </row>
    <row r="128" spans="1:4" x14ac:dyDescent="0.35">
      <c r="A128" s="3" t="s">
        <v>245</v>
      </c>
      <c r="B128" s="130">
        <v>7.777070000000001</v>
      </c>
      <c r="C128" s="130">
        <f>Table16[[#This Row],[Total Spend (k)]]*1000</f>
        <v>7777.0700000000006</v>
      </c>
      <c r="D128" s="131">
        <f>Table16[[#This Row],[Total Spend ($)]]/$C$220</f>
        <v>1.7923123966190169E-5</v>
      </c>
    </row>
    <row r="129" spans="1:4" x14ac:dyDescent="0.35">
      <c r="A129" s="3" t="s">
        <v>245</v>
      </c>
      <c r="B129" s="130">
        <v>0.41339999999999999</v>
      </c>
      <c r="C129" s="130">
        <f>Table16[[#This Row],[Total Spend (k)]]*1000</f>
        <v>413.4</v>
      </c>
      <c r="D129" s="131">
        <f>Table16[[#This Row],[Total Spend ($)]]/$C$220</f>
        <v>9.5272634136288029E-7</v>
      </c>
    </row>
    <row r="130" spans="1:4" x14ac:dyDescent="0.35">
      <c r="A130" s="3" t="s">
        <v>245</v>
      </c>
      <c r="B130" s="130">
        <v>100.42994</v>
      </c>
      <c r="C130" s="130">
        <f>Table16[[#This Row],[Total Spend (k)]]*1000</f>
        <v>100429.94</v>
      </c>
      <c r="D130" s="131">
        <f>Table16[[#This Row],[Total Spend ($)]]/$C$220</f>
        <v>2.314519818565399E-4</v>
      </c>
    </row>
    <row r="131" spans="1:4" x14ac:dyDescent="0.35">
      <c r="A131" s="3" t="s">
        <v>245</v>
      </c>
      <c r="B131" s="130">
        <v>15.4816</v>
      </c>
      <c r="C131" s="130">
        <f>Table16[[#This Row],[Total Spend (k)]]*1000</f>
        <v>15481.6</v>
      </c>
      <c r="D131" s="131">
        <f>Table16[[#This Row],[Total Spend ($)]]/$C$220</f>
        <v>3.5679071423424211E-5</v>
      </c>
    </row>
    <row r="132" spans="1:4" x14ac:dyDescent="0.35">
      <c r="A132" s="3" t="s">
        <v>245</v>
      </c>
      <c r="B132" s="130">
        <v>62.705460000000016</v>
      </c>
      <c r="C132" s="130">
        <f>Table16[[#This Row],[Total Spend (k)]]*1000</f>
        <v>62705.460000000014</v>
      </c>
      <c r="D132" s="131">
        <f>Table16[[#This Row],[Total Spend ($)]]/$C$220</f>
        <v>1.4451171622950279E-4</v>
      </c>
    </row>
    <row r="133" spans="1:4" x14ac:dyDescent="0.35">
      <c r="A133" s="3" t="s">
        <v>245</v>
      </c>
      <c r="B133" s="130">
        <v>36.55068</v>
      </c>
      <c r="C133" s="130">
        <f>Table16[[#This Row],[Total Spend (k)]]*1000</f>
        <v>36550.68</v>
      </c>
      <c r="D133" s="131">
        <f>Table16[[#This Row],[Total Spend ($)]]/$C$220</f>
        <v>8.4235112798077894E-5</v>
      </c>
    </row>
    <row r="134" spans="1:4" x14ac:dyDescent="0.35">
      <c r="A134" s="3" t="s">
        <v>245</v>
      </c>
      <c r="B134" s="130">
        <v>3.3847600000000004</v>
      </c>
      <c r="C134" s="130">
        <f>Table16[[#This Row],[Total Spend (k)]]*1000</f>
        <v>3384.76</v>
      </c>
      <c r="D134" s="131">
        <f>Table16[[#This Row],[Total Spend ($)]]/$C$220</f>
        <v>7.8005563889487736E-6</v>
      </c>
    </row>
    <row r="135" spans="1:4" x14ac:dyDescent="0.35">
      <c r="A135" s="3" t="s">
        <v>256</v>
      </c>
      <c r="B135" s="130">
        <v>1.0785</v>
      </c>
      <c r="C135" s="130">
        <f>Table16[[#This Row],[Total Spend (k)]]*1000</f>
        <v>1078.5</v>
      </c>
      <c r="D135" s="131">
        <f>Table16[[#This Row],[Total Spend ($)]]/$C$220</f>
        <v>2.4855233651665852E-6</v>
      </c>
    </row>
    <row r="136" spans="1:4" x14ac:dyDescent="0.35">
      <c r="A136" s="3" t="s">
        <v>257</v>
      </c>
      <c r="B136" s="130">
        <v>107.62545</v>
      </c>
      <c r="C136" s="130">
        <f>Table16[[#This Row],[Total Spend (k)]]*1000</f>
        <v>107625.45</v>
      </c>
      <c r="D136" s="131">
        <f>Table16[[#This Row],[Total Spend ($)]]/$C$220</f>
        <v>2.4803483603297923E-4</v>
      </c>
    </row>
    <row r="137" spans="1:4" x14ac:dyDescent="0.35">
      <c r="A137" s="3" t="s">
        <v>258</v>
      </c>
      <c r="B137" s="130">
        <v>1175.7776732729999</v>
      </c>
      <c r="C137" s="130">
        <f>Table16[[#This Row],[Total Spend (k)]]*1000</f>
        <v>1175777.6732729999</v>
      </c>
      <c r="D137" s="131">
        <f>Table16[[#This Row],[Total Spend ($)]]/$C$220</f>
        <v>2.7097105972751457E-3</v>
      </c>
    </row>
    <row r="138" spans="1:4" x14ac:dyDescent="0.35">
      <c r="A138" s="3" t="s">
        <v>258</v>
      </c>
      <c r="B138" s="130">
        <v>1517.51794374</v>
      </c>
      <c r="C138" s="130">
        <f>Table16[[#This Row],[Total Spend (k)]]*1000</f>
        <v>1517517.94374</v>
      </c>
      <c r="D138" s="131">
        <f>Table16[[#This Row],[Total Spend ($)]]/$C$220</f>
        <v>3.4972891110109615E-3</v>
      </c>
    </row>
    <row r="139" spans="1:4" x14ac:dyDescent="0.35">
      <c r="A139" s="3" t="s">
        <v>258</v>
      </c>
      <c r="B139" s="130">
        <v>1125.1437257200002</v>
      </c>
      <c r="C139" s="130">
        <f>Table16[[#This Row],[Total Spend (k)]]*1000</f>
        <v>1125143.7257200002</v>
      </c>
      <c r="D139" s="131">
        <f>Table16[[#This Row],[Total Spend ($)]]/$C$220</f>
        <v>2.5930190259134396E-3</v>
      </c>
    </row>
    <row r="140" spans="1:4" x14ac:dyDescent="0.35">
      <c r="A140" s="3" t="s">
        <v>262</v>
      </c>
      <c r="B140" s="130">
        <v>208.81855999999999</v>
      </c>
      <c r="C140" s="130">
        <f>Table16[[#This Row],[Total Spend (k)]]*1000</f>
        <v>208818.56</v>
      </c>
      <c r="D140" s="131">
        <f>Table16[[#This Row],[Total Spend ($)]]/$C$220</f>
        <v>4.8124562815061707E-4</v>
      </c>
    </row>
    <row r="141" spans="1:4" x14ac:dyDescent="0.35">
      <c r="A141" s="3" t="s">
        <v>262</v>
      </c>
      <c r="B141" s="130">
        <v>36.54</v>
      </c>
      <c r="C141" s="130">
        <f>Table16[[#This Row],[Total Spend (k)]]*1000</f>
        <v>36540</v>
      </c>
      <c r="D141" s="131">
        <f>Table16[[#This Row],[Total Spend ($)]]/$C$220</f>
        <v>8.4210499548620333E-5</v>
      </c>
    </row>
    <row r="142" spans="1:4" x14ac:dyDescent="0.35">
      <c r="A142" s="3" t="s">
        <v>262</v>
      </c>
      <c r="B142" s="130">
        <v>8.6199999999999992</v>
      </c>
      <c r="C142" s="130">
        <f>Table16[[#This Row],[Total Spend (k)]]*1000</f>
        <v>8620</v>
      </c>
      <c r="D142" s="131">
        <f>Table16[[#This Row],[Total Spend ($)]]/$C$220</f>
        <v>1.9865750030353238E-5</v>
      </c>
    </row>
    <row r="143" spans="1:4" x14ac:dyDescent="0.35">
      <c r="A143" s="3" t="s">
        <v>262</v>
      </c>
      <c r="B143" s="130">
        <v>343.20699999999999</v>
      </c>
      <c r="C143" s="130">
        <f>Table16[[#This Row],[Total Spend (k)]]*1000</f>
        <v>343207</v>
      </c>
      <c r="D143" s="131">
        <f>Table16[[#This Row],[Total Spend ($)]]/$C$220</f>
        <v>7.9095875529784729E-4</v>
      </c>
    </row>
    <row r="144" spans="1:4" x14ac:dyDescent="0.35">
      <c r="A144" s="3" t="s">
        <v>262</v>
      </c>
      <c r="B144" s="130">
        <v>90.088200000000001</v>
      </c>
      <c r="C144" s="130">
        <f>Table16[[#This Row],[Total Spend (k)]]*1000</f>
        <v>90088.2</v>
      </c>
      <c r="D144" s="131">
        <f>Table16[[#This Row],[Total Spend ($)]]/$C$220</f>
        <v>2.0761829024181768E-4</v>
      </c>
    </row>
    <row r="145" spans="1:4" x14ac:dyDescent="0.35">
      <c r="A145" s="3" t="s">
        <v>262</v>
      </c>
      <c r="B145" s="130">
        <v>1364.40031</v>
      </c>
      <c r="C145" s="130">
        <f>Table16[[#This Row],[Total Spend (k)]]*1000</f>
        <v>1364400.31</v>
      </c>
      <c r="D145" s="131">
        <f>Table16[[#This Row],[Total Spend ($)]]/$C$220</f>
        <v>3.144412470974068E-3</v>
      </c>
    </row>
    <row r="146" spans="1:4" x14ac:dyDescent="0.35">
      <c r="A146" s="3" t="s">
        <v>262</v>
      </c>
      <c r="B146" s="130">
        <v>0</v>
      </c>
      <c r="C146" s="130">
        <f>Table16[[#This Row],[Total Spend (k)]]*1000</f>
        <v>0</v>
      </c>
      <c r="D146" s="131">
        <f>Table16[[#This Row],[Total Spend ($)]]/$C$220</f>
        <v>0</v>
      </c>
    </row>
    <row r="147" spans="1:4" x14ac:dyDescent="0.35">
      <c r="A147" s="3" t="s">
        <v>262</v>
      </c>
      <c r="B147" s="130">
        <v>10725.565519655003</v>
      </c>
      <c r="C147" s="130">
        <f>Table16[[#This Row],[Total Spend (k)]]*1000</f>
        <v>10725565.519655004</v>
      </c>
      <c r="D147" s="131">
        <f>Table16[[#This Row],[Total Spend ($)]]/$C$220</f>
        <v>2.4718260272348264E-2</v>
      </c>
    </row>
    <row r="148" spans="1:4" x14ac:dyDescent="0.35">
      <c r="A148" s="3" t="s">
        <v>262</v>
      </c>
      <c r="B148" s="130">
        <v>1234.4000000000001</v>
      </c>
      <c r="C148" s="130">
        <f>Table16[[#This Row],[Total Spend (k)]]*1000</f>
        <v>1234400</v>
      </c>
      <c r="D148" s="131">
        <f>Table16[[#This Row],[Total Spend ($)]]/$C$220</f>
        <v>2.8448122781285423E-3</v>
      </c>
    </row>
    <row r="149" spans="1:4" x14ac:dyDescent="0.35">
      <c r="A149" s="3" t="s">
        <v>262</v>
      </c>
      <c r="B149" s="130">
        <v>132.58199511999999</v>
      </c>
      <c r="C149" s="130">
        <f>Table16[[#This Row],[Total Spend (k)]]*1000</f>
        <v>132581.99511999998</v>
      </c>
      <c r="D149" s="131">
        <f>Table16[[#This Row],[Total Spend ($)]]/$C$220</f>
        <v>3.0554997373311282E-4</v>
      </c>
    </row>
    <row r="150" spans="1:4" x14ac:dyDescent="0.35">
      <c r="A150" s="3" t="s">
        <v>262</v>
      </c>
      <c r="B150" s="130">
        <v>67.483250800000008</v>
      </c>
      <c r="C150" s="130">
        <f>Table16[[#This Row],[Total Spend (k)]]*1000</f>
        <v>67483.250800000009</v>
      </c>
      <c r="D150" s="131">
        <f>Table16[[#This Row],[Total Spend ($)]]/$C$220</f>
        <v>1.5552266724227787E-4</v>
      </c>
    </row>
    <row r="151" spans="1:4" x14ac:dyDescent="0.35">
      <c r="A151" s="3" t="s">
        <v>262</v>
      </c>
      <c r="B151" s="130">
        <v>204.47484860799997</v>
      </c>
      <c r="C151" s="130">
        <f>Table16[[#This Row],[Total Spend (k)]]*1000</f>
        <v>204474.84860799997</v>
      </c>
      <c r="D151" s="131">
        <f>Table16[[#This Row],[Total Spend ($)]]/$C$220</f>
        <v>4.7123506147805672E-4</v>
      </c>
    </row>
    <row r="152" spans="1:4" x14ac:dyDescent="0.35">
      <c r="A152" s="3" t="s">
        <v>273</v>
      </c>
      <c r="B152" s="130">
        <v>957.16238929399981</v>
      </c>
      <c r="C152" s="130">
        <f>Table16[[#This Row],[Total Spend (k)]]*1000</f>
        <v>957162.38929399976</v>
      </c>
      <c r="D152" s="131">
        <f>Table16[[#This Row],[Total Spend ($)]]/$C$220</f>
        <v>2.2058873276299597E-3</v>
      </c>
    </row>
    <row r="153" spans="1:4" x14ac:dyDescent="0.35">
      <c r="A153" s="3" t="s">
        <v>274</v>
      </c>
      <c r="B153" s="130">
        <v>1156.6559186399998</v>
      </c>
      <c r="C153" s="130">
        <f>Table16[[#This Row],[Total Spend (k)]]*1000</f>
        <v>1156655.9186399998</v>
      </c>
      <c r="D153" s="131">
        <f>Table16[[#This Row],[Total Spend ($)]]/$C$220</f>
        <v>2.665642384087103E-3</v>
      </c>
    </row>
    <row r="154" spans="1:4" x14ac:dyDescent="0.35">
      <c r="A154" s="3" t="s">
        <v>274</v>
      </c>
      <c r="B154" s="130">
        <v>340.69816000000003</v>
      </c>
      <c r="C154" s="130">
        <f>Table16[[#This Row],[Total Spend (k)]]*1000</f>
        <v>340698.16000000003</v>
      </c>
      <c r="D154" s="131">
        <f>Table16[[#This Row],[Total Spend ($)]]/$C$220</f>
        <v>7.851768541022381E-4</v>
      </c>
    </row>
    <row r="155" spans="1:4" x14ac:dyDescent="0.35">
      <c r="A155" s="3" t="s">
        <v>277</v>
      </c>
      <c r="B155" s="130">
        <v>372.10538395899994</v>
      </c>
      <c r="C155" s="130">
        <f>Table16[[#This Row],[Total Spend (k)]]*1000</f>
        <v>372105.38395899994</v>
      </c>
      <c r="D155" s="131">
        <f>Table16[[#This Row],[Total Spend ($)]]/$C$220</f>
        <v>8.5755829961462946E-4</v>
      </c>
    </row>
    <row r="156" spans="1:4" x14ac:dyDescent="0.35">
      <c r="A156" s="3" t="s">
        <v>277</v>
      </c>
      <c r="B156" s="130">
        <v>276.71432809499993</v>
      </c>
      <c r="C156" s="130">
        <f>Table16[[#This Row],[Total Spend (k)]]*1000</f>
        <v>276714.32809499995</v>
      </c>
      <c r="D156" s="131">
        <f>Table16[[#This Row],[Total Spend ($)]]/$C$220</f>
        <v>6.3771898744227618E-4</v>
      </c>
    </row>
    <row r="157" spans="1:4" x14ac:dyDescent="0.35">
      <c r="A157" s="148" t="s">
        <v>280</v>
      </c>
      <c r="B157" s="149">
        <v>3471.4065099999998</v>
      </c>
      <c r="C157" s="149">
        <f>Table16[[#This Row],[Total Spend (k)]]*1000</f>
        <v>3471406.51</v>
      </c>
      <c r="D157" s="150">
        <f>Table16[[#This Row],[Total Spend ($)]]/$C$220</f>
        <v>8.0002429212762093E-3</v>
      </c>
    </row>
    <row r="158" spans="1:4" x14ac:dyDescent="0.35">
      <c r="A158" s="148" t="s">
        <v>280</v>
      </c>
      <c r="B158" s="149">
        <v>278.18675000000002</v>
      </c>
      <c r="C158" s="149">
        <f>Table16[[#This Row],[Total Spend (k)]]*1000</f>
        <v>278186.75</v>
      </c>
      <c r="D158" s="150">
        <f>Table16[[#This Row],[Total Spend ($)]]/$C$220</f>
        <v>6.4111234770955548E-4</v>
      </c>
    </row>
    <row r="159" spans="1:4" x14ac:dyDescent="0.35">
      <c r="A159" s="148" t="s">
        <v>280</v>
      </c>
      <c r="B159" s="149">
        <v>2.8559999999999999</v>
      </c>
      <c r="C159" s="149">
        <f>Table16[[#This Row],[Total Spend (k)]]*1000</f>
        <v>2856</v>
      </c>
      <c r="D159" s="150">
        <f>Table16[[#This Row],[Total Spend ($)]]/$C$220</f>
        <v>6.5819700796622792E-6</v>
      </c>
    </row>
    <row r="160" spans="1:4" x14ac:dyDescent="0.35">
      <c r="A160" s="148" t="s">
        <v>280</v>
      </c>
      <c r="B160" s="149">
        <v>2292.6132500000003</v>
      </c>
      <c r="C160" s="149">
        <f>Table16[[#This Row],[Total Spend (k)]]*1000</f>
        <v>2292613.2500000005</v>
      </c>
      <c r="D160" s="150">
        <f>Table16[[#This Row],[Total Spend ($)]]/$C$220</f>
        <v>5.2835825685354689E-3</v>
      </c>
    </row>
    <row r="161" spans="1:4" x14ac:dyDescent="0.35">
      <c r="A161" s="3" t="s">
        <v>244</v>
      </c>
      <c r="B161" s="130">
        <v>3.6120000000000001</v>
      </c>
      <c r="C161" s="130">
        <f>Table16[[#This Row],[Total Spend (k)]]*1000</f>
        <v>3612</v>
      </c>
      <c r="D161" s="131">
        <f>Table16[[#This Row],[Total Spend ($)]]/$C$220</f>
        <v>8.3242562772199403E-6</v>
      </c>
    </row>
    <row r="162" spans="1:4" x14ac:dyDescent="0.35">
      <c r="A162" s="3" t="s">
        <v>244</v>
      </c>
      <c r="B162" s="130">
        <v>3.4245000000000001</v>
      </c>
      <c r="C162" s="130">
        <f>Table16[[#This Row],[Total Spend (k)]]*1000</f>
        <v>3424.5</v>
      </c>
      <c r="D162" s="131">
        <f>Table16[[#This Row],[Total Spend ($)]]/$C$220</f>
        <v>7.8921416448891721E-6</v>
      </c>
    </row>
    <row r="163" spans="1:4" x14ac:dyDescent="0.35">
      <c r="A163" s="3" t="s">
        <v>284</v>
      </c>
      <c r="B163" s="130">
        <v>7929.0151135600017</v>
      </c>
      <c r="C163" s="130">
        <f>Table16[[#This Row],[Total Spend (k)]]*1000</f>
        <v>7929015.1135600014</v>
      </c>
      <c r="D163" s="131">
        <f>Table16[[#This Row],[Total Spend ($)]]/$C$220</f>
        <v>1.8273298402885833E-2</v>
      </c>
    </row>
    <row r="164" spans="1:4" x14ac:dyDescent="0.35">
      <c r="A164" s="3" t="s">
        <v>286</v>
      </c>
      <c r="B164" s="130">
        <v>106.32599999999999</v>
      </c>
      <c r="C164" s="130">
        <f>Table16[[#This Row],[Total Spend (k)]]*1000</f>
        <v>106326</v>
      </c>
      <c r="D164" s="131">
        <f>Table16[[#This Row],[Total Spend ($)]]/$C$220</f>
        <v>2.4504010878507407E-4</v>
      </c>
    </row>
    <row r="165" spans="1:4" x14ac:dyDescent="0.35">
      <c r="A165" s="3" t="s">
        <v>286</v>
      </c>
      <c r="B165" s="130">
        <v>50.190492299999995</v>
      </c>
      <c r="C165" s="130">
        <f>Table16[[#This Row],[Total Spend (k)]]*1000</f>
        <v>50190.492299999998</v>
      </c>
      <c r="D165" s="131">
        <f>Table16[[#This Row],[Total Spend ($)]]/$C$220</f>
        <v>1.1566957934247899E-4</v>
      </c>
    </row>
    <row r="166" spans="1:4" x14ac:dyDescent="0.35">
      <c r="A166" s="3" t="s">
        <v>286</v>
      </c>
      <c r="B166" s="130">
        <v>291.36840000000001</v>
      </c>
      <c r="C166" s="130">
        <f>Table16[[#This Row],[Total Spend (k)]]*1000</f>
        <v>291368.40000000002</v>
      </c>
      <c r="D166" s="131">
        <f>Table16[[#This Row],[Total Spend ($)]]/$C$220</f>
        <v>6.7149092820695765E-4</v>
      </c>
    </row>
    <row r="167" spans="1:4" x14ac:dyDescent="0.35">
      <c r="A167" s="3" t="s">
        <v>286</v>
      </c>
      <c r="B167" s="130">
        <v>562.52478000000008</v>
      </c>
      <c r="C167" s="130">
        <f>Table16[[#This Row],[Total Spend (k)]]*1000</f>
        <v>562524.78</v>
      </c>
      <c r="D167" s="131">
        <f>Table16[[#This Row],[Total Spend ($)]]/$C$220</f>
        <v>1.2964010052621171E-3</v>
      </c>
    </row>
    <row r="168" spans="1:4" x14ac:dyDescent="0.35">
      <c r="A168" s="3" t="s">
        <v>290</v>
      </c>
      <c r="B168" s="130">
        <v>587.7885</v>
      </c>
      <c r="C168" s="130">
        <f>Table16[[#This Row],[Total Spend (k)]]*1000</f>
        <v>587788.5</v>
      </c>
      <c r="D168" s="131">
        <f>Table16[[#This Row],[Total Spend ($)]]/$C$220</f>
        <v>1.3546240616840236E-3</v>
      </c>
    </row>
    <row r="169" spans="1:4" x14ac:dyDescent="0.35">
      <c r="A169" s="3" t="s">
        <v>291</v>
      </c>
      <c r="B169" s="130">
        <v>4.2143999999999995</v>
      </c>
      <c r="C169" s="130">
        <f>Table16[[#This Row],[Total Spend (k)]]*1000</f>
        <v>4214.3999999999996</v>
      </c>
      <c r="D169" s="131">
        <f>Table16[[#This Row],[Total Spend ($)]]/$C$220</f>
        <v>9.7125541679722357E-6</v>
      </c>
    </row>
    <row r="170" spans="1:4" x14ac:dyDescent="0.35">
      <c r="A170" s="3" t="s">
        <v>291</v>
      </c>
      <c r="B170" s="130">
        <v>49.857557500000006</v>
      </c>
      <c r="C170" s="130">
        <f>Table16[[#This Row],[Total Spend (k)]]*1000</f>
        <v>49857.557500000003</v>
      </c>
      <c r="D170" s="131">
        <f>Table16[[#This Row],[Total Spend ($)]]/$C$220</f>
        <v>1.1490229401612104E-4</v>
      </c>
    </row>
    <row r="171" spans="1:4" x14ac:dyDescent="0.35">
      <c r="A171" s="3" t="s">
        <v>291</v>
      </c>
      <c r="B171" s="130">
        <v>4.8203900000000006</v>
      </c>
      <c r="C171" s="130">
        <f>Table16[[#This Row],[Total Spend (k)]]*1000</f>
        <v>4820.3900000000003</v>
      </c>
      <c r="D171" s="131">
        <f>Table16[[#This Row],[Total Spend ($)]]/$C$220</f>
        <v>1.110912561355156E-5</v>
      </c>
    </row>
    <row r="172" spans="1:4" x14ac:dyDescent="0.35">
      <c r="A172" s="3" t="s">
        <v>295</v>
      </c>
      <c r="B172" s="130">
        <v>190.8913</v>
      </c>
      <c r="C172" s="130">
        <f>Table16[[#This Row],[Total Spend (k)]]*1000</f>
        <v>190891.3</v>
      </c>
      <c r="D172" s="131">
        <f>Table16[[#This Row],[Total Spend ($)]]/$C$220</f>
        <v>4.3993026087809381E-4</v>
      </c>
    </row>
    <row r="173" spans="1:4" x14ac:dyDescent="0.35">
      <c r="A173" s="3" t="s">
        <v>295</v>
      </c>
      <c r="B173" s="130">
        <v>355.37781000000001</v>
      </c>
      <c r="C173" s="130">
        <f>Table16[[#This Row],[Total Spend (k)]]*1000</f>
        <v>355377.81</v>
      </c>
      <c r="D173" s="131">
        <f>Table16[[#This Row],[Total Spend ($)]]/$C$220</f>
        <v>8.1900774243554139E-4</v>
      </c>
    </row>
    <row r="174" spans="1:4" x14ac:dyDescent="0.35">
      <c r="A174" s="3" t="s">
        <v>296</v>
      </c>
      <c r="B174" s="130">
        <v>9488.8180900000007</v>
      </c>
      <c r="C174" s="130">
        <f>Table16[[#This Row],[Total Spend (k)]]*1000</f>
        <v>9488818.0899999999</v>
      </c>
      <c r="D174" s="131">
        <f>Table16[[#This Row],[Total Spend ($)]]/$C$220</f>
        <v>2.1868038081140816E-2</v>
      </c>
    </row>
    <row r="175" spans="1:4" x14ac:dyDescent="0.35">
      <c r="A175" s="3" t="s">
        <v>298</v>
      </c>
      <c r="B175" s="130">
        <v>2.6040000000000001</v>
      </c>
      <c r="C175" s="130">
        <f>Table16[[#This Row],[Total Spend (k)]]*1000</f>
        <v>2604</v>
      </c>
      <c r="D175" s="131">
        <f>Table16[[#This Row],[Total Spend ($)]]/$C$220</f>
        <v>6.0012080138097249E-6</v>
      </c>
    </row>
    <row r="176" spans="1:4" x14ac:dyDescent="0.35">
      <c r="A176" s="3" t="s">
        <v>300</v>
      </c>
      <c r="B176" s="130">
        <v>145.4</v>
      </c>
      <c r="C176" s="130">
        <f>Table16[[#This Row],[Total Spend (k)]]*1000</f>
        <v>145400</v>
      </c>
      <c r="D176" s="131">
        <f>Table16[[#This Row],[Total Spend ($)]]/$C$220</f>
        <v>3.3509049355143395E-4</v>
      </c>
    </row>
    <row r="177" spans="1:4" x14ac:dyDescent="0.35">
      <c r="A177" s="3" t="s">
        <v>300</v>
      </c>
      <c r="B177" s="130">
        <v>196.03759759999997</v>
      </c>
      <c r="C177" s="130">
        <f>Table16[[#This Row],[Total Spend (k)]]*1000</f>
        <v>196037.59759999998</v>
      </c>
      <c r="D177" s="131">
        <f>Table16[[#This Row],[Total Spend ($)]]/$C$220</f>
        <v>4.5179047685296698E-4</v>
      </c>
    </row>
    <row r="178" spans="1:4" x14ac:dyDescent="0.35">
      <c r="A178" s="3" t="s">
        <v>300</v>
      </c>
      <c r="B178" s="130">
        <v>0.3</v>
      </c>
      <c r="C178" s="130">
        <f>Table16[[#This Row],[Total Spend (k)]]*1000</f>
        <v>300</v>
      </c>
      <c r="D178" s="131">
        <f>Table16[[#This Row],[Total Spend ($)]]/$C$220</f>
        <v>6.9138341172923102E-7</v>
      </c>
    </row>
    <row r="179" spans="1:4" x14ac:dyDescent="0.35">
      <c r="A179" s="3" t="s">
        <v>303</v>
      </c>
      <c r="B179" s="130">
        <v>1600.5550000000001</v>
      </c>
      <c r="C179" s="130">
        <f>Table16[[#This Row],[Total Spend (k)]]*1000</f>
        <v>1600555</v>
      </c>
      <c r="D179" s="131">
        <f>Table16[[#This Row],[Total Spend ($)]]/$C$220</f>
        <v>3.6886572552009308E-3</v>
      </c>
    </row>
    <row r="180" spans="1:4" x14ac:dyDescent="0.35">
      <c r="A180" s="3" t="s">
        <v>304</v>
      </c>
      <c r="B180" s="130">
        <v>310.20063448999997</v>
      </c>
      <c r="C180" s="130">
        <f>Table16[[#This Row],[Total Spend (k)]]*1000</f>
        <v>310200.63448999997</v>
      </c>
      <c r="D180" s="131">
        <f>Table16[[#This Row],[Total Spend ($)]]/$C$220</f>
        <v>7.1489190998089451E-4</v>
      </c>
    </row>
    <row r="181" spans="1:4" x14ac:dyDescent="0.35">
      <c r="A181" s="3" t="s">
        <v>304</v>
      </c>
      <c r="B181" s="130">
        <v>47.102800000000002</v>
      </c>
      <c r="C181" s="130">
        <f>Table16[[#This Row],[Total Spend (k)]]*1000</f>
        <v>47102.8</v>
      </c>
      <c r="D181" s="131">
        <f>Table16[[#This Row],[Total Spend ($)]]/$C$220</f>
        <v>1.0855364855333208E-4</v>
      </c>
    </row>
    <row r="182" spans="1:4" x14ac:dyDescent="0.35">
      <c r="A182" s="3" t="s">
        <v>304</v>
      </c>
      <c r="B182" s="130">
        <v>13.510396800000001</v>
      </c>
      <c r="C182" s="130">
        <f>Table16[[#This Row],[Total Spend (k)]]*1000</f>
        <v>13510.3968</v>
      </c>
      <c r="D182" s="131">
        <f>Table16[[#This Row],[Total Spend ($)]]/$C$220</f>
        <v>3.1136214111332283E-5</v>
      </c>
    </row>
    <row r="183" spans="1:4" x14ac:dyDescent="0.35">
      <c r="A183" s="3" t="s">
        <v>307</v>
      </c>
      <c r="B183" s="130">
        <v>1143.261669</v>
      </c>
      <c r="C183" s="130">
        <f>Table16[[#This Row],[Total Spend (k)]]*1000</f>
        <v>1143261.669</v>
      </c>
      <c r="D183" s="131">
        <f>Table16[[#This Row],[Total Spend ($)]]/$C$220</f>
        <v>2.6347738440415827E-3</v>
      </c>
    </row>
    <row r="184" spans="1:4" x14ac:dyDescent="0.35">
      <c r="A184" s="3" t="s">
        <v>307</v>
      </c>
      <c r="B184" s="130">
        <v>159.898</v>
      </c>
      <c r="C184" s="130">
        <f>Table16[[#This Row],[Total Spend (k)]]*1000</f>
        <v>159898</v>
      </c>
      <c r="D184" s="131">
        <f>Table16[[#This Row],[Total Spend ($)]]/$C$220</f>
        <v>3.6850274922893523E-4</v>
      </c>
    </row>
    <row r="185" spans="1:4" x14ac:dyDescent="0.35">
      <c r="A185" s="3" t="s">
        <v>309</v>
      </c>
      <c r="B185" s="130">
        <v>1535.1672099999998</v>
      </c>
      <c r="C185" s="130">
        <f>Table16[[#This Row],[Total Spend (k)]]*1000</f>
        <v>1535167.2099999997</v>
      </c>
      <c r="D185" s="131">
        <f>Table16[[#This Row],[Total Spend ($)]]/$C$220</f>
        <v>3.5379638107488156E-3</v>
      </c>
    </row>
    <row r="186" spans="1:4" x14ac:dyDescent="0.35">
      <c r="A186" s="3" t="s">
        <v>309</v>
      </c>
      <c r="B186" s="130">
        <v>275.02213</v>
      </c>
      <c r="C186" s="130">
        <f>Table16[[#This Row],[Total Spend (k)]]*1000</f>
        <v>275022.13</v>
      </c>
      <c r="D186" s="131">
        <f>Table16[[#This Row],[Total Spend ($)]]/$C$220</f>
        <v>6.3381912846813368E-4</v>
      </c>
    </row>
    <row r="187" spans="1:4" x14ac:dyDescent="0.35">
      <c r="A187" s="3" t="s">
        <v>309</v>
      </c>
      <c r="B187" s="130">
        <v>7.6914999999999996</v>
      </c>
      <c r="C187" s="130">
        <f>Table16[[#This Row],[Total Spend (k)]]*1000</f>
        <v>7691.5</v>
      </c>
      <c r="D187" s="131">
        <f>Table16[[#This Row],[Total Spend ($)]]/$C$220</f>
        <v>1.7725918371051268E-5</v>
      </c>
    </row>
    <row r="188" spans="1:4" x14ac:dyDescent="0.35">
      <c r="A188" s="3" t="s">
        <v>309</v>
      </c>
      <c r="B188" s="130">
        <v>237.88437999999999</v>
      </c>
      <c r="C188" s="130">
        <f>Table16[[#This Row],[Total Spend (k)]]*1000</f>
        <v>237884.38</v>
      </c>
      <c r="D188" s="131">
        <f>Table16[[#This Row],[Total Spend ($)]]/$C$220</f>
        <v>5.4823104747164287E-4</v>
      </c>
    </row>
    <row r="189" spans="1:4" x14ac:dyDescent="0.35">
      <c r="A189" s="3" t="s">
        <v>309</v>
      </c>
      <c r="B189" s="130">
        <v>4.383799999999999</v>
      </c>
      <c r="C189" s="130">
        <f>Table16[[#This Row],[Total Spend (k)]]*1000</f>
        <v>4383.7999999999993</v>
      </c>
      <c r="D189" s="131">
        <f>Table16[[#This Row],[Total Spend ($)]]/$C$220</f>
        <v>1.0102955334462008E-5</v>
      </c>
    </row>
    <row r="190" spans="1:4" x14ac:dyDescent="0.35">
      <c r="A190" s="145" t="s">
        <v>314</v>
      </c>
      <c r="B190" s="146">
        <v>4652.6424697999992</v>
      </c>
      <c r="C190" s="146">
        <f>Table16[[#This Row],[Total Spend (k)]]*1000</f>
        <v>4652642.4697999991</v>
      </c>
      <c r="D190" s="147">
        <f>Table16[[#This Row],[Total Spend ($)]]/$C$220</f>
        <v>1.0722532747755463E-2</v>
      </c>
    </row>
    <row r="191" spans="1:4" x14ac:dyDescent="0.35">
      <c r="A191" s="145" t="s">
        <v>314</v>
      </c>
      <c r="B191" s="146">
        <v>1921.3610000000001</v>
      </c>
      <c r="C191" s="146">
        <f>Table16[[#This Row],[Total Spend (k)]]*1000</f>
        <v>1921361</v>
      </c>
      <c r="D191" s="147">
        <f>Table16[[#This Row],[Total Spend ($)]]/$C$220</f>
        <v>4.4279904111449563E-3</v>
      </c>
    </row>
    <row r="192" spans="1:4" x14ac:dyDescent="0.35">
      <c r="A192" s="145" t="s">
        <v>314</v>
      </c>
      <c r="B192" s="146">
        <v>5225.5941800000001</v>
      </c>
      <c r="C192" s="146">
        <f>Table16[[#This Row],[Total Spend (k)]]*1000</f>
        <v>5225594.18</v>
      </c>
      <c r="D192" s="147">
        <f>Table16[[#This Row],[Total Spend ($)]]/$C$220</f>
        <v>1.2042963774936043E-2</v>
      </c>
    </row>
    <row r="193" spans="1:4" x14ac:dyDescent="0.35">
      <c r="A193" s="145" t="s">
        <v>314</v>
      </c>
      <c r="B193" s="146">
        <v>1007.915056826</v>
      </c>
      <c r="C193" s="146">
        <f>Table16[[#This Row],[Total Spend (k)]]*1000</f>
        <v>1007915.056826</v>
      </c>
      <c r="D193" s="147">
        <f>Table16[[#This Row],[Total Spend ($)]]/$C$220</f>
        <v>2.3228525024054053E-3</v>
      </c>
    </row>
    <row r="194" spans="1:4" x14ac:dyDescent="0.35">
      <c r="A194" s="145" t="s">
        <v>314</v>
      </c>
      <c r="B194" s="146">
        <v>6490.6097103999991</v>
      </c>
      <c r="C194" s="146">
        <f>Table16[[#This Row],[Total Spend (k)]]*1000</f>
        <v>6490609.7103999993</v>
      </c>
      <c r="D194" s="147">
        <f>Table16[[#This Row],[Total Spend ($)]]/$C$220</f>
        <v>1.4958332952597424E-2</v>
      </c>
    </row>
    <row r="195" spans="1:4" x14ac:dyDescent="0.35">
      <c r="A195" s="3" t="s">
        <v>319</v>
      </c>
      <c r="B195" s="130">
        <v>58.223880000000001</v>
      </c>
      <c r="C195" s="130">
        <f>Table16[[#This Row],[Total Spend (k)]]*1000</f>
        <v>58223.880000000005</v>
      </c>
      <c r="D195" s="131">
        <f>Table16[[#This Row],[Total Spend ($)]]/$C$220</f>
        <v>1.3418341599504447E-4</v>
      </c>
    </row>
    <row r="196" spans="1:4" x14ac:dyDescent="0.35">
      <c r="A196" s="3" t="s">
        <v>319</v>
      </c>
      <c r="B196" s="130">
        <v>23.847222228</v>
      </c>
      <c r="C196" s="130">
        <f>Table16[[#This Row],[Total Spend (k)]]*1000</f>
        <v>23847.222227999999</v>
      </c>
      <c r="D196" s="131">
        <f>Table16[[#This Row],[Total Spend ($)]]/$C$220</f>
        <v>5.4958579547532643E-5</v>
      </c>
    </row>
    <row r="197" spans="1:4" x14ac:dyDescent="0.35">
      <c r="A197" s="3" t="s">
        <v>319</v>
      </c>
      <c r="B197" s="130">
        <v>307.12306000000001</v>
      </c>
      <c r="C197" s="130">
        <f>Table16[[#This Row],[Total Spend (k)]]*1000</f>
        <v>307123.06</v>
      </c>
      <c r="D197" s="131">
        <f>Table16[[#This Row],[Total Spend ($)]]/$C$220</f>
        <v>7.0779929681173768E-4</v>
      </c>
    </row>
    <row r="198" spans="1:4" x14ac:dyDescent="0.35">
      <c r="A198" s="3" t="s">
        <v>319</v>
      </c>
      <c r="B198" s="130">
        <v>59.773949999999999</v>
      </c>
      <c r="C198" s="130">
        <f>Table16[[#This Row],[Total Spend (k)]]*1000</f>
        <v>59773.95</v>
      </c>
      <c r="D198" s="131">
        <f>Table16[[#This Row],[Total Spend ($)]]/$C$220</f>
        <v>1.3775572494510821E-4</v>
      </c>
    </row>
    <row r="199" spans="1:4" x14ac:dyDescent="0.35">
      <c r="A199" s="3" t="s">
        <v>319</v>
      </c>
      <c r="B199" s="130">
        <v>203.572</v>
      </c>
      <c r="C199" s="130">
        <f>Table16[[#This Row],[Total Spend (k)]]*1000</f>
        <v>203572</v>
      </c>
      <c r="D199" s="131">
        <f>Table16[[#This Row],[Total Spend ($)]]/$C$220</f>
        <v>4.6915434630847669E-4</v>
      </c>
    </row>
    <row r="200" spans="1:4" x14ac:dyDescent="0.35">
      <c r="A200" s="3" t="s">
        <v>319</v>
      </c>
      <c r="B200" s="130">
        <v>1470.5421000000006</v>
      </c>
      <c r="C200" s="130">
        <f>Table16[[#This Row],[Total Spend (k)]]*1000</f>
        <v>1470542.1000000006</v>
      </c>
      <c r="D200" s="131">
        <f>Table16[[#This Row],[Total Spend ($)]]/$C$220</f>
        <v>3.3890280472982279E-3</v>
      </c>
    </row>
    <row r="201" spans="1:4" x14ac:dyDescent="0.35">
      <c r="A201" s="3" t="s">
        <v>319</v>
      </c>
      <c r="B201" s="130">
        <v>190.30106000000001</v>
      </c>
      <c r="C201" s="130">
        <f>Table16[[#This Row],[Total Spend (k)]]*1000</f>
        <v>190301.06</v>
      </c>
      <c r="D201" s="131">
        <f>Table16[[#This Row],[Total Spend ($)]]/$C$220</f>
        <v>4.3856998706163027E-4</v>
      </c>
    </row>
    <row r="202" spans="1:4" x14ac:dyDescent="0.35">
      <c r="A202" s="3" t="s">
        <v>319</v>
      </c>
      <c r="B202" s="130">
        <v>51.403559999999999</v>
      </c>
      <c r="C202" s="130">
        <f>Table16[[#This Row],[Total Spend (k)]]*1000</f>
        <v>51403.56</v>
      </c>
      <c r="D202" s="131">
        <f>Table16[[#This Row],[Total Spend ($)]]/$C$220</f>
        <v>1.1846522895942742E-4</v>
      </c>
    </row>
    <row r="203" spans="1:4" x14ac:dyDescent="0.35">
      <c r="A203" s="3" t="s">
        <v>326</v>
      </c>
      <c r="B203" s="130">
        <v>774.87443529000006</v>
      </c>
      <c r="C203" s="130">
        <f>Table16[[#This Row],[Total Spend (k)]]*1000</f>
        <v>774874.43529000005</v>
      </c>
      <c r="D203" s="131">
        <f>Table16[[#This Row],[Total Spend ($)]]/$C$220</f>
        <v>1.7857844357752049E-3</v>
      </c>
    </row>
    <row r="204" spans="1:4" x14ac:dyDescent="0.35">
      <c r="A204" s="3" t="s">
        <v>327</v>
      </c>
      <c r="B204" s="130">
        <v>188.17205999999996</v>
      </c>
      <c r="C204" s="130">
        <f>Table16[[#This Row],[Total Spend (k)]]*1000</f>
        <v>188172.05999999997</v>
      </c>
      <c r="D204" s="131">
        <f>Table16[[#This Row],[Total Spend ($)]]/$C$220</f>
        <v>4.3366346944972512E-4</v>
      </c>
    </row>
    <row r="205" spans="1:4" x14ac:dyDescent="0.35">
      <c r="A205" s="3" t="s">
        <v>328</v>
      </c>
      <c r="B205" s="130">
        <v>477.375</v>
      </c>
      <c r="C205" s="130">
        <f>Table16[[#This Row],[Total Spend (k)]]*1000</f>
        <v>477375</v>
      </c>
      <c r="D205" s="131">
        <f>Table16[[#This Row],[Total Spend ($)]]/$C$220</f>
        <v>1.1001638539141388E-3</v>
      </c>
    </row>
    <row r="206" spans="1:4" x14ac:dyDescent="0.35">
      <c r="A206" s="3" t="s">
        <v>329</v>
      </c>
      <c r="B206" s="130">
        <v>1695.0685450609999</v>
      </c>
      <c r="C206" s="130">
        <f>Table16[[#This Row],[Total Spend (k)]]*1000</f>
        <v>1695068.5450609999</v>
      </c>
      <c r="D206" s="131">
        <f>Table16[[#This Row],[Total Spend ($)]]/$C$220</f>
        <v>3.9064742459972591E-3</v>
      </c>
    </row>
    <row r="207" spans="1:4" x14ac:dyDescent="0.35">
      <c r="A207" s="3" t="s">
        <v>329</v>
      </c>
      <c r="B207" s="130">
        <v>80.352899999999991</v>
      </c>
      <c r="C207" s="130">
        <f>Table16[[#This Row],[Total Spend (k)]]*1000</f>
        <v>80352.899999999994</v>
      </c>
      <c r="D207" s="131">
        <f>Table16[[#This Row],[Total Spend ($)]]/$C$220</f>
        <v>1.851822071477924E-4</v>
      </c>
    </row>
    <row r="208" spans="1:4" x14ac:dyDescent="0.35">
      <c r="A208" s="3" t="s">
        <v>329</v>
      </c>
      <c r="B208" s="130">
        <v>3695.5160896200005</v>
      </c>
      <c r="C208" s="130">
        <f>Table16[[#This Row],[Total Spend (k)]]*1000</f>
        <v>3695516.0896200007</v>
      </c>
      <c r="D208" s="131">
        <f>Table16[[#This Row],[Total Spend ($)]]/$C$220</f>
        <v>8.5167284071391413E-3</v>
      </c>
    </row>
    <row r="209" spans="1:4" x14ac:dyDescent="0.35">
      <c r="A209" s="3" t="s">
        <v>329</v>
      </c>
      <c r="B209" s="130">
        <v>549.47729000000004</v>
      </c>
      <c r="C209" s="130">
        <f>Table16[[#This Row],[Total Spend (k)]]*1000</f>
        <v>549477.29</v>
      </c>
      <c r="D209" s="131">
        <f>Table16[[#This Row],[Total Spend ($)]]/$C$220</f>
        <v>1.2663316114264402E-3</v>
      </c>
    </row>
    <row r="210" spans="1:4" x14ac:dyDescent="0.35">
      <c r="A210" s="3" t="s">
        <v>329</v>
      </c>
      <c r="B210" s="130">
        <v>6.266</v>
      </c>
      <c r="C210" s="130">
        <f>Table16[[#This Row],[Total Spend (k)]]*1000</f>
        <v>6266</v>
      </c>
      <c r="D210" s="131">
        <f>Table16[[#This Row],[Total Spend ($)]]/$C$220</f>
        <v>1.4440694859651205E-5</v>
      </c>
    </row>
    <row r="211" spans="1:4" x14ac:dyDescent="0.35">
      <c r="A211" s="3" t="s">
        <v>329</v>
      </c>
      <c r="B211" s="130">
        <v>363.25653999999997</v>
      </c>
      <c r="C211" s="130">
        <f>Table16[[#This Row],[Total Spend (k)]]*1000</f>
        <v>363256.54</v>
      </c>
      <c r="D211" s="131">
        <f>Table16[[#This Row],[Total Spend ($)]]/$C$220</f>
        <v>8.3716515319385285E-4</v>
      </c>
    </row>
    <row r="212" spans="1:4" x14ac:dyDescent="0.35">
      <c r="A212" s="3" t="s">
        <v>334</v>
      </c>
      <c r="B212" s="130">
        <v>5490.8609888499986</v>
      </c>
      <c r="C212" s="130">
        <f>Table16[[#This Row],[Total Spend (k)]]*1000</f>
        <v>5490860.9888499985</v>
      </c>
      <c r="D212" s="131">
        <f>Table16[[#This Row],[Total Spend ($)]]/$C$220</f>
        <v>1.2654300679340169E-2</v>
      </c>
    </row>
    <row r="213" spans="1:4" x14ac:dyDescent="0.35">
      <c r="A213" s="3" t="s">
        <v>334</v>
      </c>
      <c r="B213" s="130">
        <v>1605.0830555679997</v>
      </c>
      <c r="C213" s="130">
        <f>Table16[[#This Row],[Total Spend (k)]]*1000</f>
        <v>1605083.0555679998</v>
      </c>
      <c r="D213" s="131">
        <f>Table16[[#This Row],[Total Spend ($)]]/$C$220</f>
        <v>3.6990926635579418E-3</v>
      </c>
    </row>
    <row r="214" spans="1:4" x14ac:dyDescent="0.35">
      <c r="A214" s="3" t="s">
        <v>336</v>
      </c>
      <c r="B214" s="130">
        <v>166.09499999999997</v>
      </c>
      <c r="C214" s="130">
        <f>Table16[[#This Row],[Total Spend (k)]]*1000</f>
        <v>166094.99999999997</v>
      </c>
      <c r="D214" s="131">
        <f>Table16[[#This Row],[Total Spend ($)]]/$C$220</f>
        <v>3.8278442590388865E-4</v>
      </c>
    </row>
    <row r="215" spans="1:4" x14ac:dyDescent="0.35">
      <c r="A215" s="3" t="s">
        <v>336</v>
      </c>
      <c r="B215" s="130">
        <v>16.968839999999997</v>
      </c>
      <c r="C215" s="130">
        <f>Table16[[#This Row],[Total Spend (k)]]*1000</f>
        <v>16968.839999999997</v>
      </c>
      <c r="D215" s="131">
        <f>Table16[[#This Row],[Total Spend ($)]]/$C$220</f>
        <v>3.9106581640958136E-5</v>
      </c>
    </row>
    <row r="216" spans="1:4" x14ac:dyDescent="0.35">
      <c r="A216" s="142" t="s">
        <v>338</v>
      </c>
      <c r="B216" s="143">
        <v>47016.065109500043</v>
      </c>
      <c r="C216" s="143">
        <f>Table16[[#This Row],[Total Spend (k)]]*1000</f>
        <v>47016065.109500043</v>
      </c>
      <c r="D216" s="144">
        <f>Table16[[#This Row],[Total Spend ($)]]/$C$220</f>
        <v>0.10835375833829933</v>
      </c>
    </row>
    <row r="217" spans="1:4" x14ac:dyDescent="0.35">
      <c r="A217" s="142" t="s">
        <v>338</v>
      </c>
      <c r="B217" s="143">
        <v>88545.131729100016</v>
      </c>
      <c r="C217" s="143">
        <f>Table16[[#This Row],[Total Spend (k)]]*1000</f>
        <v>88545131.729100019</v>
      </c>
      <c r="D217" s="144">
        <f>Table16[[#This Row],[Total Spend ($)]]/$C$220</f>
        <v>0.20406211755626452</v>
      </c>
    </row>
    <row r="218" spans="1:4" x14ac:dyDescent="0.35">
      <c r="A218" s="142" t="s">
        <v>338</v>
      </c>
      <c r="B218" s="143">
        <v>25225.874367899993</v>
      </c>
      <c r="C218" s="143">
        <f>Table16[[#This Row],[Total Spend (k)]]*1000</f>
        <v>25225874.367899992</v>
      </c>
      <c r="D218" s="144">
        <f>Table16[[#This Row],[Total Spend ($)]]/$C$220</f>
        <v>5.8135836947772183E-2</v>
      </c>
    </row>
    <row r="219" spans="1:4" x14ac:dyDescent="0.35">
      <c r="A219" s="142" t="s">
        <v>338</v>
      </c>
      <c r="B219" s="143">
        <v>4692.0168000000012</v>
      </c>
      <c r="C219" s="143">
        <f>Table16[[#This Row],[Total Spend (k)]]*1000</f>
        <v>4692016.8000000017</v>
      </c>
      <c r="D219" s="144">
        <f>Table16[[#This Row],[Total Spend ($)]]/$C$220</f>
        <v>1.0813275276916234E-2</v>
      </c>
    </row>
    <row r="220" spans="1:4" x14ac:dyDescent="0.35">
      <c r="B220" s="129">
        <v>433912.63792352902</v>
      </c>
      <c r="C220" s="129">
        <f>Table16[[#This Row],[Total Spend (k)]]*1000</f>
        <v>433912637.92352903</v>
      </c>
      <c r="D220" s="132">
        <f>Table16[[#This Row],[Total Spend ($)]]/$C$220</f>
        <v>1</v>
      </c>
    </row>
    <row r="227" spans="1:3" x14ac:dyDescent="0.35">
      <c r="A227" s="82" t="s">
        <v>343</v>
      </c>
      <c r="B227" t="s">
        <v>394</v>
      </c>
      <c r="C227" t="s">
        <v>395</v>
      </c>
    </row>
    <row r="228" spans="1:3" x14ac:dyDescent="0.35">
      <c r="A228" s="123" t="s">
        <v>280</v>
      </c>
      <c r="B228" s="136">
        <v>6045062.5099999998</v>
      </c>
      <c r="C228" s="137">
        <v>1.3931519807600896E-2</v>
      </c>
    </row>
    <row r="229" spans="1:3" x14ac:dyDescent="0.35">
      <c r="A229" s="127" t="s">
        <v>314</v>
      </c>
      <c r="B229" s="138">
        <v>19298122.417025998</v>
      </c>
      <c r="C229" s="139">
        <v>4.4474672388839287E-2</v>
      </c>
    </row>
    <row r="230" spans="1:3" x14ac:dyDescent="0.35">
      <c r="A230" s="125" t="s">
        <v>338</v>
      </c>
      <c r="B230" s="140">
        <v>165479088.00650007</v>
      </c>
      <c r="C230" s="141">
        <v>0.38136498811925224</v>
      </c>
    </row>
    <row r="231" spans="1:3" x14ac:dyDescent="0.35">
      <c r="A231" s="83" t="s">
        <v>345</v>
      </c>
      <c r="B231" s="60">
        <v>190822272.93352607</v>
      </c>
      <c r="C231" s="135">
        <v>0.4397711803156924</v>
      </c>
    </row>
    <row r="232" spans="1:3" x14ac:dyDescent="0.35">
      <c r="A232"/>
      <c r="B232"/>
      <c r="C232"/>
    </row>
    <row r="233" spans="1:3" x14ac:dyDescent="0.35">
      <c r="A233"/>
      <c r="B233"/>
      <c r="C233"/>
    </row>
    <row r="234" spans="1:3" x14ac:dyDescent="0.35">
      <c r="A234"/>
      <c r="B234"/>
      <c r="C234"/>
    </row>
    <row r="235" spans="1:3" x14ac:dyDescent="0.35">
      <c r="A235"/>
      <c r="B235"/>
      <c r="C235"/>
    </row>
    <row r="236" spans="1:3" x14ac:dyDescent="0.35">
      <c r="A236"/>
      <c r="B236"/>
      <c r="C236"/>
    </row>
    <row r="237" spans="1:3" x14ac:dyDescent="0.35">
      <c r="A237"/>
      <c r="B237"/>
      <c r="C237"/>
    </row>
    <row r="238" spans="1:3" x14ac:dyDescent="0.35">
      <c r="A238"/>
      <c r="B238"/>
      <c r="C238"/>
    </row>
    <row r="239" spans="1:3" x14ac:dyDescent="0.35">
      <c r="A239"/>
      <c r="B239"/>
      <c r="C239"/>
    </row>
    <row r="240" spans="1:3" x14ac:dyDescent="0.35">
      <c r="A240"/>
      <c r="B240"/>
      <c r="C240"/>
    </row>
    <row r="241" spans="1:3" x14ac:dyDescent="0.35">
      <c r="A241"/>
      <c r="B241"/>
      <c r="C241"/>
    </row>
    <row r="242" spans="1:3" x14ac:dyDescent="0.35">
      <c r="A242"/>
      <c r="B242"/>
      <c r="C242"/>
    </row>
    <row r="243" spans="1:3" x14ac:dyDescent="0.35">
      <c r="A243"/>
      <c r="B243"/>
      <c r="C243"/>
    </row>
    <row r="244" spans="1:3" x14ac:dyDescent="0.35">
      <c r="A244"/>
      <c r="B244"/>
      <c r="C244"/>
    </row>
    <row r="245" spans="1:3" x14ac:dyDescent="0.35">
      <c r="A245"/>
      <c r="B245"/>
      <c r="C245"/>
    </row>
    <row r="246" spans="1:3" x14ac:dyDescent="0.35">
      <c r="A246"/>
      <c r="B246"/>
      <c r="C246"/>
    </row>
    <row r="247" spans="1:3" x14ac:dyDescent="0.35">
      <c r="A247"/>
      <c r="B247"/>
      <c r="C247"/>
    </row>
    <row r="248" spans="1:3" x14ac:dyDescent="0.35">
      <c r="A248"/>
      <c r="B248"/>
      <c r="C248"/>
    </row>
    <row r="249" spans="1:3" x14ac:dyDescent="0.35">
      <c r="A249"/>
      <c r="B249"/>
      <c r="C249"/>
    </row>
    <row r="250" spans="1:3" x14ac:dyDescent="0.35">
      <c r="A250"/>
      <c r="B250"/>
      <c r="C250"/>
    </row>
    <row r="251" spans="1:3" x14ac:dyDescent="0.35">
      <c r="A251"/>
      <c r="B251"/>
      <c r="C251"/>
    </row>
    <row r="252" spans="1:3" x14ac:dyDescent="0.35">
      <c r="A252"/>
      <c r="B252"/>
      <c r="C252"/>
    </row>
    <row r="253" spans="1:3" x14ac:dyDescent="0.35">
      <c r="A253"/>
      <c r="B253"/>
      <c r="C253"/>
    </row>
    <row r="254" spans="1:3" x14ac:dyDescent="0.35">
      <c r="A254"/>
      <c r="B254"/>
      <c r="C254"/>
    </row>
    <row r="255" spans="1:3" x14ac:dyDescent="0.35">
      <c r="A255"/>
      <c r="B255"/>
      <c r="C255"/>
    </row>
    <row r="256" spans="1:3" x14ac:dyDescent="0.35">
      <c r="A256"/>
      <c r="B256"/>
      <c r="C256"/>
    </row>
    <row r="257" spans="1:3" x14ac:dyDescent="0.35">
      <c r="A257"/>
      <c r="B257"/>
      <c r="C257"/>
    </row>
    <row r="258" spans="1:3" x14ac:dyDescent="0.35">
      <c r="A258"/>
      <c r="B258"/>
      <c r="C258"/>
    </row>
    <row r="259" spans="1:3" x14ac:dyDescent="0.35">
      <c r="A259"/>
      <c r="B259"/>
      <c r="C259"/>
    </row>
    <row r="260" spans="1:3" x14ac:dyDescent="0.35">
      <c r="A260"/>
      <c r="B260"/>
      <c r="C260"/>
    </row>
    <row r="261" spans="1:3" x14ac:dyDescent="0.35">
      <c r="A261"/>
      <c r="B261"/>
      <c r="C261"/>
    </row>
    <row r="262" spans="1:3" x14ac:dyDescent="0.35">
      <c r="A262"/>
      <c r="B262"/>
      <c r="C262"/>
    </row>
    <row r="263" spans="1:3" x14ac:dyDescent="0.35">
      <c r="A263"/>
      <c r="B263"/>
      <c r="C263"/>
    </row>
    <row r="264" spans="1:3" x14ac:dyDescent="0.35">
      <c r="A264"/>
      <c r="B264"/>
      <c r="C264"/>
    </row>
    <row r="265" spans="1:3" x14ac:dyDescent="0.35">
      <c r="A265"/>
      <c r="B265"/>
      <c r="C265"/>
    </row>
    <row r="266" spans="1:3" x14ac:dyDescent="0.35">
      <c r="A266"/>
      <c r="B266"/>
      <c r="C266"/>
    </row>
    <row r="267" spans="1:3" x14ac:dyDescent="0.35">
      <c r="A267"/>
      <c r="B267"/>
      <c r="C267"/>
    </row>
    <row r="268" spans="1:3" x14ac:dyDescent="0.35">
      <c r="A268"/>
      <c r="B268"/>
      <c r="C268"/>
    </row>
    <row r="269" spans="1:3" x14ac:dyDescent="0.35">
      <c r="A269"/>
      <c r="B269"/>
      <c r="C269"/>
    </row>
    <row r="270" spans="1:3" x14ac:dyDescent="0.35">
      <c r="A270"/>
      <c r="B270"/>
      <c r="C270"/>
    </row>
    <row r="271" spans="1:3" x14ac:dyDescent="0.35">
      <c r="A271"/>
      <c r="B271"/>
      <c r="C271"/>
    </row>
    <row r="272" spans="1:3" x14ac:dyDescent="0.35">
      <c r="A272"/>
      <c r="B272"/>
      <c r="C272"/>
    </row>
    <row r="273" spans="1:3" x14ac:dyDescent="0.35">
      <c r="A273"/>
      <c r="B273"/>
      <c r="C273"/>
    </row>
    <row r="274" spans="1:3" x14ac:dyDescent="0.35">
      <c r="A274"/>
      <c r="B274"/>
      <c r="C274"/>
    </row>
    <row r="275" spans="1:3" x14ac:dyDescent="0.35">
      <c r="A275"/>
      <c r="B275"/>
      <c r="C275"/>
    </row>
    <row r="276" spans="1:3" x14ac:dyDescent="0.35">
      <c r="A276"/>
      <c r="B276"/>
      <c r="C276"/>
    </row>
    <row r="277" spans="1:3" x14ac:dyDescent="0.35">
      <c r="A277"/>
      <c r="B277"/>
      <c r="C277"/>
    </row>
    <row r="278" spans="1:3" x14ac:dyDescent="0.35">
      <c r="A278"/>
      <c r="B278"/>
      <c r="C278"/>
    </row>
    <row r="279" spans="1:3" x14ac:dyDescent="0.35">
      <c r="A279"/>
      <c r="B279"/>
      <c r="C279"/>
    </row>
    <row r="280" spans="1:3" x14ac:dyDescent="0.35">
      <c r="A280"/>
      <c r="B280"/>
      <c r="C280"/>
    </row>
    <row r="281" spans="1:3" x14ac:dyDescent="0.35">
      <c r="A281"/>
      <c r="B281"/>
      <c r="C281"/>
    </row>
    <row r="282" spans="1:3" x14ac:dyDescent="0.35">
      <c r="A282"/>
      <c r="B282"/>
      <c r="C282"/>
    </row>
    <row r="283" spans="1:3" x14ac:dyDescent="0.35">
      <c r="A283"/>
      <c r="B283"/>
      <c r="C283"/>
    </row>
    <row r="284" spans="1:3" x14ac:dyDescent="0.35">
      <c r="A284"/>
      <c r="B284"/>
      <c r="C284"/>
    </row>
    <row r="285" spans="1:3" x14ac:dyDescent="0.35">
      <c r="A285"/>
      <c r="B285"/>
      <c r="C285"/>
    </row>
    <row r="286" spans="1:3" x14ac:dyDescent="0.35">
      <c r="A286"/>
      <c r="B286"/>
      <c r="C286"/>
    </row>
    <row r="287" spans="1:3" x14ac:dyDescent="0.35">
      <c r="A287"/>
      <c r="B287"/>
      <c r="C287"/>
    </row>
    <row r="288" spans="1:3" x14ac:dyDescent="0.35">
      <c r="A288"/>
      <c r="B288"/>
      <c r="C288"/>
    </row>
    <row r="289" spans="1:3" x14ac:dyDescent="0.35">
      <c r="A289"/>
      <c r="B289"/>
      <c r="C289"/>
    </row>
    <row r="290" spans="1:3" x14ac:dyDescent="0.35">
      <c r="A290"/>
      <c r="B290"/>
      <c r="C290"/>
    </row>
    <row r="291" spans="1:3" x14ac:dyDescent="0.35">
      <c r="A291"/>
      <c r="B291"/>
      <c r="C291"/>
    </row>
    <row r="292" spans="1:3" x14ac:dyDescent="0.35">
      <c r="A292"/>
      <c r="B292"/>
      <c r="C292"/>
    </row>
    <row r="293" spans="1:3" x14ac:dyDescent="0.35">
      <c r="A293"/>
      <c r="B293"/>
      <c r="C293"/>
    </row>
    <row r="294" spans="1:3" x14ac:dyDescent="0.35">
      <c r="A294"/>
      <c r="B294"/>
      <c r="C294"/>
    </row>
    <row r="295" spans="1:3" x14ac:dyDescent="0.35">
      <c r="A295"/>
      <c r="B295"/>
      <c r="C295"/>
    </row>
    <row r="296" spans="1:3" x14ac:dyDescent="0.35">
      <c r="A296"/>
      <c r="B296"/>
      <c r="C296"/>
    </row>
    <row r="297" spans="1:3" x14ac:dyDescent="0.35">
      <c r="A297"/>
      <c r="B297"/>
      <c r="C297"/>
    </row>
    <row r="298" spans="1:3" x14ac:dyDescent="0.35">
      <c r="A298"/>
      <c r="B298"/>
      <c r="C298"/>
    </row>
    <row r="299" spans="1:3" x14ac:dyDescent="0.35">
      <c r="A299"/>
      <c r="B299"/>
      <c r="C299"/>
    </row>
    <row r="300" spans="1:3" x14ac:dyDescent="0.35">
      <c r="A300"/>
      <c r="B300"/>
      <c r="C300"/>
    </row>
    <row r="301" spans="1:3" x14ac:dyDescent="0.35">
      <c r="A301"/>
      <c r="B301"/>
      <c r="C301"/>
    </row>
    <row r="302" spans="1:3" x14ac:dyDescent="0.35">
      <c r="A302"/>
      <c r="B302"/>
      <c r="C302"/>
    </row>
    <row r="303" spans="1:3" x14ac:dyDescent="0.35">
      <c r="A303"/>
      <c r="B303"/>
      <c r="C303"/>
    </row>
    <row r="304" spans="1:3" x14ac:dyDescent="0.35">
      <c r="A304"/>
      <c r="B304"/>
      <c r="C304"/>
    </row>
    <row r="305" spans="1:3" x14ac:dyDescent="0.35">
      <c r="A305"/>
      <c r="B305"/>
      <c r="C305"/>
    </row>
    <row r="306" spans="1:3" x14ac:dyDescent="0.35">
      <c r="A306"/>
      <c r="B306"/>
      <c r="C306"/>
    </row>
    <row r="307" spans="1:3" x14ac:dyDescent="0.35">
      <c r="A307"/>
      <c r="B307"/>
      <c r="C307"/>
    </row>
    <row r="308" spans="1:3" x14ac:dyDescent="0.35">
      <c r="A308"/>
      <c r="B308"/>
      <c r="C308"/>
    </row>
    <row r="309" spans="1:3" x14ac:dyDescent="0.35">
      <c r="A309"/>
      <c r="B309"/>
      <c r="C309"/>
    </row>
    <row r="310" spans="1:3" x14ac:dyDescent="0.35">
      <c r="A310"/>
      <c r="B310"/>
      <c r="C310"/>
    </row>
    <row r="311" spans="1:3" x14ac:dyDescent="0.35">
      <c r="A311"/>
      <c r="B311"/>
      <c r="C311"/>
    </row>
    <row r="312" spans="1:3" x14ac:dyDescent="0.35">
      <c r="A312"/>
      <c r="B312"/>
      <c r="C312"/>
    </row>
  </sheetData>
  <hyperlinks>
    <hyperlink ref="F2" r:id="rId2" xr:uid="{31A091A5-FBD0-4A4F-8F7B-D819759BCB78}"/>
  </hyperlinks>
  <pageMargins left="0.7" right="0.7" top="0.75" bottom="0.75" header="0.3" footer="0.3"/>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1A9A8-4292-4F02-96EB-7F4F78F19DE7}">
  <sheetPr>
    <tabColor rgb="FF92D050"/>
  </sheetPr>
  <dimension ref="A1:Y67"/>
  <sheetViews>
    <sheetView tabSelected="1" zoomScale="90" zoomScaleNormal="90" workbookViewId="0">
      <selection activeCell="F17" sqref="F17"/>
    </sheetView>
  </sheetViews>
  <sheetFormatPr defaultRowHeight="14.5" x14ac:dyDescent="0.35"/>
  <cols>
    <col min="1" max="1" width="49.81640625" customWidth="1"/>
    <col min="2" max="2" width="10.54296875" bestFit="1" customWidth="1"/>
    <col min="3" max="3" width="24.81640625" customWidth="1"/>
    <col min="4" max="4" width="7.453125" bestFit="1" customWidth="1"/>
    <col min="5" max="5" width="11.26953125" customWidth="1"/>
    <col min="6" max="8" width="14.81640625" customWidth="1"/>
    <col min="9" max="9" width="14.1796875" customWidth="1"/>
    <col min="10" max="10" width="19.81640625" customWidth="1"/>
    <col min="11" max="11" width="15.54296875" customWidth="1"/>
    <col min="12" max="12" width="20.81640625" customWidth="1"/>
    <col min="13" max="13" width="24.7265625" customWidth="1"/>
    <col min="14" max="14" width="17.453125" hidden="1" customWidth="1"/>
    <col min="16" max="16" width="13.54296875" bestFit="1" customWidth="1"/>
    <col min="17" max="17" width="10.81640625" bestFit="1" customWidth="1"/>
    <col min="18" max="18" width="14.26953125" bestFit="1" customWidth="1"/>
    <col min="20" max="20" width="11" customWidth="1"/>
  </cols>
  <sheetData>
    <row r="1" spans="1:25" x14ac:dyDescent="0.35">
      <c r="A1" s="53" t="s">
        <v>346</v>
      </c>
      <c r="B1" s="53" t="s">
        <v>347</v>
      </c>
      <c r="C1" s="53"/>
      <c r="D1" s="54"/>
      <c r="P1" t="s">
        <v>396</v>
      </c>
      <c r="Q1" s="78">
        <v>46035</v>
      </c>
      <c r="S1" t="s">
        <v>371</v>
      </c>
      <c r="T1" t="s">
        <v>397</v>
      </c>
      <c r="Y1" t="s">
        <v>398</v>
      </c>
    </row>
    <row r="2" spans="1:25" ht="15" thickBot="1" x14ac:dyDescent="0.4">
      <c r="A2" t="s">
        <v>349</v>
      </c>
      <c r="B2">
        <f>COUNTIF(Table210[Stage],A2)</f>
        <v>18</v>
      </c>
      <c r="T2" t="s">
        <v>399</v>
      </c>
      <c r="U2" t="s">
        <v>400</v>
      </c>
      <c r="Y2" t="s">
        <v>401</v>
      </c>
    </row>
    <row r="3" spans="1:25" x14ac:dyDescent="0.35">
      <c r="A3" t="s">
        <v>351</v>
      </c>
      <c r="B3">
        <f>COUNTIF(Table210[Stage],A3)</f>
        <v>15</v>
      </c>
      <c r="P3" s="56" t="s">
        <v>348</v>
      </c>
      <c r="Q3" s="56"/>
      <c r="Y3" t="s">
        <v>402</v>
      </c>
    </row>
    <row r="4" spans="1:25" x14ac:dyDescent="0.35">
      <c r="A4" t="s">
        <v>353</v>
      </c>
      <c r="B4">
        <f>COUNTIF(Table210[Stage],A4)</f>
        <v>2</v>
      </c>
      <c r="P4" s="57" t="s">
        <v>350</v>
      </c>
      <c r="Q4">
        <v>2.9300099999999999E-2</v>
      </c>
      <c r="Y4" t="s">
        <v>403</v>
      </c>
    </row>
    <row r="5" spans="1:25" ht="15" thickBot="1" x14ac:dyDescent="0.4">
      <c r="A5" t="s">
        <v>354</v>
      </c>
      <c r="B5">
        <f>COUNTIF(Table210[Stage],A5)</f>
        <v>21</v>
      </c>
      <c r="P5" s="58" t="s">
        <v>352</v>
      </c>
      <c r="Q5" s="52">
        <v>3.7853999999999998E-6</v>
      </c>
      <c r="Y5" t="s">
        <v>404</v>
      </c>
    </row>
    <row r="6" spans="1:25" ht="15" thickBot="1" x14ac:dyDescent="0.4">
      <c r="A6" s="52" t="s">
        <v>355</v>
      </c>
      <c r="B6" s="52">
        <f>COUNTIF(Table210[Stage],A6)</f>
        <v>0</v>
      </c>
    </row>
    <row r="9" spans="1:25" x14ac:dyDescent="0.35">
      <c r="A9" s="189" t="s">
        <v>356</v>
      </c>
      <c r="B9" s="189"/>
      <c r="C9" s="189"/>
      <c r="D9" s="189"/>
      <c r="E9" s="190" t="s">
        <v>357</v>
      </c>
      <c r="F9" s="190"/>
      <c r="G9" s="190"/>
      <c r="H9" s="190"/>
      <c r="I9" s="190"/>
      <c r="J9" s="190"/>
      <c r="K9" s="191" t="s">
        <v>358</v>
      </c>
      <c r="L9" s="191"/>
      <c r="M9" s="191"/>
      <c r="N9" s="191"/>
    </row>
    <row r="10" spans="1:25" ht="29" x14ac:dyDescent="0.35">
      <c r="A10" s="6" t="s">
        <v>359</v>
      </c>
      <c r="B10" s="6" t="s">
        <v>360</v>
      </c>
      <c r="C10" s="6" t="s">
        <v>346</v>
      </c>
      <c r="D10" s="6" t="s">
        <v>361</v>
      </c>
      <c r="E10" s="6" t="s">
        <v>362</v>
      </c>
      <c r="F10" s="6" t="s">
        <v>363</v>
      </c>
      <c r="G10" s="6" t="s">
        <v>405</v>
      </c>
      <c r="H10" s="6" t="s">
        <v>406</v>
      </c>
      <c r="I10" s="6" t="s">
        <v>364</v>
      </c>
      <c r="J10" s="6" t="s">
        <v>365</v>
      </c>
      <c r="K10" s="102" t="s">
        <v>407</v>
      </c>
      <c r="L10" s="102" t="s">
        <v>408</v>
      </c>
      <c r="M10" s="102" t="s">
        <v>409</v>
      </c>
      <c r="N10" s="6" t="s">
        <v>410</v>
      </c>
    </row>
    <row r="11" spans="1:25" ht="29" x14ac:dyDescent="0.35">
      <c r="A11" s="6" t="s">
        <v>378</v>
      </c>
      <c r="B11" s="6" t="s">
        <v>379</v>
      </c>
      <c r="C11" t="s">
        <v>354</v>
      </c>
      <c r="D11">
        <v>2022</v>
      </c>
      <c r="E11" t="s">
        <v>380</v>
      </c>
      <c r="F11" s="76" t="s">
        <v>376</v>
      </c>
      <c r="G11" s="76"/>
      <c r="H11" s="76"/>
      <c r="I11" s="26">
        <v>1400</v>
      </c>
      <c r="J11" s="76" t="s">
        <v>376</v>
      </c>
      <c r="K11" s="77"/>
      <c r="L11" s="10"/>
      <c r="M11" s="10"/>
      <c r="N11" s="51" t="e">
        <f>(Table210[[#This Row],[CapEx Required ($)]]-Table210[[#This Row],[Incentive ($)]])/Table210[[#This Row],[Annual OpEx Savings ($)]]</f>
        <v>#DIV/0!</v>
      </c>
    </row>
    <row r="12" spans="1:25" x14ac:dyDescent="0.35">
      <c r="A12" s="6" t="s">
        <v>411</v>
      </c>
      <c r="B12" s="6" t="s">
        <v>371</v>
      </c>
      <c r="C12" t="s">
        <v>354</v>
      </c>
      <c r="D12">
        <v>2023</v>
      </c>
      <c r="E12" t="s">
        <v>380</v>
      </c>
      <c r="F12" s="76">
        <v>0</v>
      </c>
      <c r="G12" s="76"/>
      <c r="H12" s="76"/>
      <c r="I12" s="26">
        <f>6542000*0.000003785</f>
        <v>24.761470000000003</v>
      </c>
      <c r="J12" s="76">
        <v>0</v>
      </c>
      <c r="K12" s="10">
        <v>0</v>
      </c>
      <c r="L12" s="10">
        <v>61000</v>
      </c>
      <c r="M12" s="10">
        <v>70000</v>
      </c>
      <c r="N12" s="51">
        <f>(Table210[[#This Row],[CapEx Required ($)]]-Table210[[#This Row],[Incentive ($)]])/Table210[[#This Row],[Annual OpEx Savings ($)]]</f>
        <v>0.87142857142857144</v>
      </c>
    </row>
    <row r="13" spans="1:25" x14ac:dyDescent="0.35">
      <c r="A13" s="6" t="s">
        <v>412</v>
      </c>
      <c r="B13" s="6" t="s">
        <v>371</v>
      </c>
      <c r="C13" t="s">
        <v>354</v>
      </c>
      <c r="D13">
        <v>2023</v>
      </c>
      <c r="E13" t="s">
        <v>375</v>
      </c>
      <c r="F13" s="26">
        <f>(Table210[[#This Row],[Energy Savings (MWh)]]*1000)*0.000453592</f>
        <v>90.718400000000003</v>
      </c>
      <c r="G13" s="26"/>
      <c r="H13" s="26"/>
      <c r="I13" s="76" t="s">
        <v>376</v>
      </c>
      <c r="J13" s="26">
        <v>200</v>
      </c>
      <c r="K13" s="10">
        <v>15400</v>
      </c>
      <c r="L13" s="10">
        <v>25000</v>
      </c>
      <c r="M13" s="10">
        <f>0.12*200000</f>
        <v>24000</v>
      </c>
      <c r="N13" s="51">
        <f>(Table210[[#This Row],[CapEx Required ($)]]-Table210[[#This Row],[Incentive ($)]])/Table210[[#This Row],[Annual OpEx Savings ($)]]</f>
        <v>0.4</v>
      </c>
      <c r="R13" s="11"/>
    </row>
    <row r="14" spans="1:25" ht="29" x14ac:dyDescent="0.35">
      <c r="A14" s="6" t="s">
        <v>387</v>
      </c>
      <c r="B14" s="6" t="s">
        <v>371</v>
      </c>
      <c r="C14" t="s">
        <v>354</v>
      </c>
      <c r="D14">
        <v>2023</v>
      </c>
      <c r="E14" t="s">
        <v>375</v>
      </c>
      <c r="F14" s="26">
        <v>10</v>
      </c>
      <c r="G14" s="26"/>
      <c r="H14" s="26"/>
      <c r="I14" s="76" t="s">
        <v>376</v>
      </c>
      <c r="J14" s="26">
        <f>1865*0.0293001</f>
        <v>54.644686499999999</v>
      </c>
      <c r="K14" s="10">
        <v>300</v>
      </c>
      <c r="L14" s="10">
        <v>1000</v>
      </c>
      <c r="M14" s="10">
        <v>1500</v>
      </c>
      <c r="N14" s="51">
        <f>(Table210[[#This Row],[CapEx Required ($)]]-Table210[[#This Row],[Incentive ($)]])/Table210[[#This Row],[Annual OpEx Savings ($)]]</f>
        <v>0.46666666666666667</v>
      </c>
    </row>
    <row r="15" spans="1:25" x14ac:dyDescent="0.35">
      <c r="A15" s="6" t="s">
        <v>377</v>
      </c>
      <c r="B15" s="6" t="s">
        <v>374</v>
      </c>
      <c r="C15" t="s">
        <v>354</v>
      </c>
      <c r="D15">
        <v>2024</v>
      </c>
      <c r="E15" t="s">
        <v>375</v>
      </c>
      <c r="F15" s="26">
        <v>545</v>
      </c>
      <c r="G15" s="26">
        <v>545</v>
      </c>
      <c r="H15" s="26"/>
      <c r="I15" s="76" t="s">
        <v>376</v>
      </c>
      <c r="J15" s="26">
        <f>100000*Q4</f>
        <v>2930.0099999999998</v>
      </c>
      <c r="K15" s="10">
        <v>39000</v>
      </c>
      <c r="L15" s="10">
        <v>0</v>
      </c>
      <c r="M15" s="10">
        <v>25000</v>
      </c>
      <c r="N15" s="51">
        <f>(Table210[[#This Row],[CapEx Required ($)]]-Table210[[#This Row],[Incentive ($)]])/Table210[[#This Row],[Annual OpEx Savings ($)]]</f>
        <v>-1.56</v>
      </c>
    </row>
    <row r="16" spans="1:25" ht="29" x14ac:dyDescent="0.35">
      <c r="A16" s="6" t="s">
        <v>413</v>
      </c>
      <c r="B16" s="6" t="s">
        <v>371</v>
      </c>
      <c r="C16" t="s">
        <v>354</v>
      </c>
      <c r="D16">
        <v>2024</v>
      </c>
      <c r="E16" t="s">
        <v>375</v>
      </c>
      <c r="F16" s="26">
        <f>(Table210[[#This Row],[Energy Savings (MWh)]]*1000)*0.000453592</f>
        <v>75.749864000000002</v>
      </c>
      <c r="G16" s="26"/>
      <c r="H16" s="26"/>
      <c r="I16" s="76" t="s">
        <v>376</v>
      </c>
      <c r="J16" s="26">
        <v>167</v>
      </c>
      <c r="K16" s="10">
        <v>15000</v>
      </c>
      <c r="L16" s="10">
        <v>24000</v>
      </c>
      <c r="M16" s="10">
        <f>167000*0.12</f>
        <v>20040</v>
      </c>
      <c r="N16" s="51">
        <f>(Table210[[#This Row],[CapEx Required ($)]]-Table210[[#This Row],[Incentive ($)]])/Table210[[#This Row],[Annual OpEx Savings ($)]]</f>
        <v>0.44910179640718562</v>
      </c>
    </row>
    <row r="17" spans="1:14" x14ac:dyDescent="0.35">
      <c r="A17" s="6" t="s">
        <v>386</v>
      </c>
      <c r="B17" s="6" t="s">
        <v>371</v>
      </c>
      <c r="C17" t="s">
        <v>354</v>
      </c>
      <c r="D17">
        <v>2024</v>
      </c>
      <c r="E17" t="s">
        <v>375</v>
      </c>
      <c r="F17" s="26">
        <v>250</v>
      </c>
      <c r="G17" s="26"/>
      <c r="H17" s="26"/>
      <c r="I17" s="76" t="s">
        <v>376</v>
      </c>
      <c r="J17" s="26">
        <f>48360*0.0293001</f>
        <v>1416.9528359999999</v>
      </c>
      <c r="K17" s="10">
        <v>65000</v>
      </c>
      <c r="L17" s="10">
        <v>130000</v>
      </c>
      <c r="M17" s="10">
        <v>40000</v>
      </c>
      <c r="N17" s="51">
        <f>(Table210[[#This Row],[CapEx Required ($)]]-Table210[[#This Row],[Incentive ($)]])/Table210[[#This Row],[Annual OpEx Savings ($)]]</f>
        <v>1.625</v>
      </c>
    </row>
    <row r="18" spans="1:14" ht="29" x14ac:dyDescent="0.35">
      <c r="A18" s="6" t="s">
        <v>384</v>
      </c>
      <c r="B18" s="6" t="s">
        <v>374</v>
      </c>
      <c r="C18" t="s">
        <v>354</v>
      </c>
      <c r="D18">
        <v>2024</v>
      </c>
      <c r="E18" t="s">
        <v>375</v>
      </c>
      <c r="F18" s="26">
        <v>332.2</v>
      </c>
      <c r="G18" s="26">
        <v>332</v>
      </c>
      <c r="H18" s="26"/>
      <c r="I18" s="76" t="s">
        <v>376</v>
      </c>
      <c r="J18" s="26">
        <f>63000*0.0293001</f>
        <v>1845.9062999999999</v>
      </c>
      <c r="K18" s="10">
        <v>0</v>
      </c>
      <c r="L18" s="10">
        <v>5000</v>
      </c>
      <c r="M18" s="10">
        <v>50000</v>
      </c>
      <c r="N18" s="51">
        <f>(Table210[[#This Row],[CapEx Required ($)]]-Table210[[#This Row],[Incentive ($)]])/Table210[[#This Row],[Annual OpEx Savings ($)]]</f>
        <v>0.1</v>
      </c>
    </row>
    <row r="19" spans="1:14" x14ac:dyDescent="0.35">
      <c r="A19" s="6" t="s">
        <v>414</v>
      </c>
      <c r="B19" s="6" t="s">
        <v>371</v>
      </c>
      <c r="C19" t="s">
        <v>354</v>
      </c>
      <c r="D19">
        <v>2024</v>
      </c>
      <c r="E19" t="s">
        <v>375</v>
      </c>
      <c r="F19" s="26">
        <f>(Table210[[#This Row],[Energy Savings (MWh)]]*912)*0.00045</f>
        <v>328.32</v>
      </c>
      <c r="G19" s="26"/>
      <c r="H19" s="26"/>
      <c r="I19" s="26">
        <v>0</v>
      </c>
      <c r="J19" s="81">
        <v>800</v>
      </c>
      <c r="K19" s="10">
        <v>0</v>
      </c>
      <c r="L19" s="10">
        <v>0</v>
      </c>
      <c r="M19" s="10">
        <v>90000</v>
      </c>
      <c r="N19">
        <f>(Table210[[#This Row],[CapEx Required ($)]]-Table210[[#This Row],[Incentive ($)]])/Table210[[#This Row],[Annual OpEx Savings ($)]]</f>
        <v>0</v>
      </c>
    </row>
    <row r="20" spans="1:14" x14ac:dyDescent="0.35">
      <c r="A20" s="6" t="s">
        <v>415</v>
      </c>
      <c r="B20" s="6" t="s">
        <v>371</v>
      </c>
      <c r="C20" t="s">
        <v>353</v>
      </c>
      <c r="D20">
        <v>2025</v>
      </c>
      <c r="E20" t="s">
        <v>375</v>
      </c>
      <c r="F20" s="26">
        <v>1000</v>
      </c>
      <c r="G20" s="26">
        <v>1000</v>
      </c>
      <c r="H20" s="26">
        <v>0</v>
      </c>
      <c r="I20" s="76" t="s">
        <v>376</v>
      </c>
      <c r="J20" s="26">
        <f>((170000/0.48)*0.83)*0.0293001</f>
        <v>8613.0085624999992</v>
      </c>
      <c r="K20" s="10">
        <v>43000</v>
      </c>
      <c r="L20" s="10">
        <v>45000</v>
      </c>
      <c r="M20" s="10">
        <v>360000</v>
      </c>
      <c r="N20" s="51">
        <f>(Table210[[#This Row],[CapEx Required ($)]]-Table210[[#This Row],[Incentive ($)]])/Table210[[#This Row],[Annual OpEx Savings ($)]]</f>
        <v>5.5555555555555558E-3</v>
      </c>
    </row>
    <row r="21" spans="1:14" ht="29" x14ac:dyDescent="0.35">
      <c r="A21" s="6" t="s">
        <v>416</v>
      </c>
      <c r="B21" s="6" t="s">
        <v>382</v>
      </c>
      <c r="C21" t="s">
        <v>354</v>
      </c>
      <c r="D21">
        <v>2025</v>
      </c>
      <c r="E21" t="s">
        <v>375</v>
      </c>
      <c r="F21" s="26">
        <f>Table210[[#This Row],[Scope 2]]</f>
        <v>40</v>
      </c>
      <c r="G21" s="26"/>
      <c r="H21" s="26">
        <v>40</v>
      </c>
      <c r="I21" s="76"/>
      <c r="J21" s="81">
        <v>55</v>
      </c>
      <c r="K21" s="10">
        <v>0</v>
      </c>
      <c r="L21" s="10"/>
      <c r="M21" s="10">
        <v>7114</v>
      </c>
      <c r="N21" s="51">
        <f>(Table210[[#This Row],[CapEx Required ($)]]-Table210[[#This Row],[Incentive ($)]])/Table210[[#This Row],[Annual OpEx Savings ($)]]</f>
        <v>0</v>
      </c>
    </row>
    <row r="22" spans="1:14" ht="29" x14ac:dyDescent="0.35">
      <c r="A22" s="6" t="s">
        <v>417</v>
      </c>
      <c r="B22" s="6" t="s">
        <v>382</v>
      </c>
      <c r="C22" t="s">
        <v>354</v>
      </c>
      <c r="D22">
        <v>2025</v>
      </c>
      <c r="E22" t="s">
        <v>375</v>
      </c>
      <c r="F22" s="26">
        <f>Table210[[#This Row],[Scope 2]]</f>
        <v>155</v>
      </c>
      <c r="G22" s="26">
        <v>0</v>
      </c>
      <c r="H22" s="26">
        <v>155</v>
      </c>
      <c r="I22" s="76" t="s">
        <v>376</v>
      </c>
      <c r="J22" s="81">
        <v>871</v>
      </c>
      <c r="K22" s="10">
        <v>0</v>
      </c>
      <c r="L22" s="10">
        <f>(19015.6+18250.45+18053.4+15166.81+21246.79+22966.46)*1.09</f>
        <v>125022.46590000002</v>
      </c>
      <c r="M22" s="10">
        <v>54062</v>
      </c>
      <c r="N22" s="51">
        <f>(Table210[[#This Row],[CapEx Required ($)]]-Table210[[#This Row],[Incentive ($)]])/Table210[[#This Row],[Annual OpEx Savings ($)]]</f>
        <v>2.3125756705264329</v>
      </c>
    </row>
    <row r="23" spans="1:14" ht="29" x14ac:dyDescent="0.35">
      <c r="A23" s="6" t="s">
        <v>373</v>
      </c>
      <c r="B23" s="6" t="s">
        <v>374</v>
      </c>
      <c r="C23" t="s">
        <v>351</v>
      </c>
      <c r="D23">
        <v>2026</v>
      </c>
      <c r="E23" t="s">
        <v>375</v>
      </c>
      <c r="F23" s="81"/>
      <c r="G23" s="81"/>
      <c r="H23" s="81"/>
      <c r="I23" s="81" t="s">
        <v>376</v>
      </c>
      <c r="J23" s="81">
        <f>200000*0.0293001</f>
        <v>5860.0199999999995</v>
      </c>
      <c r="K23" s="10">
        <v>100000</v>
      </c>
      <c r="L23" s="10">
        <v>1000000</v>
      </c>
      <c r="M23" s="10">
        <v>150000</v>
      </c>
      <c r="N23" s="51">
        <f>(Table210[[#This Row],[CapEx Required ($)]]-Table210[[#This Row],[Incentive ($)]])/Table210[[#This Row],[Annual OpEx Savings ($)]]</f>
        <v>6</v>
      </c>
    </row>
    <row r="24" spans="1:14" x14ac:dyDescent="0.35">
      <c r="A24" s="6" t="s">
        <v>370</v>
      </c>
      <c r="B24" s="6" t="s">
        <v>371</v>
      </c>
      <c r="C24" t="s">
        <v>349</v>
      </c>
      <c r="D24">
        <v>2026</v>
      </c>
      <c r="E24" t="s">
        <v>372</v>
      </c>
      <c r="F24" s="26">
        <v>1200</v>
      </c>
      <c r="G24" s="26">
        <v>1200</v>
      </c>
      <c r="H24" s="26"/>
      <c r="I24" s="26">
        <f>15000000*0.0000037854</f>
        <v>56.780999999999999</v>
      </c>
      <c r="J24" s="26">
        <f>178000*0.0293001</f>
        <v>5215.4178000000002</v>
      </c>
      <c r="K24" s="10">
        <v>178000</v>
      </c>
      <c r="L24" s="10">
        <v>500000</v>
      </c>
      <c r="M24" s="10">
        <v>145000</v>
      </c>
      <c r="N24" s="51">
        <f>(Table210[[#This Row],[CapEx Required ($)]]-Table210[[#This Row],[Incentive ($)]])/Table210[[#This Row],[Annual OpEx Savings ($)]]</f>
        <v>2.2206896551724138</v>
      </c>
    </row>
    <row r="25" spans="1:14" x14ac:dyDescent="0.35">
      <c r="A25" s="6" t="s">
        <v>418</v>
      </c>
      <c r="B25" s="6" t="s">
        <v>419</v>
      </c>
      <c r="C25" t="s">
        <v>351</v>
      </c>
      <c r="D25">
        <v>2025</v>
      </c>
      <c r="E25" t="s">
        <v>372</v>
      </c>
      <c r="F25" s="26">
        <f>(53.06*92)/1000</f>
        <v>4.8815200000000001</v>
      </c>
      <c r="G25" s="26">
        <f>(53.06*92)/1000</f>
        <v>4.8815200000000001</v>
      </c>
      <c r="H25" s="26"/>
      <c r="I25" s="26">
        <v>0.5</v>
      </c>
      <c r="J25" s="81">
        <v>27</v>
      </c>
      <c r="K25" s="10">
        <v>0</v>
      </c>
      <c r="L25" s="10">
        <v>10000</v>
      </c>
      <c r="M25" s="10">
        <v>1500</v>
      </c>
      <c r="N25">
        <f>(Table210[[#This Row],[CapEx Required ($)]]-Table210[[#This Row],[Incentive ($)]])/Table210[[#This Row],[Annual OpEx Savings ($)]]</f>
        <v>6.666666666666667</v>
      </c>
    </row>
    <row r="26" spans="1:14" x14ac:dyDescent="0.35">
      <c r="A26" s="6" t="s">
        <v>388</v>
      </c>
      <c r="B26" s="6" t="s">
        <v>371</v>
      </c>
      <c r="C26" t="s">
        <v>349</v>
      </c>
      <c r="D26">
        <v>2025</v>
      </c>
      <c r="E26" t="s">
        <v>372</v>
      </c>
      <c r="F26" s="26">
        <v>24</v>
      </c>
      <c r="G26" s="26">
        <v>0</v>
      </c>
      <c r="H26" s="26">
        <v>24</v>
      </c>
      <c r="I26" s="26">
        <f>170000*Q5</f>
        <v>0.64351799999999992</v>
      </c>
      <c r="J26" s="26">
        <f>4433*Q4</f>
        <v>129.8873433</v>
      </c>
      <c r="K26" s="10">
        <v>3325</v>
      </c>
      <c r="L26" s="10">
        <v>60000</v>
      </c>
      <c r="M26" s="10">
        <v>5500</v>
      </c>
      <c r="N26" s="51">
        <f>(Table210[[#This Row],[CapEx Required ($)]]-Table210[[#This Row],[Incentive ($)]])/Table210[[#This Row],[Annual OpEx Savings ($)]]</f>
        <v>10.304545454545455</v>
      </c>
    </row>
    <row r="27" spans="1:14" x14ac:dyDescent="0.35">
      <c r="A27" s="6" t="s">
        <v>420</v>
      </c>
      <c r="B27" s="6" t="s">
        <v>371</v>
      </c>
      <c r="C27" t="s">
        <v>353</v>
      </c>
      <c r="D27">
        <v>2025</v>
      </c>
      <c r="E27" t="s">
        <v>380</v>
      </c>
      <c r="F27" s="26">
        <v>0</v>
      </c>
      <c r="G27" s="26"/>
      <c r="H27" s="26"/>
      <c r="I27" s="187">
        <v>0.66</v>
      </c>
      <c r="J27" s="81">
        <v>0</v>
      </c>
      <c r="K27" s="10">
        <v>0</v>
      </c>
      <c r="L27" s="10">
        <v>0</v>
      </c>
      <c r="M27" s="188">
        <v>130000</v>
      </c>
      <c r="N27">
        <f>(Table210[[#This Row],[CapEx Required ($)]]-Table210[[#This Row],[Incentive ($)]])/Table210[[#This Row],[Annual OpEx Savings ($)]]</f>
        <v>0</v>
      </c>
    </row>
    <row r="28" spans="1:14" x14ac:dyDescent="0.35">
      <c r="A28" s="6" t="s">
        <v>421</v>
      </c>
      <c r="B28" s="6" t="s">
        <v>374</v>
      </c>
      <c r="C28" t="s">
        <v>349</v>
      </c>
      <c r="D28">
        <v>2025</v>
      </c>
      <c r="E28" t="s">
        <v>375</v>
      </c>
      <c r="F28" s="26"/>
      <c r="G28" s="26"/>
      <c r="H28" s="26"/>
      <c r="I28" s="26"/>
      <c r="J28" s="81"/>
      <c r="K28" s="10"/>
      <c r="L28" s="10"/>
      <c r="M28" s="10"/>
      <c r="N28" t="e">
        <f>(Table210[[#This Row],[CapEx Required ($)]]-Table210[[#This Row],[Incentive ($)]])/Table210[[#This Row],[Annual OpEx Savings ($)]]</f>
        <v>#DIV/0!</v>
      </c>
    </row>
    <row r="29" spans="1:14" x14ac:dyDescent="0.35">
      <c r="A29" s="6" t="s">
        <v>422</v>
      </c>
      <c r="B29" s="6" t="s">
        <v>374</v>
      </c>
      <c r="C29" t="s">
        <v>351</v>
      </c>
      <c r="D29">
        <v>2025</v>
      </c>
      <c r="E29" t="s">
        <v>375</v>
      </c>
      <c r="F29" s="26"/>
      <c r="G29" s="26"/>
      <c r="H29" s="26"/>
      <c r="I29" s="26"/>
      <c r="J29" s="81"/>
      <c r="K29" s="10"/>
      <c r="L29" s="10"/>
      <c r="M29" s="10"/>
      <c r="N29" t="e">
        <f>(Table210[[#This Row],[CapEx Required ($)]]-Table210[[#This Row],[Incentive ($)]])/Table210[[#This Row],[Annual OpEx Savings ($)]]</f>
        <v>#DIV/0!</v>
      </c>
    </row>
    <row r="30" spans="1:14" x14ac:dyDescent="0.35">
      <c r="A30" s="6" t="s">
        <v>423</v>
      </c>
      <c r="B30" s="6" t="s">
        <v>371</v>
      </c>
      <c r="C30" t="s">
        <v>354</v>
      </c>
      <c r="D30">
        <v>2025</v>
      </c>
      <c r="E30" t="s">
        <v>375</v>
      </c>
      <c r="F30" s="26">
        <f>(82*912)*0.00045</f>
        <v>33.652799999999999</v>
      </c>
      <c r="G30" s="26">
        <v>0</v>
      </c>
      <c r="H30" s="26">
        <f>(82*912)*0.00045</f>
        <v>33.652799999999999</v>
      </c>
      <c r="I30" s="26"/>
      <c r="J30" s="187">
        <v>82</v>
      </c>
      <c r="K30" s="10">
        <v>0</v>
      </c>
      <c r="L30" s="10">
        <v>0</v>
      </c>
      <c r="M30" s="188">
        <v>25000</v>
      </c>
      <c r="N30">
        <f>(Table210[[#This Row],[CapEx Required ($)]]-Table210[[#This Row],[Incentive ($)]])/Table210[[#This Row],[Annual OpEx Savings ($)]]</f>
        <v>0</v>
      </c>
    </row>
    <row r="31" spans="1:14" x14ac:dyDescent="0.35">
      <c r="A31" s="6" t="s">
        <v>424</v>
      </c>
      <c r="B31" s="6" t="s">
        <v>371</v>
      </c>
      <c r="C31" t="s">
        <v>349</v>
      </c>
      <c r="D31">
        <v>2025</v>
      </c>
      <c r="E31" t="s">
        <v>375</v>
      </c>
      <c r="F31" s="26"/>
      <c r="G31" s="26"/>
      <c r="H31" s="26"/>
      <c r="I31" s="26"/>
      <c r="J31" s="81"/>
      <c r="K31" s="10"/>
      <c r="L31" s="10"/>
      <c r="M31" s="10"/>
      <c r="N31" t="e">
        <f>(Table210[[#This Row],[CapEx Required ($)]]-Table210[[#This Row],[Incentive ($)]])/Table210[[#This Row],[Annual OpEx Savings ($)]]</f>
        <v>#DIV/0!</v>
      </c>
    </row>
    <row r="32" spans="1:14" ht="29" x14ac:dyDescent="0.35">
      <c r="A32" s="6" t="s">
        <v>385</v>
      </c>
      <c r="B32" s="6" t="s">
        <v>374</v>
      </c>
      <c r="C32" t="s">
        <v>351</v>
      </c>
      <c r="D32">
        <v>2025</v>
      </c>
      <c r="E32" t="s">
        <v>380</v>
      </c>
      <c r="F32" s="76" t="s">
        <v>376</v>
      </c>
      <c r="G32" s="76"/>
      <c r="H32" s="76"/>
      <c r="I32" s="26">
        <f>(5*525600)*0.0000037854</f>
        <v>9.9480311999999991</v>
      </c>
      <c r="J32" s="76" t="s">
        <v>376</v>
      </c>
      <c r="K32" s="10">
        <v>0</v>
      </c>
      <c r="L32" s="10">
        <v>60000</v>
      </c>
      <c r="M32" s="10">
        <f>3000*0.663</f>
        <v>1989</v>
      </c>
      <c r="N32" s="51">
        <f>(Table210[[#This Row],[CapEx Required ($)]]-Table210[[#This Row],[Incentive ($)]])/Table210[[#This Row],[Annual OpEx Savings ($)]]</f>
        <v>30.165912518853695</v>
      </c>
    </row>
    <row r="33" spans="1:14" x14ac:dyDescent="0.35">
      <c r="A33" s="6" t="s">
        <v>425</v>
      </c>
      <c r="B33" s="6" t="s">
        <v>426</v>
      </c>
      <c r="C33" t="s">
        <v>351</v>
      </c>
      <c r="D33">
        <v>2025</v>
      </c>
      <c r="E33" t="s">
        <v>375</v>
      </c>
      <c r="F33" s="26">
        <v>466</v>
      </c>
      <c r="G33" s="26">
        <v>0</v>
      </c>
      <c r="H33" s="26">
        <v>466</v>
      </c>
      <c r="I33" s="26"/>
      <c r="J33" s="81">
        <v>1500</v>
      </c>
      <c r="K33" s="10"/>
      <c r="L33" s="10"/>
      <c r="M33" s="10"/>
      <c r="N33" t="e">
        <f>(Table210[[#This Row],[CapEx Required ($)]]-Table210[[#This Row],[Incentive ($)]])/Table210[[#This Row],[Annual OpEx Savings ($)]]</f>
        <v>#DIV/0!</v>
      </c>
    </row>
    <row r="34" spans="1:14" x14ac:dyDescent="0.35">
      <c r="A34" s="6" t="s">
        <v>427</v>
      </c>
      <c r="B34" s="6" t="s">
        <v>379</v>
      </c>
      <c r="C34" t="s">
        <v>351</v>
      </c>
      <c r="D34">
        <v>2025</v>
      </c>
      <c r="E34" t="s">
        <v>375</v>
      </c>
      <c r="F34" s="26">
        <f>0.415*1600</f>
        <v>664</v>
      </c>
      <c r="G34" s="26">
        <v>0</v>
      </c>
      <c r="H34" s="26">
        <f>0.415*1600</f>
        <v>664</v>
      </c>
      <c r="I34" s="26"/>
      <c r="J34" s="81">
        <v>1600</v>
      </c>
      <c r="K34" s="10"/>
      <c r="L34" s="10"/>
      <c r="M34" s="10"/>
      <c r="N34" t="e">
        <f>(Table210[[#This Row],[CapEx Required ($)]]-Table210[[#This Row],[Incentive ($)]])/Table210[[#This Row],[Annual OpEx Savings ($)]]</f>
        <v>#DIV/0!</v>
      </c>
    </row>
    <row r="35" spans="1:14" x14ac:dyDescent="0.35">
      <c r="A35" s="6" t="s">
        <v>428</v>
      </c>
      <c r="B35" s="6" t="s">
        <v>382</v>
      </c>
      <c r="C35" t="s">
        <v>349</v>
      </c>
      <c r="D35">
        <v>2026</v>
      </c>
      <c r="E35" t="s">
        <v>375</v>
      </c>
      <c r="F35" s="26"/>
      <c r="G35" s="26"/>
      <c r="H35" s="26"/>
      <c r="I35" s="26">
        <v>0</v>
      </c>
      <c r="J35" s="81">
        <v>4000</v>
      </c>
      <c r="K35" s="10">
        <v>0</v>
      </c>
      <c r="L35" s="10">
        <v>0</v>
      </c>
      <c r="M35" s="10"/>
      <c r="N35" t="e">
        <f>(Table210[[#This Row],[CapEx Required ($)]]-Table210[[#This Row],[Incentive ($)]])/Table210[[#This Row],[Annual OpEx Savings ($)]]</f>
        <v>#DIV/0!</v>
      </c>
    </row>
    <row r="36" spans="1:14" ht="29" x14ac:dyDescent="0.35">
      <c r="A36" s="6" t="s">
        <v>429</v>
      </c>
      <c r="B36" s="6" t="s">
        <v>382</v>
      </c>
      <c r="C36" t="s">
        <v>354</v>
      </c>
      <c r="D36">
        <v>2025</v>
      </c>
      <c r="E36" t="s">
        <v>375</v>
      </c>
      <c r="F36" s="26">
        <f>Table210[[#This Row],[Scope 2]]</f>
        <v>1465.1279999999999</v>
      </c>
      <c r="G36" s="26">
        <v>0</v>
      </c>
      <c r="H36" s="26">
        <f>(684*Table210[[#This Row],[Energy Savings (MWh)]])/1000</f>
        <v>1465.1279999999999</v>
      </c>
      <c r="I36" s="76" t="s">
        <v>376</v>
      </c>
      <c r="J36" s="81">
        <v>2142</v>
      </c>
      <c r="K36" s="10">
        <v>0</v>
      </c>
      <c r="L36" s="10">
        <v>50000</v>
      </c>
      <c r="M36" s="10">
        <v>353000</v>
      </c>
      <c r="N36" s="51">
        <f>(Table210[[#This Row],[CapEx Required ($)]]-Table210[[#This Row],[Incentive ($)]])/Table210[[#This Row],[Annual OpEx Savings ($)]]</f>
        <v>0.14164305949008499</v>
      </c>
    </row>
    <row r="37" spans="1:14" ht="43.5" x14ac:dyDescent="0.35">
      <c r="A37" s="6" t="s">
        <v>430</v>
      </c>
      <c r="B37" s="6" t="s">
        <v>379</v>
      </c>
      <c r="C37" t="s">
        <v>349</v>
      </c>
      <c r="D37">
        <v>2026</v>
      </c>
      <c r="E37" t="s">
        <v>372</v>
      </c>
      <c r="F37" s="26">
        <v>141</v>
      </c>
      <c r="G37" s="26">
        <v>0</v>
      </c>
      <c r="H37" s="26">
        <v>141</v>
      </c>
      <c r="I37" s="26">
        <v>370</v>
      </c>
      <c r="J37" s="26">
        <v>400</v>
      </c>
      <c r="K37" s="10">
        <v>220000</v>
      </c>
      <c r="L37" s="10">
        <v>300000</v>
      </c>
      <c r="M37" s="10">
        <f>400000*0.13</f>
        <v>52000</v>
      </c>
      <c r="N37" s="51">
        <f>(Table210[[#This Row],[CapEx Required ($)]]-Table210[[#This Row],[Incentive ($)]])/Table210[[#This Row],[Annual OpEx Savings ($)]]</f>
        <v>1.5384615384615385</v>
      </c>
    </row>
    <row r="38" spans="1:14" x14ac:dyDescent="0.35">
      <c r="A38" s="6" t="s">
        <v>431</v>
      </c>
      <c r="B38" s="6" t="s">
        <v>371</v>
      </c>
      <c r="C38" t="s">
        <v>349</v>
      </c>
      <c r="D38">
        <v>2027</v>
      </c>
      <c r="E38" t="s">
        <v>375</v>
      </c>
      <c r="F38" s="26"/>
      <c r="G38" s="26"/>
      <c r="H38" s="26"/>
      <c r="I38" s="26"/>
      <c r="J38" s="26"/>
      <c r="K38" s="10"/>
      <c r="L38" s="10"/>
      <c r="M38" s="10"/>
      <c r="N38" s="51" t="e">
        <f>(Table210[[#This Row],[CapEx Required ($)]]-Table210[[#This Row],[Incentive ($)]])/Table210[[#This Row],[Annual OpEx Savings ($)]]</f>
        <v>#DIV/0!</v>
      </c>
    </row>
    <row r="39" spans="1:14" ht="29" x14ac:dyDescent="0.35">
      <c r="A39" s="6" t="s">
        <v>432</v>
      </c>
      <c r="B39" s="6" t="s">
        <v>371</v>
      </c>
      <c r="C39" t="s">
        <v>354</v>
      </c>
      <c r="D39">
        <v>2025</v>
      </c>
      <c r="E39" t="s">
        <v>375</v>
      </c>
      <c r="F39" s="26"/>
      <c r="G39" s="26"/>
      <c r="H39" s="26"/>
      <c r="I39" s="26"/>
      <c r="J39" s="26"/>
      <c r="K39" s="10"/>
      <c r="L39" s="10"/>
      <c r="M39" s="10">
        <v>4000</v>
      </c>
      <c r="N39" s="51">
        <f>(Table210[[#This Row],[CapEx Required ($)]]-Table210[[#This Row],[Incentive ($)]])/Table210[[#This Row],[Annual OpEx Savings ($)]]</f>
        <v>0</v>
      </c>
    </row>
    <row r="40" spans="1:14" x14ac:dyDescent="0.35">
      <c r="A40" s="6" t="s">
        <v>433</v>
      </c>
      <c r="B40" s="6" t="s">
        <v>371</v>
      </c>
      <c r="C40" t="s">
        <v>354</v>
      </c>
      <c r="D40">
        <v>2025</v>
      </c>
      <c r="E40" t="s">
        <v>375</v>
      </c>
      <c r="F40" s="26"/>
      <c r="G40" s="26"/>
      <c r="H40" s="26"/>
      <c r="I40" s="26"/>
      <c r="J40" s="26"/>
      <c r="K40" s="10"/>
      <c r="L40" s="10"/>
      <c r="M40" s="10"/>
      <c r="N40" s="51" t="e">
        <f>(Table210[[#This Row],[CapEx Required ($)]]-Table210[[#This Row],[Incentive ($)]])/Table210[[#This Row],[Annual OpEx Savings ($)]]</f>
        <v>#DIV/0!</v>
      </c>
    </row>
    <row r="41" spans="1:14" ht="29" x14ac:dyDescent="0.35">
      <c r="A41" s="6" t="s">
        <v>434</v>
      </c>
      <c r="B41" s="6" t="s">
        <v>371</v>
      </c>
      <c r="C41" t="s">
        <v>354</v>
      </c>
      <c r="D41">
        <v>2025</v>
      </c>
      <c r="E41" t="s">
        <v>375</v>
      </c>
      <c r="F41" s="26">
        <f>Table210[[#This Row],[Scope 2]]</f>
        <v>20</v>
      </c>
      <c r="G41" s="26"/>
      <c r="H41" s="26">
        <v>20</v>
      </c>
      <c r="I41" s="26"/>
      <c r="J41" s="26">
        <v>52.3</v>
      </c>
      <c r="K41" s="10"/>
      <c r="L41" s="10"/>
      <c r="M41" s="10">
        <v>3800</v>
      </c>
      <c r="N41" s="51">
        <f>(Table210[[#This Row],[CapEx Required ($)]]-Table210[[#This Row],[Incentive ($)]])/Table210[[#This Row],[Annual OpEx Savings ($)]]</f>
        <v>0</v>
      </c>
    </row>
    <row r="42" spans="1:14" x14ac:dyDescent="0.35">
      <c r="A42" s="48" t="s">
        <v>678</v>
      </c>
      <c r="B42" s="6" t="s">
        <v>371</v>
      </c>
      <c r="C42" t="s">
        <v>354</v>
      </c>
      <c r="D42">
        <v>2025</v>
      </c>
      <c r="E42" t="s">
        <v>375</v>
      </c>
      <c r="F42" s="26"/>
      <c r="G42" s="26"/>
      <c r="H42" s="26"/>
      <c r="I42" s="26"/>
      <c r="J42" s="81"/>
      <c r="K42" s="10"/>
      <c r="L42" s="10"/>
      <c r="M42" s="10"/>
      <c r="N42" s="51" t="e">
        <f>(Table210[[#This Row],[CapEx Required ($)]]-Table210[[#This Row],[Incentive ($)]])/Table210[[#This Row],[Annual OpEx Savings ($)]]</f>
        <v>#DIV/0!</v>
      </c>
    </row>
    <row r="43" spans="1:14" x14ac:dyDescent="0.35">
      <c r="A43" s="48" t="s">
        <v>679</v>
      </c>
      <c r="B43" s="6" t="s">
        <v>371</v>
      </c>
      <c r="C43" t="s">
        <v>354</v>
      </c>
      <c r="D43">
        <v>2025</v>
      </c>
      <c r="E43" t="s">
        <v>380</v>
      </c>
      <c r="F43" s="26"/>
      <c r="G43" s="26"/>
      <c r="H43" s="26"/>
      <c r="I43" s="26">
        <v>32</v>
      </c>
      <c r="J43" s="81"/>
      <c r="K43" s="10"/>
      <c r="L43" s="10"/>
      <c r="M43" s="10"/>
      <c r="N43" s="51" t="e">
        <f>(Table210[[#This Row],[CapEx Required ($)]]-Table210[[#This Row],[Incentive ($)]])/Table210[[#This Row],[Annual OpEx Savings ($)]]</f>
        <v>#DIV/0!</v>
      </c>
    </row>
    <row r="44" spans="1:14" x14ac:dyDescent="0.35">
      <c r="A44" s="48" t="s">
        <v>680</v>
      </c>
      <c r="B44" s="6" t="s">
        <v>371</v>
      </c>
      <c r="F44" s="26">
        <f>63671-(63671*0.0372)</f>
        <v>61302.438800000004</v>
      </c>
      <c r="G44" s="26"/>
      <c r="H44" s="26"/>
      <c r="I44" s="26"/>
      <c r="J44" s="81"/>
      <c r="K44" s="10"/>
      <c r="L44" s="10"/>
      <c r="M44" s="10"/>
      <c r="N44" s="51" t="e">
        <f>(Table210[[#This Row],[CapEx Required ($)]]-Table210[[#This Row],[Incentive ($)]])/Table210[[#This Row],[Annual OpEx Savings ($)]]</f>
        <v>#DIV/0!</v>
      </c>
    </row>
    <row r="45" spans="1:14" x14ac:dyDescent="0.35">
      <c r="A45" s="6" t="s">
        <v>435</v>
      </c>
      <c r="B45" s="6" t="s">
        <v>371</v>
      </c>
      <c r="C45" t="s">
        <v>354</v>
      </c>
      <c r="D45">
        <v>2025</v>
      </c>
      <c r="E45" t="s">
        <v>375</v>
      </c>
      <c r="F45" s="26">
        <f>Table210[[#This Row],[Scope 2]]</f>
        <v>70</v>
      </c>
      <c r="G45" s="26"/>
      <c r="H45" s="26">
        <v>70</v>
      </c>
      <c r="I45" s="26" t="s">
        <v>376</v>
      </c>
      <c r="J45" s="26">
        <v>182.8</v>
      </c>
      <c r="K45" s="10"/>
      <c r="L45" s="10"/>
      <c r="M45" s="10">
        <v>13231</v>
      </c>
      <c r="N45" s="51">
        <f>(Table210[[#This Row],[CapEx Required ($)]]-Table210[[#This Row],[Incentive ($)]])/Table210[[#This Row],[Annual OpEx Savings ($)]]</f>
        <v>0</v>
      </c>
    </row>
    <row r="46" spans="1:14" x14ac:dyDescent="0.35">
      <c r="A46" s="6" t="s">
        <v>436</v>
      </c>
      <c r="B46" s="6" t="s">
        <v>371</v>
      </c>
      <c r="C46" t="s">
        <v>351</v>
      </c>
      <c r="D46">
        <v>2026</v>
      </c>
      <c r="E46" t="s">
        <v>375</v>
      </c>
      <c r="F46" s="26"/>
      <c r="G46" s="26"/>
      <c r="H46" s="26"/>
      <c r="I46" s="26"/>
      <c r="J46" s="81"/>
      <c r="K46" s="10"/>
      <c r="L46" s="10"/>
      <c r="M46" s="10"/>
      <c r="N46" t="e">
        <f>(Table210[[#This Row],[CapEx Required ($)]]-Table210[[#This Row],[Incentive ($)]])/Table210[[#This Row],[Annual OpEx Savings ($)]]</f>
        <v>#DIV/0!</v>
      </c>
    </row>
    <row r="47" spans="1:14" x14ac:dyDescent="0.35">
      <c r="A47" s="6" t="s">
        <v>437</v>
      </c>
      <c r="B47" s="6" t="s">
        <v>374</v>
      </c>
      <c r="C47" t="s">
        <v>349</v>
      </c>
      <c r="D47">
        <v>2026</v>
      </c>
      <c r="E47" t="s">
        <v>375</v>
      </c>
      <c r="F47" s="26"/>
      <c r="G47" s="26"/>
      <c r="H47" s="26"/>
      <c r="I47" s="26"/>
      <c r="J47" s="81"/>
      <c r="K47" s="10"/>
      <c r="L47" s="10"/>
      <c r="M47" s="10"/>
      <c r="N47" t="e">
        <f>(Table210[[#This Row],[CapEx Required ($)]]-Table210[[#This Row],[Incentive ($)]])/Table210[[#This Row],[Annual OpEx Savings ($)]]</f>
        <v>#DIV/0!</v>
      </c>
    </row>
    <row r="48" spans="1:14" x14ac:dyDescent="0.35">
      <c r="A48" s="6" t="s">
        <v>438</v>
      </c>
      <c r="B48" s="6" t="s">
        <v>374</v>
      </c>
      <c r="C48" t="s">
        <v>349</v>
      </c>
      <c r="D48">
        <v>2026</v>
      </c>
      <c r="E48" t="s">
        <v>375</v>
      </c>
      <c r="F48" s="26"/>
      <c r="G48" s="26"/>
      <c r="H48" s="26"/>
      <c r="I48" s="26"/>
      <c r="J48" s="81"/>
      <c r="K48" s="10"/>
      <c r="L48" s="10"/>
      <c r="M48" s="10"/>
      <c r="N48" t="e">
        <f>(Table210[[#This Row],[CapEx Required ($)]]-Table210[[#This Row],[Incentive ($)]])/Table210[[#This Row],[Annual OpEx Savings ($)]]</f>
        <v>#DIV/0!</v>
      </c>
    </row>
    <row r="49" spans="1:14" x14ac:dyDescent="0.35">
      <c r="A49" s="6" t="s">
        <v>439</v>
      </c>
      <c r="B49" s="6" t="s">
        <v>371</v>
      </c>
      <c r="C49" t="s">
        <v>349</v>
      </c>
      <c r="D49">
        <v>2028</v>
      </c>
      <c r="E49" t="s">
        <v>375</v>
      </c>
      <c r="F49" s="26">
        <f>Table210[[#This Row],[Scope 1]]</f>
        <v>156</v>
      </c>
      <c r="G49" s="26">
        <v>156</v>
      </c>
      <c r="H49" s="26"/>
      <c r="I49" s="26"/>
      <c r="J49" s="81"/>
      <c r="K49" s="10">
        <v>0</v>
      </c>
      <c r="L49" s="10">
        <v>12000</v>
      </c>
      <c r="M49" s="10">
        <v>15582</v>
      </c>
      <c r="N49">
        <f>(Table210[[#This Row],[CapEx Required ($)]]-Table210[[#This Row],[Incentive ($)]])/Table210[[#This Row],[Annual OpEx Savings ($)]]</f>
        <v>0.77011936850211782</v>
      </c>
    </row>
    <row r="50" spans="1:14" ht="29" x14ac:dyDescent="0.35">
      <c r="A50" s="6" t="s">
        <v>440</v>
      </c>
      <c r="B50" s="6" t="s">
        <v>371</v>
      </c>
      <c r="C50" t="s">
        <v>349</v>
      </c>
      <c r="D50">
        <v>2028</v>
      </c>
      <c r="E50" t="s">
        <v>375</v>
      </c>
      <c r="F50" s="26">
        <f>Table210[[#This Row],[Scope 2]]</f>
        <v>20</v>
      </c>
      <c r="G50" s="26"/>
      <c r="H50" s="26">
        <v>20</v>
      </c>
      <c r="I50" s="26"/>
      <c r="J50" s="81">
        <v>53</v>
      </c>
      <c r="K50" s="10">
        <v>6328</v>
      </c>
      <c r="L50" s="10">
        <v>80000</v>
      </c>
      <c r="M50" s="10">
        <v>3818</v>
      </c>
      <c r="N50">
        <f>(Table210[[#This Row],[CapEx Required ($)]]-Table210[[#This Row],[Incentive ($)]])/Table210[[#This Row],[Annual OpEx Savings ($)]]</f>
        <v>19.295966474594028</v>
      </c>
    </row>
    <row r="51" spans="1:14" ht="29" x14ac:dyDescent="0.35">
      <c r="A51" s="6" t="s">
        <v>441</v>
      </c>
      <c r="B51" s="6" t="s">
        <v>371</v>
      </c>
      <c r="C51" t="s">
        <v>349</v>
      </c>
      <c r="D51">
        <v>2028</v>
      </c>
      <c r="E51" t="s">
        <v>375</v>
      </c>
      <c r="F51" s="26">
        <f>Table210[[#This Row],[Scope 2]]</f>
        <v>6</v>
      </c>
      <c r="G51" s="26"/>
      <c r="H51" s="26">
        <v>6</v>
      </c>
      <c r="I51" s="26"/>
      <c r="J51" s="81">
        <v>16</v>
      </c>
      <c r="K51" s="10">
        <v>1850</v>
      </c>
      <c r="L51" s="10">
        <v>3000</v>
      </c>
      <c r="M51" s="10">
        <v>1160</v>
      </c>
      <c r="N51">
        <f>(Table210[[#This Row],[CapEx Required ($)]]-Table210[[#This Row],[Incentive ($)]])/Table210[[#This Row],[Annual OpEx Savings ($)]]</f>
        <v>0.99137931034482762</v>
      </c>
    </row>
    <row r="52" spans="1:14" x14ac:dyDescent="0.35">
      <c r="A52" s="6" t="s">
        <v>442</v>
      </c>
      <c r="B52" s="6" t="s">
        <v>371</v>
      </c>
      <c r="C52" t="s">
        <v>349</v>
      </c>
      <c r="D52">
        <v>2027</v>
      </c>
      <c r="E52" t="s">
        <v>375</v>
      </c>
      <c r="F52" s="26">
        <f>58</f>
        <v>58</v>
      </c>
      <c r="G52" s="26"/>
      <c r="H52" s="26">
        <v>58</v>
      </c>
      <c r="I52" s="26"/>
      <c r="J52" s="81">
        <v>152</v>
      </c>
      <c r="K52" s="10">
        <v>8000</v>
      </c>
      <c r="L52" s="10">
        <v>36000</v>
      </c>
      <c r="M52" s="10">
        <v>10977</v>
      </c>
      <c r="N52">
        <f>(Table210[[#This Row],[CapEx Required ($)]]-Table210[[#This Row],[Incentive ($)]])/Table210[[#This Row],[Annual OpEx Savings ($)]]</f>
        <v>2.5507880112963468</v>
      </c>
    </row>
    <row r="53" spans="1:14" ht="29" x14ac:dyDescent="0.35">
      <c r="A53" s="6" t="s">
        <v>443</v>
      </c>
      <c r="B53" s="6" t="s">
        <v>371</v>
      </c>
      <c r="C53" t="s">
        <v>349</v>
      </c>
      <c r="D53">
        <v>2028</v>
      </c>
      <c r="E53" t="s">
        <v>375</v>
      </c>
      <c r="F53" s="26">
        <f>Table210[[#This Row],[Scope 1]]</f>
        <v>523</v>
      </c>
      <c r="G53" s="26">
        <v>523</v>
      </c>
      <c r="H53" s="26"/>
      <c r="I53" s="26" t="s">
        <v>376</v>
      </c>
      <c r="J53" s="81">
        <v>288</v>
      </c>
      <c r="K53" s="10">
        <v>0</v>
      </c>
      <c r="L53" s="10">
        <v>60000</v>
      </c>
      <c r="M53" s="10">
        <v>52231</v>
      </c>
      <c r="N53">
        <f>(Table210[[#This Row],[CapEx Required ($)]]-Table210[[#This Row],[Incentive ($)]])/Table210[[#This Row],[Annual OpEx Savings ($)]]</f>
        <v>1.1487430836093508</v>
      </c>
    </row>
    <row r="54" spans="1:14" x14ac:dyDescent="0.35">
      <c r="A54" s="6" t="s">
        <v>444</v>
      </c>
      <c r="B54" s="6" t="s">
        <v>371</v>
      </c>
      <c r="C54" t="s">
        <v>351</v>
      </c>
      <c r="D54">
        <v>2026</v>
      </c>
      <c r="E54" t="s">
        <v>375</v>
      </c>
      <c r="F54" s="26">
        <v>-1690</v>
      </c>
      <c r="G54" s="26">
        <v>-1690</v>
      </c>
      <c r="H54" s="26">
        <v>0</v>
      </c>
      <c r="I54" s="26"/>
      <c r="J54" s="81"/>
      <c r="K54" s="10">
        <v>0</v>
      </c>
      <c r="L54" s="10">
        <v>1000000</v>
      </c>
      <c r="M54" s="10"/>
      <c r="N54" t="e">
        <f>(Table210[[#This Row],[CapEx Required ($)]]-Table210[[#This Row],[Incentive ($)]])/Table210[[#This Row],[Annual OpEx Savings ($)]]</f>
        <v>#DIV/0!</v>
      </c>
    </row>
    <row r="55" spans="1:14" x14ac:dyDescent="0.35">
      <c r="A55" s="6" t="s">
        <v>445</v>
      </c>
      <c r="B55" s="6" t="s">
        <v>426</v>
      </c>
      <c r="C55" t="s">
        <v>351</v>
      </c>
      <c r="D55">
        <v>2026</v>
      </c>
      <c r="E55" t="s">
        <v>375</v>
      </c>
      <c r="F55" s="26">
        <v>560</v>
      </c>
      <c r="G55" s="26">
        <v>0</v>
      </c>
      <c r="H55" s="26">
        <v>560</v>
      </c>
      <c r="I55" s="26"/>
      <c r="J55" s="81">
        <v>1800</v>
      </c>
      <c r="K55" s="10"/>
      <c r="L55" s="10"/>
      <c r="M55" s="10"/>
      <c r="N55" t="e">
        <f>(Table210[[#This Row],[CapEx Required ($)]]-Table210[[#This Row],[Incentive ($)]])/Table210[[#This Row],[Annual OpEx Savings ($)]]</f>
        <v>#DIV/0!</v>
      </c>
    </row>
    <row r="56" spans="1:14" x14ac:dyDescent="0.35">
      <c r="A56" s="6" t="s">
        <v>427</v>
      </c>
      <c r="B56" s="6" t="s">
        <v>379</v>
      </c>
      <c r="C56" t="s">
        <v>351</v>
      </c>
      <c r="D56">
        <v>2026</v>
      </c>
      <c r="E56" t="s">
        <v>375</v>
      </c>
      <c r="F56" s="26">
        <f>0.415*600</f>
        <v>249</v>
      </c>
      <c r="G56" s="26">
        <v>0</v>
      </c>
      <c r="H56" s="26">
        <f>0.415*600</f>
        <v>249</v>
      </c>
      <c r="I56" s="26"/>
      <c r="J56" s="81">
        <v>600</v>
      </c>
      <c r="K56" s="10"/>
      <c r="L56" s="10"/>
      <c r="M56" s="10"/>
      <c r="N56" t="e">
        <f>(Table210[[#This Row],[CapEx Required ($)]]-Table210[[#This Row],[Incentive ($)]])/Table210[[#This Row],[Annual OpEx Savings ($)]]</f>
        <v>#DIV/0!</v>
      </c>
    </row>
    <row r="57" spans="1:14" x14ac:dyDescent="0.35">
      <c r="A57" s="6" t="s">
        <v>446</v>
      </c>
      <c r="B57" s="6" t="s">
        <v>379</v>
      </c>
      <c r="C57" t="s">
        <v>349</v>
      </c>
      <c r="D57">
        <v>2027</v>
      </c>
      <c r="E57" t="s">
        <v>372</v>
      </c>
      <c r="F57" s="26"/>
      <c r="G57" s="26">
        <v>0</v>
      </c>
      <c r="H57" s="26"/>
      <c r="I57" s="26"/>
      <c r="J57" s="81">
        <v>400</v>
      </c>
      <c r="K57" s="10">
        <v>480000</v>
      </c>
      <c r="L57" s="10">
        <v>550000</v>
      </c>
      <c r="M57" s="10">
        <v>40000</v>
      </c>
      <c r="N57">
        <f>(Table210[[#This Row],[CapEx Required ($)]]-Table210[[#This Row],[Incentive ($)]])/Table210[[#This Row],[Annual OpEx Savings ($)]]</f>
        <v>1.75</v>
      </c>
    </row>
    <row r="58" spans="1:14" x14ac:dyDescent="0.35">
      <c r="A58" s="6" t="s">
        <v>447</v>
      </c>
      <c r="B58" s="6" t="s">
        <v>379</v>
      </c>
      <c r="C58" t="s">
        <v>349</v>
      </c>
      <c r="D58">
        <v>2028</v>
      </c>
      <c r="E58" t="s">
        <v>372</v>
      </c>
      <c r="F58" s="26"/>
      <c r="G58" s="26">
        <v>0</v>
      </c>
      <c r="H58" s="26"/>
      <c r="I58" s="26">
        <v>711</v>
      </c>
      <c r="J58" s="81">
        <v>400</v>
      </c>
      <c r="K58" s="10">
        <v>480000</v>
      </c>
      <c r="L58" s="10">
        <v>550000</v>
      </c>
      <c r="M58" s="10">
        <v>40000</v>
      </c>
      <c r="N58">
        <f>(Table210[[#This Row],[CapEx Required ($)]]-Table210[[#This Row],[Incentive ($)]])/Table210[[#This Row],[Annual OpEx Savings ($)]]</f>
        <v>1.75</v>
      </c>
    </row>
    <row r="59" spans="1:14" x14ac:dyDescent="0.35">
      <c r="A59" s="6" t="s">
        <v>448</v>
      </c>
      <c r="B59" s="6" t="s">
        <v>382</v>
      </c>
      <c r="C59" t="s">
        <v>351</v>
      </c>
      <c r="D59">
        <v>2026</v>
      </c>
      <c r="E59" t="s">
        <v>375</v>
      </c>
      <c r="F59" s="26">
        <f>Table210[[#This Row],[Scope 2]]</f>
        <v>59</v>
      </c>
      <c r="G59" s="26"/>
      <c r="H59" s="26">
        <v>59</v>
      </c>
      <c r="I59" s="26" t="s">
        <v>376</v>
      </c>
      <c r="J59" s="81">
        <v>330</v>
      </c>
      <c r="K59" s="10">
        <v>0</v>
      </c>
      <c r="L59" s="10">
        <v>0</v>
      </c>
      <c r="M59" s="10">
        <v>25000</v>
      </c>
      <c r="N59">
        <f>(Table210[[#This Row],[CapEx Required ($)]]-Table210[[#This Row],[Incentive ($)]])/Table210[[#This Row],[Annual OpEx Savings ($)]]</f>
        <v>0</v>
      </c>
    </row>
    <row r="60" spans="1:14" ht="43.5" x14ac:dyDescent="0.35">
      <c r="A60" s="6" t="s">
        <v>449</v>
      </c>
      <c r="B60" s="6" t="s">
        <v>382</v>
      </c>
      <c r="C60" t="s">
        <v>351</v>
      </c>
      <c r="D60">
        <v>2027</v>
      </c>
      <c r="E60" t="s">
        <v>375</v>
      </c>
      <c r="F60" s="26">
        <f>Table210[[#This Row],[Scope 2]]</f>
        <v>276.25599999999997</v>
      </c>
      <c r="G60" s="26">
        <v>0</v>
      </c>
      <c r="H60" s="26">
        <f>((178)*Table210[[#This Row],[Energy Savings (MWh)]])/1000</f>
        <v>276.25599999999997</v>
      </c>
      <c r="I60" s="76" t="s">
        <v>376</v>
      </c>
      <c r="J60" s="81">
        <v>1552</v>
      </c>
      <c r="K60" s="10">
        <v>0</v>
      </c>
      <c r="L60" s="10">
        <v>100000</v>
      </c>
      <c r="M60" s="10">
        <v>100000</v>
      </c>
      <c r="N60" s="51">
        <f>(Table210[[#This Row],[CapEx Required ($)]]-Table210[[#This Row],[Incentive ($)]])/Table210[[#This Row],[Annual OpEx Savings ($)]]</f>
        <v>1</v>
      </c>
    </row>
    <row r="61" spans="1:14" x14ac:dyDescent="0.35">
      <c r="A61" s="6" t="s">
        <v>450</v>
      </c>
      <c r="B61" s="6" t="s">
        <v>374</v>
      </c>
      <c r="C61" t="s">
        <v>354</v>
      </c>
      <c r="D61">
        <v>2025</v>
      </c>
      <c r="E61" t="s">
        <v>375</v>
      </c>
      <c r="F61" s="26">
        <f>Table210[[#This Row],[Scope 1]]</f>
        <v>450</v>
      </c>
      <c r="G61" s="26">
        <v>450</v>
      </c>
      <c r="H61" s="26"/>
      <c r="I61" s="76" t="s">
        <v>376</v>
      </c>
      <c r="J61" s="81">
        <v>2483</v>
      </c>
      <c r="K61" s="10">
        <v>9365</v>
      </c>
      <c r="L61" s="10"/>
      <c r="M61" s="10">
        <v>59582</v>
      </c>
      <c r="N61" s="51">
        <f>(Table210[[#This Row],[CapEx Required ($)]]-Table210[[#This Row],[Incentive ($)]])/Table210[[#This Row],[Annual OpEx Savings ($)]]</f>
        <v>-0.15717834245241852</v>
      </c>
    </row>
    <row r="62" spans="1:14" ht="29" x14ac:dyDescent="0.35">
      <c r="A62" s="6" t="s">
        <v>687</v>
      </c>
      <c r="B62" s="6" t="s">
        <v>374</v>
      </c>
      <c r="C62" t="s">
        <v>354</v>
      </c>
      <c r="D62">
        <v>2026</v>
      </c>
      <c r="E62" t="s">
        <v>375</v>
      </c>
      <c r="F62" s="26">
        <f>Table210[[#This Row],[Scope 1]]</f>
        <v>173</v>
      </c>
      <c r="G62" s="26">
        <v>173</v>
      </c>
      <c r="H62" s="26"/>
      <c r="I62" s="26" t="s">
        <v>376</v>
      </c>
      <c r="J62" s="81">
        <v>952</v>
      </c>
      <c r="K62" s="10">
        <v>110527</v>
      </c>
      <c r="L62" s="10"/>
      <c r="M62" s="10">
        <v>40000</v>
      </c>
      <c r="N62">
        <f>(Table210[[#This Row],[CapEx Required ($)]]-Table210[[#This Row],[Incentive ($)]])/Table210[[#This Row],[Annual OpEx Savings ($)]]</f>
        <v>-2.7631749999999999</v>
      </c>
    </row>
    <row r="63" spans="1:14" ht="29" x14ac:dyDescent="0.35">
      <c r="A63" s="6" t="s">
        <v>688</v>
      </c>
      <c r="B63" s="6" t="s">
        <v>374</v>
      </c>
      <c r="C63" t="s">
        <v>351</v>
      </c>
      <c r="D63">
        <v>2026</v>
      </c>
      <c r="E63" t="s">
        <v>684</v>
      </c>
      <c r="F63" s="26">
        <v>160</v>
      </c>
      <c r="G63" s="26">
        <v>160</v>
      </c>
      <c r="H63" s="26"/>
      <c r="I63" s="26">
        <v>1</v>
      </c>
      <c r="J63" s="81">
        <v>790</v>
      </c>
      <c r="K63" s="10">
        <v>93237</v>
      </c>
      <c r="L63" s="10"/>
      <c r="M63" s="10">
        <v>34000</v>
      </c>
      <c r="N63">
        <f>(Table210[[#This Row],[CapEx Required ($)]]-Table210[[#This Row],[Incentive ($)]])/Table210[[#This Row],[Annual OpEx Savings ($)]]</f>
        <v>-2.742264705882353</v>
      </c>
    </row>
    <row r="64" spans="1:14" x14ac:dyDescent="0.35">
      <c r="A64" s="6" t="s">
        <v>685</v>
      </c>
      <c r="B64" s="6" t="s">
        <v>374</v>
      </c>
      <c r="C64" t="s">
        <v>351</v>
      </c>
      <c r="D64">
        <v>2026</v>
      </c>
      <c r="E64" t="s">
        <v>375</v>
      </c>
      <c r="F64" s="26"/>
      <c r="G64" s="26"/>
      <c r="H64" s="26"/>
      <c r="I64" s="26"/>
      <c r="J64" s="81"/>
      <c r="K64" s="10"/>
      <c r="L64" s="10"/>
      <c r="M64" s="10"/>
      <c r="N64" t="e">
        <f>(Table210[[#This Row],[CapEx Required ($)]]-Table210[[#This Row],[Incentive ($)]])/Table210[[#This Row],[Annual OpEx Savings ($)]]</f>
        <v>#DIV/0!</v>
      </c>
    </row>
    <row r="65" spans="1:14" x14ac:dyDescent="0.35">
      <c r="A65" s="6" t="s">
        <v>686</v>
      </c>
      <c r="B65" s="6" t="s">
        <v>374</v>
      </c>
      <c r="C65" t="s">
        <v>351</v>
      </c>
      <c r="D65">
        <v>2026</v>
      </c>
      <c r="E65" t="s">
        <v>375</v>
      </c>
      <c r="F65" s="26"/>
      <c r="G65" s="26"/>
      <c r="H65" s="26"/>
      <c r="I65" s="26"/>
      <c r="J65" s="81"/>
      <c r="K65" s="10"/>
      <c r="L65" s="10"/>
      <c r="M65" s="10"/>
      <c r="N65" t="e">
        <f>(Table210[[#This Row],[CapEx Required ($)]]-Table210[[#This Row],[Incentive ($)]])/Table210[[#This Row],[Annual OpEx Savings ($)]]</f>
        <v>#DIV/0!</v>
      </c>
    </row>
    <row r="66" spans="1:14" x14ac:dyDescent="0.35">
      <c r="A66" s="6" t="s">
        <v>689</v>
      </c>
      <c r="B66" s="6" t="s">
        <v>374</v>
      </c>
      <c r="C66" t="s">
        <v>349</v>
      </c>
      <c r="D66">
        <v>2026</v>
      </c>
      <c r="E66" t="s">
        <v>375</v>
      </c>
      <c r="F66" s="26"/>
      <c r="G66" s="26"/>
      <c r="H66" s="26"/>
      <c r="I66" s="26"/>
      <c r="J66" s="81"/>
      <c r="K66" s="10"/>
      <c r="L66" s="10"/>
      <c r="M66" s="10"/>
      <c r="N66" t="e">
        <f>(Table210[[#This Row],[CapEx Required ($)]]-Table210[[#This Row],[Incentive ($)]])/Table210[[#This Row],[Annual OpEx Savings ($)]]</f>
        <v>#DIV/0!</v>
      </c>
    </row>
    <row r="67" spans="1:14" x14ac:dyDescent="0.35">
      <c r="A67" s="6" t="s">
        <v>422</v>
      </c>
      <c r="B67" s="6" t="s">
        <v>374</v>
      </c>
      <c r="C67" t="s">
        <v>349</v>
      </c>
      <c r="D67">
        <v>2026</v>
      </c>
      <c r="E67" t="s">
        <v>375</v>
      </c>
      <c r="F67" s="26"/>
      <c r="G67" s="26"/>
      <c r="H67" s="26"/>
      <c r="I67" s="26"/>
      <c r="J67" s="81"/>
      <c r="K67" s="10"/>
      <c r="L67" s="10"/>
      <c r="M67" s="10"/>
      <c r="N67" t="e">
        <f>(Table210[[#This Row],[CapEx Required ($)]]-Table210[[#This Row],[Incentive ($)]])/Table210[[#This Row],[Annual OpEx Savings ($)]]</f>
        <v>#DIV/0!</v>
      </c>
    </row>
  </sheetData>
  <mergeCells count="3">
    <mergeCell ref="A9:D9"/>
    <mergeCell ref="E9:J9"/>
    <mergeCell ref="K9:N9"/>
  </mergeCells>
  <phoneticPr fontId="18" type="noConversion"/>
  <dataValidations count="2">
    <dataValidation type="list" allowBlank="1" showInputMessage="1" showErrorMessage="1" sqref="C11:C67" xr:uid="{CB46987C-3FAF-44F9-9161-E2008EA1EA7F}">
      <formula1>$A$2:$A$6</formula1>
    </dataValidation>
    <dataValidation allowBlank="1" showInputMessage="1" sqref="D11:D67" xr:uid="{44D0794C-2B0B-4B48-9C70-0C54BB1B9CD5}"/>
  </dataValidations>
  <pageMargins left="0.7" right="0.7" top="0.75" bottom="0.75"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74B1E-E39A-4C28-BE52-4F814C2AC973}">
  <dimension ref="A2:S74"/>
  <sheetViews>
    <sheetView topLeftCell="A39" zoomScaleNormal="100" workbookViewId="0">
      <selection activeCell="N33" sqref="N33"/>
    </sheetView>
  </sheetViews>
  <sheetFormatPr defaultRowHeight="14.5" x14ac:dyDescent="0.35"/>
  <cols>
    <col min="1" max="1" width="12.81640625" bestFit="1" customWidth="1"/>
    <col min="2" max="2" width="28.453125" bestFit="1" customWidth="1"/>
    <col min="3" max="3" width="24.1796875" bestFit="1" customWidth="1"/>
    <col min="4" max="4" width="15.1796875" customWidth="1"/>
    <col min="5" max="5" width="22.7265625" customWidth="1"/>
    <col min="6" max="6" width="12.81640625" customWidth="1"/>
    <col min="7" max="7" width="6.81640625" bestFit="1" customWidth="1"/>
    <col min="8" max="8" width="10.81640625" bestFit="1" customWidth="1"/>
    <col min="9" max="9" width="15.26953125" customWidth="1"/>
    <col min="10" max="10" width="16.7265625" bestFit="1" customWidth="1"/>
    <col min="11" max="11" width="22.81640625" bestFit="1" customWidth="1"/>
    <col min="12" max="12" width="15.7265625" customWidth="1"/>
    <col min="13" max="13" width="14.54296875" bestFit="1" customWidth="1"/>
    <col min="14" max="14" width="14.54296875" customWidth="1"/>
    <col min="15" max="15" width="20.81640625" bestFit="1" customWidth="1"/>
    <col min="16" max="16" width="31.54296875" bestFit="1" customWidth="1"/>
  </cols>
  <sheetData>
    <row r="2" spans="1:19" x14ac:dyDescent="0.35">
      <c r="S2" t="s">
        <v>451</v>
      </c>
    </row>
    <row r="3" spans="1:19" ht="15.75" customHeight="1" x14ac:dyDescent="0.35">
      <c r="A3" s="82" t="s">
        <v>343</v>
      </c>
      <c r="B3" t="s">
        <v>452</v>
      </c>
      <c r="C3" t="s">
        <v>453</v>
      </c>
    </row>
    <row r="4" spans="1:19" x14ac:dyDescent="0.35">
      <c r="A4" s="83">
        <v>2024</v>
      </c>
      <c r="B4">
        <v>1531.2698639999999</v>
      </c>
      <c r="C4">
        <v>0</v>
      </c>
    </row>
    <row r="5" spans="1:19" x14ac:dyDescent="0.35">
      <c r="A5" s="83">
        <v>2025</v>
      </c>
      <c r="B5">
        <v>4392.6623199999995</v>
      </c>
      <c r="C5">
        <v>11.751549199999999</v>
      </c>
    </row>
    <row r="6" spans="1:19" x14ac:dyDescent="0.35">
      <c r="A6" s="83">
        <v>2026</v>
      </c>
      <c r="B6">
        <v>692</v>
      </c>
      <c r="C6">
        <v>426.78100000000001</v>
      </c>
    </row>
    <row r="7" spans="1:19" x14ac:dyDescent="0.35">
      <c r="A7" s="83">
        <v>2027</v>
      </c>
      <c r="B7">
        <v>334.25599999999997</v>
      </c>
      <c r="C7">
        <v>0</v>
      </c>
    </row>
    <row r="8" spans="1:19" ht="15.75" customHeight="1" x14ac:dyDescent="0.35">
      <c r="A8" s="83">
        <v>2028</v>
      </c>
      <c r="B8">
        <v>705</v>
      </c>
      <c r="C8">
        <v>711</v>
      </c>
    </row>
    <row r="9" spans="1:19" x14ac:dyDescent="0.35">
      <c r="A9" s="83" t="s">
        <v>345</v>
      </c>
      <c r="B9">
        <v>7655.1881839999996</v>
      </c>
      <c r="C9">
        <v>1149.5325491999999</v>
      </c>
    </row>
    <row r="10" spans="1:19" x14ac:dyDescent="0.35">
      <c r="A10" s="83"/>
    </row>
    <row r="11" spans="1:19" x14ac:dyDescent="0.35">
      <c r="A11" s="83"/>
    </row>
    <row r="13" spans="1:19" x14ac:dyDescent="0.35">
      <c r="A13" t="s">
        <v>361</v>
      </c>
      <c r="B13" t="s">
        <v>454</v>
      </c>
      <c r="C13" t="s">
        <v>455</v>
      </c>
    </row>
    <row r="14" spans="1:19" x14ac:dyDescent="0.35">
      <c r="A14">
        <v>2021</v>
      </c>
      <c r="B14">
        <v>107249</v>
      </c>
      <c r="C14">
        <f t="shared" ref="C14:C23" si="0">$B$14-($B$14*0.2)</f>
        <v>85799.2</v>
      </c>
    </row>
    <row r="15" spans="1:19" x14ac:dyDescent="0.35">
      <c r="A15">
        <v>2022</v>
      </c>
      <c r="B15">
        <v>106088</v>
      </c>
      <c r="C15">
        <f t="shared" si="0"/>
        <v>85799.2</v>
      </c>
    </row>
    <row r="16" spans="1:19" x14ac:dyDescent="0.35">
      <c r="A16">
        <v>2023</v>
      </c>
      <c r="B16">
        <v>88585</v>
      </c>
      <c r="C16">
        <f t="shared" si="0"/>
        <v>85799.2</v>
      </c>
    </row>
    <row r="17" spans="1:5" x14ac:dyDescent="0.35">
      <c r="A17">
        <v>2024</v>
      </c>
      <c r="B17">
        <v>82258</v>
      </c>
      <c r="C17">
        <f t="shared" si="0"/>
        <v>85799.2</v>
      </c>
    </row>
    <row r="18" spans="1:5" x14ac:dyDescent="0.35">
      <c r="A18">
        <v>2025</v>
      </c>
      <c r="B18">
        <f>B17-GETPIVOTDATA("GHG Savings (MT CO2e)",$A$3,"Year",2025)+10000</f>
        <v>87865.337679999997</v>
      </c>
      <c r="C18">
        <f t="shared" si="0"/>
        <v>85799.2</v>
      </c>
    </row>
    <row r="19" spans="1:5" x14ac:dyDescent="0.35">
      <c r="A19">
        <v>2026</v>
      </c>
      <c r="B19">
        <f>B18-GETPIVOTDATA("GHG Savings (MT CO2e)",$A$3,"Year",2026)</f>
        <v>87173.337679999997</v>
      </c>
      <c r="C19">
        <f t="shared" si="0"/>
        <v>85799.2</v>
      </c>
    </row>
    <row r="20" spans="1:5" x14ac:dyDescent="0.35">
      <c r="A20">
        <v>2027</v>
      </c>
      <c r="B20">
        <f>B19-GETPIVOTDATA("GHG Savings (MT CO2e)",$A$3,"Year",2027)</f>
        <v>86839.081680000003</v>
      </c>
      <c r="C20">
        <f t="shared" si="0"/>
        <v>85799.2</v>
      </c>
    </row>
    <row r="21" spans="1:5" x14ac:dyDescent="0.35">
      <c r="A21">
        <v>2028</v>
      </c>
      <c r="B21">
        <f>B20-GETPIVOTDATA("GHG Savings (MT CO2e)",$A$3,"Year",2028)</f>
        <v>86134.081680000003</v>
      </c>
      <c r="C21">
        <f t="shared" si="0"/>
        <v>85799.2</v>
      </c>
    </row>
    <row r="22" spans="1:5" x14ac:dyDescent="0.35">
      <c r="A22">
        <v>2029</v>
      </c>
      <c r="B22">
        <f>B21-GETPIVOTDATA("GHG Savings (MT CO2e)",$A$3,"Year",2028)</f>
        <v>85429.081680000003</v>
      </c>
      <c r="C22">
        <f t="shared" si="0"/>
        <v>85799.2</v>
      </c>
    </row>
    <row r="23" spans="1:5" x14ac:dyDescent="0.35">
      <c r="A23">
        <v>2030</v>
      </c>
      <c r="B23">
        <f>B22-GETPIVOTDATA("GHG Savings (MT CO2e)",$A$3,"Year",2028)</f>
        <v>84724.081680000003</v>
      </c>
      <c r="C23">
        <f t="shared" si="0"/>
        <v>85799.2</v>
      </c>
    </row>
    <row r="26" spans="1:5" x14ac:dyDescent="0.35">
      <c r="A26" t="s">
        <v>361</v>
      </c>
      <c r="B26" t="s">
        <v>456</v>
      </c>
      <c r="C26" t="s">
        <v>681</v>
      </c>
      <c r="D26" t="s">
        <v>682</v>
      </c>
      <c r="E26" t="s">
        <v>683</v>
      </c>
    </row>
    <row r="27" spans="1:5" x14ac:dyDescent="0.35">
      <c r="A27">
        <v>2021</v>
      </c>
      <c r="B27">
        <v>16522</v>
      </c>
      <c r="C27">
        <f t="shared" ref="C27:C36" si="1">$B$27-($B$27*0.25)</f>
        <v>12391.5</v>
      </c>
      <c r="D27">
        <v>8261</v>
      </c>
      <c r="E27">
        <f>Table1013[[#This Row],[Water Use (ML)]]</f>
        <v>16522</v>
      </c>
    </row>
    <row r="28" spans="1:5" x14ac:dyDescent="0.35">
      <c r="A28">
        <v>2022</v>
      </c>
      <c r="B28">
        <v>15202</v>
      </c>
      <c r="C28">
        <f t="shared" si="1"/>
        <v>12391.5</v>
      </c>
      <c r="D28">
        <v>8261</v>
      </c>
      <c r="E28">
        <f>Table1013[[#This Row],[Water Use (ML)]]</f>
        <v>15202</v>
      </c>
    </row>
    <row r="29" spans="1:5" x14ac:dyDescent="0.35">
      <c r="A29">
        <v>2023</v>
      </c>
      <c r="B29">
        <v>14434</v>
      </c>
      <c r="C29">
        <f t="shared" si="1"/>
        <v>12391.5</v>
      </c>
      <c r="D29">
        <v>8261</v>
      </c>
      <c r="E29">
        <f>Table1013[[#This Row],[Water Use (ML)]]</f>
        <v>14434</v>
      </c>
    </row>
    <row r="30" spans="1:5" x14ac:dyDescent="0.35">
      <c r="A30">
        <v>2024</v>
      </c>
      <c r="B30">
        <v>13155</v>
      </c>
      <c r="C30">
        <f t="shared" si="1"/>
        <v>12391.5</v>
      </c>
      <c r="D30">
        <v>8261</v>
      </c>
      <c r="E30">
        <f>Table1013[[#This Row],[Water Use (ML)]]</f>
        <v>13155</v>
      </c>
    </row>
    <row r="31" spans="1:5" x14ac:dyDescent="0.35">
      <c r="A31">
        <v>2025</v>
      </c>
      <c r="B31">
        <f>B30-GETPIVOTDATA("Sum of Water Savings (ML)",$A$3,"Year",2025)</f>
        <v>13143.2484508</v>
      </c>
      <c r="C31">
        <f t="shared" si="1"/>
        <v>12391.5</v>
      </c>
      <c r="D31">
        <v>8261</v>
      </c>
      <c r="E31">
        <f>Table1013[[#This Row],[Water Use (ML)]]</f>
        <v>13143.2484508</v>
      </c>
    </row>
    <row r="32" spans="1:5" x14ac:dyDescent="0.35">
      <c r="A32">
        <v>2026</v>
      </c>
      <c r="B32">
        <f>B31-GETPIVOTDATA("Sum of Water Savings (ML)",$A$3,"Year",2026)</f>
        <v>12716.467450799999</v>
      </c>
      <c r="C32">
        <f t="shared" si="1"/>
        <v>12391.5</v>
      </c>
      <c r="D32">
        <v>8261</v>
      </c>
      <c r="E32">
        <f>Table1013[[#This Row],[Water Use (ML)]]</f>
        <v>12716.467450799999</v>
      </c>
    </row>
    <row r="33" spans="1:17" x14ac:dyDescent="0.35">
      <c r="A33">
        <v>2027</v>
      </c>
      <c r="B33">
        <f>B32-GETPIVOTDATA("Sum of Water Savings (ML)",$A$3,"Year",2027)</f>
        <v>12716.467450799999</v>
      </c>
      <c r="C33">
        <f t="shared" si="1"/>
        <v>12391.5</v>
      </c>
      <c r="D33">
        <v>8261</v>
      </c>
      <c r="E33">
        <f>Table1013[[#This Row],[Water Use (ML)]]-4000</f>
        <v>8716.4674507999989</v>
      </c>
    </row>
    <row r="34" spans="1:17" x14ac:dyDescent="0.35">
      <c r="A34">
        <v>2028</v>
      </c>
      <c r="B34">
        <f>B33-GETPIVOTDATA("Sum of Water Savings (ML)",$A$3,"Year",2028)</f>
        <v>12005.467450799999</v>
      </c>
      <c r="C34">
        <f t="shared" si="1"/>
        <v>12391.5</v>
      </c>
      <c r="D34">
        <v>8261</v>
      </c>
      <c r="E34">
        <v>8716.4674507999989</v>
      </c>
    </row>
    <row r="35" spans="1:17" x14ac:dyDescent="0.35">
      <c r="A35">
        <v>2029</v>
      </c>
      <c r="B35">
        <f t="shared" ref="B35:B36" si="2">B34-GETPIVOTDATA("Sum of Water Savings (ML)",$A$3,"Year",2027)</f>
        <v>12005.467450799999</v>
      </c>
      <c r="C35">
        <f t="shared" si="1"/>
        <v>12391.5</v>
      </c>
      <c r="D35">
        <v>8261</v>
      </c>
      <c r="E35">
        <v>8716.4674507999989</v>
      </c>
    </row>
    <row r="36" spans="1:17" x14ac:dyDescent="0.35">
      <c r="A36">
        <v>2030</v>
      </c>
      <c r="B36">
        <f t="shared" si="2"/>
        <v>12005.467450799999</v>
      </c>
      <c r="C36">
        <f t="shared" si="1"/>
        <v>12391.5</v>
      </c>
      <c r="D36">
        <v>8261</v>
      </c>
      <c r="E36">
        <v>8716.4674507999989</v>
      </c>
    </row>
    <row r="44" spans="1:17" ht="15" customHeight="1" x14ac:dyDescent="0.35">
      <c r="A44" s="84"/>
      <c r="B44" s="195" t="s">
        <v>457</v>
      </c>
      <c r="C44" s="195"/>
      <c r="D44" s="195"/>
      <c r="E44" s="195" t="s">
        <v>458</v>
      </c>
      <c r="F44" s="195"/>
      <c r="G44" s="195"/>
      <c r="H44" s="196" t="s">
        <v>459</v>
      </c>
      <c r="I44" s="197"/>
      <c r="J44" s="197"/>
      <c r="K44" s="197"/>
      <c r="L44" s="197"/>
      <c r="M44" s="197"/>
      <c r="N44" s="197"/>
      <c r="O44" s="197"/>
      <c r="P44" s="198"/>
    </row>
    <row r="45" spans="1:17" x14ac:dyDescent="0.35">
      <c r="A45" s="85"/>
      <c r="B45" s="100" t="s">
        <v>460</v>
      </c>
      <c r="C45" s="100" t="s">
        <v>461</v>
      </c>
      <c r="D45" s="100" t="s">
        <v>462</v>
      </c>
      <c r="E45" s="100" t="s">
        <v>463</v>
      </c>
      <c r="F45" s="100" t="s">
        <v>464</v>
      </c>
      <c r="G45" s="100" t="s">
        <v>465</v>
      </c>
      <c r="H45" s="100" t="s">
        <v>466</v>
      </c>
      <c r="I45" s="101" t="s">
        <v>467</v>
      </c>
      <c r="J45" s="100" t="s">
        <v>468</v>
      </c>
      <c r="K45" s="100" t="s">
        <v>469</v>
      </c>
      <c r="L45" s="99" t="s">
        <v>470</v>
      </c>
      <c r="M45" s="99" t="s">
        <v>471</v>
      </c>
      <c r="N45" s="99" t="s">
        <v>405</v>
      </c>
      <c r="O45" s="99" t="s">
        <v>472</v>
      </c>
      <c r="P45" s="99" t="s">
        <v>473</v>
      </c>
    </row>
    <row r="46" spans="1:17" x14ac:dyDescent="0.35">
      <c r="A46" s="89" t="s">
        <v>474</v>
      </c>
      <c r="B46" s="86" t="s">
        <v>475</v>
      </c>
      <c r="C46" s="86" t="s">
        <v>475</v>
      </c>
      <c r="D46" s="86" t="s">
        <v>475</v>
      </c>
      <c r="E46" s="86" t="s">
        <v>476</v>
      </c>
      <c r="F46" s="86" t="s">
        <v>477</v>
      </c>
      <c r="G46" s="86" t="s">
        <v>478</v>
      </c>
      <c r="H46" s="86" t="s">
        <v>479</v>
      </c>
      <c r="I46" s="87" t="s">
        <v>479</v>
      </c>
      <c r="J46" s="93" t="s">
        <v>479</v>
      </c>
      <c r="K46" s="86" t="s">
        <v>480</v>
      </c>
      <c r="L46" s="92" t="s">
        <v>481</v>
      </c>
      <c r="M46" s="92" t="s">
        <v>482</v>
      </c>
      <c r="N46" s="92" t="s">
        <v>483</v>
      </c>
      <c r="O46" s="92" t="s">
        <v>483</v>
      </c>
      <c r="P46" s="92" t="s">
        <v>483</v>
      </c>
    </row>
    <row r="47" spans="1:17" x14ac:dyDescent="0.35">
      <c r="A47" s="89" t="s">
        <v>484</v>
      </c>
      <c r="B47" s="90">
        <v>685000</v>
      </c>
      <c r="C47" s="90">
        <v>50000</v>
      </c>
      <c r="D47" s="90">
        <v>15000</v>
      </c>
      <c r="E47" s="85">
        <v>40</v>
      </c>
      <c r="F47" s="85">
        <v>117</v>
      </c>
      <c r="G47" s="85">
        <v>1.6</v>
      </c>
      <c r="H47" s="85">
        <v>0.15</v>
      </c>
      <c r="I47" s="88">
        <v>0.14000000000000001</v>
      </c>
      <c r="J47" s="94">
        <v>195</v>
      </c>
      <c r="K47" s="91">
        <v>0.97</v>
      </c>
      <c r="L47" s="96">
        <f>(E47*8760)/1000</f>
        <v>350.4</v>
      </c>
      <c r="M47" s="96">
        <f>G47*8760</f>
        <v>14016</v>
      </c>
      <c r="N47" s="96">
        <f>(53.06*M47)/1000</f>
        <v>743.68896000000007</v>
      </c>
      <c r="O47" s="97">
        <f>(638*L47)*0.000453592</f>
        <v>101.4028502784</v>
      </c>
      <c r="P47" s="98">
        <f>SUM(N47:O47)</f>
        <v>845.09181027840009</v>
      </c>
    </row>
    <row r="48" spans="1:17" x14ac:dyDescent="0.35">
      <c r="A48" s="89" t="s">
        <v>485</v>
      </c>
      <c r="B48" s="90">
        <v>405000</v>
      </c>
      <c r="C48" s="90">
        <v>33000</v>
      </c>
      <c r="D48" s="90">
        <v>12000</v>
      </c>
      <c r="E48" s="85">
        <v>10</v>
      </c>
      <c r="F48" s="85">
        <v>44</v>
      </c>
      <c r="G48" s="85">
        <v>15.6</v>
      </c>
      <c r="H48" s="85">
        <v>3.12</v>
      </c>
      <c r="I48" s="88">
        <v>1.31</v>
      </c>
      <c r="J48" s="95">
        <v>1872</v>
      </c>
      <c r="K48" s="91">
        <v>0.99</v>
      </c>
      <c r="L48" s="96">
        <f t="shared" ref="L48:L49" si="3">(E48*8760)/1000</f>
        <v>87.6</v>
      </c>
      <c r="M48" s="96">
        <f t="shared" ref="M48:M49" si="4">G48*8760</f>
        <v>136656</v>
      </c>
      <c r="N48" s="96">
        <f t="shared" ref="N48:N49" si="5">(53.06*M48)/1000</f>
        <v>7250.9673600000006</v>
      </c>
      <c r="O48" s="97">
        <f t="shared" ref="O48:O49" si="6">(638*L48)*0.000453592</f>
        <v>25.350712569599999</v>
      </c>
      <c r="P48" s="98">
        <f t="shared" ref="P48" si="7">SUM(N48:O48)</f>
        <v>7276.3180725696002</v>
      </c>
      <c r="Q48" t="s">
        <v>486</v>
      </c>
    </row>
    <row r="49" spans="1:16" x14ac:dyDescent="0.35">
      <c r="A49" s="89" t="s">
        <v>487</v>
      </c>
      <c r="B49" s="90">
        <v>875000</v>
      </c>
      <c r="C49" s="90">
        <v>58000</v>
      </c>
      <c r="D49" s="90">
        <v>15000</v>
      </c>
      <c r="E49" s="85">
        <v>80</v>
      </c>
      <c r="F49" s="85">
        <v>211</v>
      </c>
      <c r="G49" s="85">
        <v>3.2</v>
      </c>
      <c r="H49" s="85">
        <v>0.3</v>
      </c>
      <c r="I49" s="88">
        <v>0.27</v>
      </c>
      <c r="J49" s="94">
        <v>384</v>
      </c>
      <c r="K49" s="91">
        <v>0.97</v>
      </c>
      <c r="L49" s="96">
        <f t="shared" si="3"/>
        <v>700.8</v>
      </c>
      <c r="M49" s="96">
        <f t="shared" si="4"/>
        <v>28032</v>
      </c>
      <c r="N49" s="96">
        <f t="shared" si="5"/>
        <v>1487.3779200000001</v>
      </c>
      <c r="O49" s="97">
        <f t="shared" si="6"/>
        <v>202.80570055679999</v>
      </c>
      <c r="P49" s="98">
        <f>SUM(N49:O49)</f>
        <v>1690.1836205568002</v>
      </c>
    </row>
    <row r="50" spans="1:16" x14ac:dyDescent="0.35">
      <c r="P50" s="57" t="s">
        <v>488</v>
      </c>
    </row>
    <row r="52" spans="1:16" x14ac:dyDescent="0.35">
      <c r="A52" t="s">
        <v>361</v>
      </c>
      <c r="B52" t="s">
        <v>489</v>
      </c>
      <c r="C52" t="s">
        <v>490</v>
      </c>
      <c r="D52" t="s">
        <v>491</v>
      </c>
      <c r="E52" t="s">
        <v>492</v>
      </c>
    </row>
    <row r="53" spans="1:16" x14ac:dyDescent="0.35">
      <c r="A53">
        <v>2021</v>
      </c>
      <c r="B53">
        <v>65954</v>
      </c>
      <c r="C53">
        <v>41296</v>
      </c>
      <c r="D53">
        <f t="shared" ref="D53:D62" si="8">$B$53-($B$53*0.1)</f>
        <v>59358.6</v>
      </c>
      <c r="E53">
        <f t="shared" ref="E53:E62" si="9">$C$53-($C$53*0.25)</f>
        <v>30972</v>
      </c>
    </row>
    <row r="54" spans="1:16" x14ac:dyDescent="0.35">
      <c r="A54">
        <v>2022</v>
      </c>
      <c r="B54">
        <v>66405</v>
      </c>
      <c r="C54">
        <v>39683</v>
      </c>
      <c r="D54">
        <f t="shared" si="8"/>
        <v>59358.6</v>
      </c>
      <c r="E54">
        <f t="shared" si="9"/>
        <v>30972</v>
      </c>
    </row>
    <row r="55" spans="1:16" x14ac:dyDescent="0.35">
      <c r="A55">
        <v>2023</v>
      </c>
      <c r="B55">
        <v>57270</v>
      </c>
      <c r="C55">
        <v>31315</v>
      </c>
      <c r="D55">
        <f t="shared" si="8"/>
        <v>59358.6</v>
      </c>
      <c r="E55">
        <f t="shared" si="9"/>
        <v>30972</v>
      </c>
    </row>
    <row r="56" spans="1:16" x14ac:dyDescent="0.35">
      <c r="A56">
        <v>2024</v>
      </c>
      <c r="B56">
        <v>59695</v>
      </c>
      <c r="C56">
        <v>22563</v>
      </c>
      <c r="D56">
        <f t="shared" si="8"/>
        <v>59358.6</v>
      </c>
      <c r="E56">
        <f t="shared" si="9"/>
        <v>30972</v>
      </c>
    </row>
    <row r="57" spans="1:16" x14ac:dyDescent="0.35">
      <c r="A57">
        <v>2025</v>
      </c>
      <c r="B57">
        <f>B56-GETPIVOTDATA("Scope 1",$A$66,"Year",2025)</f>
        <v>57790.118479999997</v>
      </c>
      <c r="C57">
        <f>C56-GETPIVOTDATA("Sum of Scope 2",$A$66,"Year",2025)+10000</f>
        <v>29898.3472</v>
      </c>
      <c r="D57">
        <f t="shared" si="8"/>
        <v>59358.6</v>
      </c>
      <c r="E57">
        <f t="shared" si="9"/>
        <v>30972</v>
      </c>
    </row>
    <row r="58" spans="1:16" x14ac:dyDescent="0.35">
      <c r="A58">
        <v>2026</v>
      </c>
      <c r="B58">
        <f>B57-GETPIVOTDATA("Scope 1",$A$66,"Year",2026)</f>
        <v>59480.118479999997</v>
      </c>
      <c r="C58">
        <f>C57-GETPIVOTDATA("Sum of Scope 2",$A$66,"Year",2026)</f>
        <v>28948.3472</v>
      </c>
      <c r="D58">
        <f t="shared" si="8"/>
        <v>59358.6</v>
      </c>
      <c r="E58">
        <f t="shared" si="9"/>
        <v>30972</v>
      </c>
    </row>
    <row r="59" spans="1:16" x14ac:dyDescent="0.35">
      <c r="A59">
        <v>2027</v>
      </c>
      <c r="B59">
        <f>B58-GETPIVOTDATA("Scope 1",$A$66,"Year",2027)</f>
        <v>59480.118479999997</v>
      </c>
      <c r="C59">
        <f>C58-GETPIVOTDATA("Sum of Scope 2",$A$66,"Year",2027)</f>
        <v>28948.3472</v>
      </c>
      <c r="D59">
        <f t="shared" si="8"/>
        <v>59358.6</v>
      </c>
      <c r="E59">
        <f t="shared" si="9"/>
        <v>30972</v>
      </c>
    </row>
    <row r="60" spans="1:16" x14ac:dyDescent="0.35">
      <c r="A60">
        <v>2028</v>
      </c>
      <c r="B60">
        <f>B59-GETPIVOTDATA("Scope 1",$A$66,"Year",2028)</f>
        <v>59480.118479999997</v>
      </c>
      <c r="C60">
        <f>C59-GETPIVOTDATA("Sum of Scope 2",$A$66,"Year",2028)</f>
        <v>26997.023176574945</v>
      </c>
      <c r="D60">
        <f t="shared" si="8"/>
        <v>59358.6</v>
      </c>
      <c r="E60">
        <f t="shared" si="9"/>
        <v>30972</v>
      </c>
    </row>
    <row r="61" spans="1:16" x14ac:dyDescent="0.35">
      <c r="A61">
        <v>2029</v>
      </c>
      <c r="B61">
        <f>B60-GETPIVOTDATA("Scope 1",$A$66,"Year",2028)</f>
        <v>59480.118479999997</v>
      </c>
      <c r="C61">
        <f>C60</f>
        <v>26997.023176574945</v>
      </c>
      <c r="D61">
        <f t="shared" si="8"/>
        <v>59358.6</v>
      </c>
      <c r="E61">
        <f t="shared" si="9"/>
        <v>30972</v>
      </c>
    </row>
    <row r="62" spans="1:16" x14ac:dyDescent="0.35">
      <c r="A62">
        <v>2030</v>
      </c>
      <c r="B62">
        <f>B61-GETPIVOTDATA("Scope 1",$A$66,"Year",2028)</f>
        <v>59480.118479999997</v>
      </c>
      <c r="C62">
        <f>C61</f>
        <v>26997.023176574945</v>
      </c>
      <c r="D62">
        <f t="shared" si="8"/>
        <v>59358.6</v>
      </c>
      <c r="E62">
        <f t="shared" si="9"/>
        <v>30972</v>
      </c>
    </row>
    <row r="66" spans="1:3" x14ac:dyDescent="0.35">
      <c r="A66" s="82" t="s">
        <v>343</v>
      </c>
      <c r="B66" t="s">
        <v>493</v>
      </c>
      <c r="C66" t="s">
        <v>494</v>
      </c>
    </row>
    <row r="67" spans="1:3" x14ac:dyDescent="0.35">
      <c r="A67" s="83">
        <v>2022</v>
      </c>
    </row>
    <row r="68" spans="1:3" x14ac:dyDescent="0.35">
      <c r="A68" s="83">
        <v>2023</v>
      </c>
    </row>
    <row r="69" spans="1:3" x14ac:dyDescent="0.35">
      <c r="A69" s="83">
        <v>2024</v>
      </c>
    </row>
    <row r="70" spans="1:3" x14ac:dyDescent="0.35">
      <c r="A70" s="83">
        <v>2025</v>
      </c>
      <c r="B70">
        <v>1904.8815199999999</v>
      </c>
      <c r="C70">
        <v>2664.6527999999998</v>
      </c>
    </row>
    <row r="71" spans="1:3" x14ac:dyDescent="0.35">
      <c r="A71" s="83">
        <v>2026</v>
      </c>
      <c r="B71">
        <v>-1690</v>
      </c>
      <c r="C71">
        <v>950</v>
      </c>
    </row>
    <row r="72" spans="1:3" x14ac:dyDescent="0.35">
      <c r="A72" s="83">
        <v>2027</v>
      </c>
      <c r="B72">
        <v>0</v>
      </c>
    </row>
    <row r="73" spans="1:3" x14ac:dyDescent="0.35">
      <c r="A73" s="83">
        <v>2028</v>
      </c>
      <c r="B73">
        <v>0</v>
      </c>
      <c r="C73">
        <v>1951.3240234250552</v>
      </c>
    </row>
    <row r="74" spans="1:3" x14ac:dyDescent="0.35">
      <c r="A74" s="83" t="s">
        <v>345</v>
      </c>
      <c r="B74">
        <v>214.88151999999991</v>
      </c>
      <c r="C74">
        <v>5565.976823425055</v>
      </c>
    </row>
  </sheetData>
  <mergeCells count="3">
    <mergeCell ref="B44:D44"/>
    <mergeCell ref="E44:G44"/>
    <mergeCell ref="H44:P44"/>
  </mergeCells>
  <pageMargins left="0.7" right="0.7" top="0.75" bottom="0.75" header="0.3" footer="0.3"/>
  <drawing r:id="rId3"/>
  <tableParts count="3">
    <tablePart r:id="rId4"/>
    <tablePart r:id="rId5"/>
    <tablePart r:id="rId6"/>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5CA2C-1B4A-45DD-9C0A-2850BE76DAD7}">
  <dimension ref="A1:Q35"/>
  <sheetViews>
    <sheetView workbookViewId="0">
      <pane xSplit="1" topLeftCell="B1" activePane="topRight" state="frozen"/>
      <selection activeCell="B37" sqref="B37"/>
      <selection pane="topRight" activeCell="I15" sqref="I15"/>
    </sheetView>
  </sheetViews>
  <sheetFormatPr defaultRowHeight="14.5" x14ac:dyDescent="0.35"/>
  <cols>
    <col min="1" max="1" width="14.54296875" bestFit="1" customWidth="1"/>
    <col min="2" max="2" width="13.81640625" bestFit="1" customWidth="1"/>
    <col min="3" max="3" width="17.453125" bestFit="1" customWidth="1"/>
    <col min="4" max="4" width="17.453125" customWidth="1"/>
    <col min="5" max="5" width="22.81640625" bestFit="1" customWidth="1"/>
    <col min="6" max="6" width="16.81640625" style="30" bestFit="1" customWidth="1"/>
    <col min="7" max="7" width="15.81640625" style="30" bestFit="1" customWidth="1"/>
    <col min="8" max="8" width="14" style="30" bestFit="1" customWidth="1"/>
    <col min="9" max="9" width="18.26953125" style="30" bestFit="1" customWidth="1"/>
    <col min="10" max="10" width="30.1796875" style="30" bestFit="1" customWidth="1"/>
    <col min="11" max="11" width="35" style="30" bestFit="1" customWidth="1"/>
    <col min="12" max="12" width="23.453125" style="30" bestFit="1" customWidth="1"/>
    <col min="13" max="13" width="20.81640625" bestFit="1" customWidth="1"/>
    <col min="16" max="16" width="10.81640625" customWidth="1"/>
    <col min="17" max="17" width="10.54296875" customWidth="1"/>
  </cols>
  <sheetData>
    <row r="1" spans="1:17" x14ac:dyDescent="0.35">
      <c r="A1">
        <v>2024</v>
      </c>
      <c r="P1" t="s">
        <v>352</v>
      </c>
      <c r="Q1">
        <v>3.7853999999999998E-6</v>
      </c>
    </row>
    <row r="2" spans="1:17" x14ac:dyDescent="0.35">
      <c r="F2" s="199" t="s">
        <v>495</v>
      </c>
      <c r="G2" s="199"/>
      <c r="H2" s="199"/>
      <c r="I2" s="151"/>
      <c r="J2" s="199" t="s">
        <v>496</v>
      </c>
      <c r="K2" s="199"/>
      <c r="L2" s="199"/>
      <c r="P2" t="s">
        <v>497</v>
      </c>
      <c r="Q2">
        <v>1E-3</v>
      </c>
    </row>
    <row r="3" spans="1:17" x14ac:dyDescent="0.35">
      <c r="A3" t="s">
        <v>360</v>
      </c>
      <c r="B3" t="s">
        <v>498</v>
      </c>
      <c r="C3" t="s">
        <v>499</v>
      </c>
      <c r="D3" t="s">
        <v>500</v>
      </c>
      <c r="E3" t="s">
        <v>501</v>
      </c>
      <c r="F3" s="30" t="s">
        <v>502</v>
      </c>
      <c r="G3" s="30" t="s">
        <v>503</v>
      </c>
      <c r="H3" s="30" t="s">
        <v>504</v>
      </c>
      <c r="I3" s="30" t="s">
        <v>505</v>
      </c>
      <c r="J3" s="30" t="s">
        <v>506</v>
      </c>
      <c r="K3" s="30" t="s">
        <v>507</v>
      </c>
      <c r="L3" s="30" t="s">
        <v>508</v>
      </c>
      <c r="M3" t="s">
        <v>509</v>
      </c>
      <c r="P3" t="s">
        <v>510</v>
      </c>
      <c r="Q3">
        <v>9.9999999999999995E-7</v>
      </c>
    </row>
    <row r="4" spans="1:17" x14ac:dyDescent="0.35">
      <c r="A4" t="s">
        <v>426</v>
      </c>
      <c r="B4" t="s">
        <v>511</v>
      </c>
      <c r="C4" t="s">
        <v>512</v>
      </c>
      <c r="E4" t="s">
        <v>513</v>
      </c>
      <c r="F4" s="31"/>
      <c r="G4" s="31">
        <f>1945097663.82229*Q1</f>
        <v>7362.9726966328963</v>
      </c>
      <c r="H4" s="31"/>
      <c r="I4" s="32"/>
      <c r="J4" s="33"/>
      <c r="K4" s="33">
        <f>Table22[[#This Row],[Groundwater]]*0.5</f>
        <v>3681.4863483164481</v>
      </c>
      <c r="L4" s="33"/>
      <c r="M4" s="34">
        <f>(Table22[[#This Row],[Surface Water]]+Table22[[#This Row],[Groundwater]]+Table22[[#This Row],[Third-party]])-(Table22[[#This Row],[Fresh Surface Water Discharge]]+Table22[[#This Row],[Groundwater Discharge]]+Table22[[#This Row],[Third-party Discharge]])</f>
        <v>3681.4863483164481</v>
      </c>
    </row>
    <row r="5" spans="1:17" x14ac:dyDescent="0.35">
      <c r="A5" t="s">
        <v>514</v>
      </c>
      <c r="B5" t="s">
        <v>515</v>
      </c>
      <c r="C5" t="s">
        <v>376</v>
      </c>
      <c r="E5" t="s">
        <v>376</v>
      </c>
      <c r="F5" s="31"/>
      <c r="G5" s="31"/>
      <c r="H5" s="31">
        <f>50004*Q1</f>
        <v>0.18928514159999998</v>
      </c>
      <c r="I5" s="32"/>
      <c r="J5" s="33"/>
      <c r="K5" s="33"/>
      <c r="L5" s="33">
        <f>Table22[[#This Row],[Third-party]]</f>
        <v>0.18928514159999998</v>
      </c>
      <c r="M5" s="34">
        <f>(Table22[[#This Row],[Surface Water]]+Table22[[#This Row],[Groundwater]]+Table22[[#This Row],[Third-party]])-(Table22[[#This Row],[Fresh Surface Water Discharge]]+Table22[[#This Row],[Groundwater Discharge]]+Table22[[#This Row],[Third-party Discharge]])</f>
        <v>0</v>
      </c>
    </row>
    <row r="6" spans="1:17" x14ac:dyDescent="0.35">
      <c r="A6" t="s">
        <v>516</v>
      </c>
      <c r="B6" t="s">
        <v>515</v>
      </c>
      <c r="C6" t="s">
        <v>376</v>
      </c>
      <c r="E6" t="s">
        <v>376</v>
      </c>
      <c r="F6" s="31"/>
      <c r="G6" s="31"/>
      <c r="H6" s="31">
        <f>436492.8*Q1</f>
        <v>1.6522998451199999</v>
      </c>
      <c r="I6" s="32"/>
      <c r="J6" s="33"/>
      <c r="K6" s="33"/>
      <c r="L6" s="33">
        <f>Table22[[#This Row],[Third-party]]</f>
        <v>1.6522998451199999</v>
      </c>
      <c r="M6" s="34">
        <f>(Table22[[#This Row],[Surface Water]]+Table22[[#This Row],[Groundwater]]+Table22[[#This Row],[Third-party]])-(Table22[[#This Row],[Fresh Surface Water Discharge]]+Table22[[#This Row],[Groundwater Discharge]]+Table22[[#This Row],[Third-party Discharge]])</f>
        <v>0</v>
      </c>
    </row>
    <row r="7" spans="1:17" x14ac:dyDescent="0.35">
      <c r="A7" t="s">
        <v>517</v>
      </c>
      <c r="B7" t="s">
        <v>515</v>
      </c>
      <c r="C7" t="s">
        <v>376</v>
      </c>
      <c r="E7" t="s">
        <v>376</v>
      </c>
      <c r="F7" s="31"/>
      <c r="G7" s="31"/>
      <c r="H7" s="31">
        <f>42700.8*Q1</f>
        <v>0.16163960831999999</v>
      </c>
      <c r="I7" s="32"/>
      <c r="J7" s="33"/>
      <c r="K7" s="33"/>
      <c r="L7" s="33">
        <f>Table22[[#This Row],[Third-party]]</f>
        <v>0.16163960831999999</v>
      </c>
      <c r="M7" s="34">
        <f>(Table22[[#This Row],[Surface Water]]+Table22[[#This Row],[Groundwater]]+Table22[[#This Row],[Third-party]])-(Table22[[#This Row],[Fresh Surface Water Discharge]]+Table22[[#This Row],[Groundwater Discharge]]+Table22[[#This Row],[Third-party Discharge]])</f>
        <v>0</v>
      </c>
    </row>
    <row r="8" spans="1:17" x14ac:dyDescent="0.35">
      <c r="A8" t="s">
        <v>518</v>
      </c>
      <c r="B8" t="s">
        <v>519</v>
      </c>
      <c r="C8" t="s">
        <v>520</v>
      </c>
      <c r="E8" t="s">
        <v>513</v>
      </c>
      <c r="F8" s="31"/>
      <c r="G8" s="31"/>
      <c r="H8" s="31">
        <f>3002800*Q1</f>
        <v>11.36679912</v>
      </c>
      <c r="I8" s="32"/>
      <c r="J8" s="33"/>
      <c r="K8" s="33"/>
      <c r="L8" s="33">
        <f>Table22[[#This Row],[Third-party]]</f>
        <v>11.36679912</v>
      </c>
      <c r="M8" s="34">
        <f>(Table22[[#This Row],[Surface Water]]+Table22[[#This Row],[Groundwater]]+Table22[[#This Row],[Third-party]])-(Table22[[#This Row],[Fresh Surface Water Discharge]]+Table22[[#This Row],[Groundwater Discharge]]+Table22[[#This Row],[Third-party Discharge]])</f>
        <v>0</v>
      </c>
    </row>
    <row r="9" spans="1:17" x14ac:dyDescent="0.35">
      <c r="A9" t="s">
        <v>521</v>
      </c>
      <c r="B9" t="s">
        <v>519</v>
      </c>
      <c r="C9" t="s">
        <v>522</v>
      </c>
      <c r="E9" s="35" t="s">
        <v>523</v>
      </c>
      <c r="F9" s="31"/>
      <c r="G9" s="31"/>
      <c r="H9" s="31">
        <f>106076017*Q1</f>
        <v>401.5401547518</v>
      </c>
      <c r="I9" s="32"/>
      <c r="J9" s="33"/>
      <c r="K9" s="33"/>
      <c r="L9" s="33">
        <f>Table22[[#This Row],[Third-party]]*0.8</f>
        <v>321.23212380144003</v>
      </c>
      <c r="M9" s="34">
        <f>(Table22[[#This Row],[Surface Water]]+Table22[[#This Row],[Groundwater]]+Table22[[#This Row],[Third-party]])-(Table22[[#This Row],[Fresh Surface Water Discharge]]+Table22[[#This Row],[Groundwater Discharge]]+Table22[[#This Row],[Third-party Discharge]])</f>
        <v>80.308030950359978</v>
      </c>
    </row>
    <row r="10" spans="1:17" x14ac:dyDescent="0.35">
      <c r="A10" t="s">
        <v>379</v>
      </c>
      <c r="B10" t="s">
        <v>511</v>
      </c>
      <c r="C10" t="s">
        <v>524</v>
      </c>
      <c r="D10" s="35" t="s">
        <v>523</v>
      </c>
      <c r="E10" s="35" t="s">
        <v>523</v>
      </c>
      <c r="F10" s="31"/>
      <c r="G10" s="31">
        <f>1318610141*Q1</f>
        <v>4991.4668277413994</v>
      </c>
      <c r="H10" s="31"/>
      <c r="I10" s="32"/>
      <c r="J10" s="33"/>
      <c r="K10" s="33">
        <f>Table22[[#This Row],[Groundwater]]*0.5</f>
        <v>2495.7334138706997</v>
      </c>
      <c r="L10" s="33">
        <f>Table22[[#This Row],[Third-party]]</f>
        <v>0</v>
      </c>
      <c r="M10" s="34">
        <f>(Table22[[#This Row],[Surface Water]]+Table22[[#This Row],[Groundwater]]+Table22[[#This Row],[Third-party]])-(Table22[[#This Row],[Fresh Surface Water Discharge]]+Table22[[#This Row],[Groundwater Discharge]]+Table22[[#This Row],[Third-party Discharge]])</f>
        <v>2495.7334138706997</v>
      </c>
    </row>
    <row r="11" spans="1:17" x14ac:dyDescent="0.35">
      <c r="A11" t="s">
        <v>525</v>
      </c>
      <c r="B11" t="s">
        <v>515</v>
      </c>
      <c r="C11" t="s">
        <v>376</v>
      </c>
      <c r="E11" t="s">
        <v>376</v>
      </c>
      <c r="F11" s="31"/>
      <c r="G11" s="31"/>
      <c r="H11" s="31">
        <f>132846*Q1</f>
        <v>0.50287524839999997</v>
      </c>
      <c r="I11" s="32"/>
      <c r="J11" s="33"/>
      <c r="K11" s="33"/>
      <c r="L11" s="33">
        <f>Table22[[#This Row],[Third-party]]</f>
        <v>0.50287524839999997</v>
      </c>
      <c r="M11" s="34">
        <f>(Table22[[#This Row],[Surface Water]]+Table22[[#This Row],[Groundwater]]+Table22[[#This Row],[Third-party]])-(Table22[[#This Row],[Fresh Surface Water Discharge]]+Table22[[#This Row],[Groundwater Discharge]]+Table22[[#This Row],[Third-party Discharge]])</f>
        <v>0</v>
      </c>
    </row>
    <row r="12" spans="1:17" x14ac:dyDescent="0.35">
      <c r="A12" t="s">
        <v>526</v>
      </c>
      <c r="B12" t="s">
        <v>519</v>
      </c>
      <c r="C12" t="s">
        <v>520</v>
      </c>
      <c r="E12" s="35" t="s">
        <v>523</v>
      </c>
      <c r="F12" s="31"/>
      <c r="G12" s="31"/>
      <c r="H12" s="31">
        <f>1820400*Q1</f>
        <v>6.8909421599999998</v>
      </c>
      <c r="I12" s="32"/>
      <c r="J12" s="33"/>
      <c r="K12" s="33"/>
      <c r="L12" s="33">
        <f>Table22[[#This Row],[Third-party]]</f>
        <v>6.8909421599999998</v>
      </c>
      <c r="M12" s="34">
        <f>(Table22[[#This Row],[Surface Water]]+Table22[[#This Row],[Groundwater]]+Table22[[#This Row],[Third-party]])-(Table22[[#This Row],[Fresh Surface Water Discharge]]+Table22[[#This Row],[Groundwater Discharge]]+Table22[[#This Row],[Third-party Discharge]])</f>
        <v>0</v>
      </c>
    </row>
    <row r="13" spans="1:17" x14ac:dyDescent="0.35">
      <c r="A13" t="s">
        <v>527</v>
      </c>
      <c r="B13" t="s">
        <v>528</v>
      </c>
      <c r="C13" t="s">
        <v>529</v>
      </c>
      <c r="D13" s="35" t="s">
        <v>523</v>
      </c>
      <c r="E13" t="s">
        <v>513</v>
      </c>
      <c r="F13" s="31"/>
      <c r="G13" s="31"/>
      <c r="H13" s="31">
        <f>1161000*Q1</f>
        <v>4.3948494</v>
      </c>
      <c r="I13" s="32"/>
      <c r="J13" s="33"/>
      <c r="K13" s="33"/>
      <c r="L13" s="33">
        <f>Table22[[#This Row],[Third-party]]</f>
        <v>4.3948494</v>
      </c>
      <c r="M13" s="34">
        <f>(Table22[[#This Row],[Surface Water]]+Table22[[#This Row],[Groundwater]]+Table22[[#This Row],[Third-party]])-(Table22[[#This Row],[Fresh Surface Water Discharge]]+Table22[[#This Row],[Groundwater Discharge]]+Table22[[#This Row],[Third-party Discharge]])</f>
        <v>0</v>
      </c>
    </row>
    <row r="14" spans="1:17" hidden="1" x14ac:dyDescent="0.35">
      <c r="A14" t="s">
        <v>530</v>
      </c>
      <c r="B14" t="s">
        <v>515</v>
      </c>
      <c r="C14" t="s">
        <v>376</v>
      </c>
      <c r="E14" t="s">
        <v>376</v>
      </c>
      <c r="F14" s="31"/>
      <c r="G14" s="31"/>
      <c r="H14" s="31">
        <v>0</v>
      </c>
      <c r="I14" s="32"/>
      <c r="J14" s="33"/>
      <c r="K14" s="33"/>
      <c r="L14" s="33">
        <f>Table22[[#This Row],[Third-party]]</f>
        <v>0</v>
      </c>
      <c r="M14" s="34">
        <f>(Table22[[#This Row],[Surface Water]]+Table22[[#This Row],[Groundwater]]+Table22[[#This Row],[Third-party]])-(Table22[[#This Row],[Fresh Surface Water Discharge]]+Table22[[#This Row],[Groundwater Discharge]]+Table22[[#This Row],[Third-party Discharge]])</f>
        <v>0</v>
      </c>
    </row>
    <row r="15" spans="1:17" x14ac:dyDescent="0.35">
      <c r="A15" t="s">
        <v>531</v>
      </c>
      <c r="B15" t="s">
        <v>519</v>
      </c>
      <c r="C15" t="s">
        <v>532</v>
      </c>
      <c r="E15" s="35" t="s">
        <v>523</v>
      </c>
      <c r="F15" s="31"/>
      <c r="G15" s="31"/>
      <c r="H15" s="31">
        <f>91684500.01*Q1</f>
        <v>347.06250633785402</v>
      </c>
      <c r="I15" s="32"/>
      <c r="J15" s="33"/>
      <c r="K15" s="33"/>
      <c r="L15" s="33">
        <f>((11985900+18536100)+(20000+45000+190000+327600+31200+39700+551200))*Q1</f>
        <v>120.09825017999999</v>
      </c>
      <c r="M15" s="34">
        <f>(Table22[[#This Row],[Surface Water]]+Table22[[#This Row],[Groundwater]]+Table22[[#This Row],[Third-party]])-(Table22[[#This Row],[Fresh Surface Water Discharge]]+Table22[[#This Row],[Groundwater Discharge]]+Table22[[#This Row],[Third-party Discharge]])</f>
        <v>226.96425615785404</v>
      </c>
    </row>
    <row r="16" spans="1:17" x14ac:dyDescent="0.35">
      <c r="A16" t="s">
        <v>533</v>
      </c>
      <c r="B16" t="s">
        <v>519</v>
      </c>
      <c r="C16" t="s">
        <v>534</v>
      </c>
      <c r="D16" s="35" t="s">
        <v>523</v>
      </c>
      <c r="E16" s="35" t="s">
        <v>523</v>
      </c>
      <c r="F16" s="31"/>
      <c r="G16" s="31"/>
      <c r="H16" s="31">
        <f>823424.2872*Q1</f>
        <v>3.1169902967668799</v>
      </c>
      <c r="I16" s="32"/>
      <c r="J16" s="33"/>
      <c r="K16" s="33"/>
      <c r="L16" s="33">
        <f>Table22[[#This Row],[Third-party]]</f>
        <v>3.1169902967668799</v>
      </c>
      <c r="M16" s="34">
        <f>(Table22[[#This Row],[Surface Water]]+Table22[[#This Row],[Groundwater]]+Table22[[#This Row],[Third-party]])-(Table22[[#This Row],[Fresh Surface Water Discharge]]+Table22[[#This Row],[Groundwater Discharge]]+Table22[[#This Row],[Third-party Discharge]])</f>
        <v>0</v>
      </c>
    </row>
    <row r="17" spans="1:13" x14ac:dyDescent="0.35">
      <c r="A17" t="s">
        <v>382</v>
      </c>
      <c r="B17" t="s">
        <v>519</v>
      </c>
      <c r="C17" t="s">
        <v>535</v>
      </c>
      <c r="D17" s="35" t="s">
        <v>523</v>
      </c>
      <c r="E17" s="35" t="s">
        <v>523</v>
      </c>
      <c r="F17" s="31">
        <f>19661*Q2</f>
        <v>19.661000000000001</v>
      </c>
      <c r="G17" s="31"/>
      <c r="H17" s="31">
        <f>1620*Q2</f>
        <v>1.62</v>
      </c>
      <c r="I17" s="32">
        <f>15751*Q2</f>
        <v>15.750999999999999</v>
      </c>
      <c r="J17" s="33">
        <f>(9545+12103)*Q2</f>
        <v>21.648</v>
      </c>
      <c r="K17" s="33"/>
      <c r="L17" s="33">
        <f>17546*Q2</f>
        <v>17.545999999999999</v>
      </c>
      <c r="M17" s="34">
        <f>(Table22[[#This Row],[Surface Water]]+Table22[[#This Row],[Groundwater]]+Table22[[#This Row],[Third-party]])-(Table22[[#This Row],[Fresh Surface Water Discharge]]+Table22[[#This Row],[Groundwater Discharge]]+Table22[[#This Row],[Third-party Discharge]])</f>
        <v>-17.913</v>
      </c>
    </row>
    <row r="18" spans="1:13" hidden="1" x14ac:dyDescent="0.35">
      <c r="A18" t="s">
        <v>536</v>
      </c>
      <c r="B18" t="s">
        <v>528</v>
      </c>
      <c r="C18" t="s">
        <v>376</v>
      </c>
      <c r="E18" t="s">
        <v>376</v>
      </c>
      <c r="F18" s="31"/>
      <c r="G18" s="31"/>
      <c r="H18" s="31">
        <v>0</v>
      </c>
      <c r="I18" s="32"/>
      <c r="J18" s="33"/>
      <c r="K18" s="33"/>
      <c r="L18" s="33">
        <f>Table22[[#This Row],[Third-party]]</f>
        <v>0</v>
      </c>
      <c r="M18" s="34">
        <f>(Table22[[#This Row],[Surface Water]]+Table22[[#This Row],[Groundwater]]+Table22[[#This Row],[Third-party]])-(Table22[[#This Row],[Fresh Surface Water Discharge]]+Table22[[#This Row],[Groundwater Discharge]]+Table22[[#This Row],[Third-party Discharge]])</f>
        <v>0</v>
      </c>
    </row>
    <row r="19" spans="1:13" x14ac:dyDescent="0.35">
      <c r="A19" t="s">
        <v>537</v>
      </c>
      <c r="B19" t="s">
        <v>528</v>
      </c>
      <c r="C19" t="s">
        <v>376</v>
      </c>
      <c r="E19" t="s">
        <v>376</v>
      </c>
      <c r="F19" s="31"/>
      <c r="G19" s="31"/>
      <c r="H19" s="31">
        <f>219264*Q1</f>
        <v>0.83000194559999996</v>
      </c>
      <c r="I19" s="32"/>
      <c r="J19" s="33"/>
      <c r="K19" s="33"/>
      <c r="L19" s="33">
        <f>Table22[[#This Row],[Third-party]]</f>
        <v>0.83000194559999996</v>
      </c>
      <c r="M19" s="34">
        <f>(Table22[[#This Row],[Surface Water]]+Table22[[#This Row],[Groundwater]]+Table22[[#This Row],[Third-party]])-(Table22[[#This Row],[Fresh Surface Water Discharge]]+Table22[[#This Row],[Groundwater Discharge]]+Table22[[#This Row],[Third-party Discharge]])</f>
        <v>0</v>
      </c>
    </row>
    <row r="20" spans="1:13" hidden="1" x14ac:dyDescent="0.35">
      <c r="A20" t="s">
        <v>538</v>
      </c>
      <c r="B20" t="s">
        <v>528</v>
      </c>
      <c r="C20" t="s">
        <v>376</v>
      </c>
      <c r="E20" t="s">
        <v>376</v>
      </c>
      <c r="F20" s="31"/>
      <c r="G20" s="31"/>
      <c r="H20" s="31">
        <v>0</v>
      </c>
      <c r="I20" s="32"/>
      <c r="J20" s="33"/>
      <c r="K20" s="33"/>
      <c r="L20" s="33">
        <f>Table22[[#This Row],[Third-party]]</f>
        <v>0</v>
      </c>
      <c r="M20" s="34">
        <f>(Table22[[#This Row],[Surface Water]]+Table22[[#This Row],[Groundwater]]+Table22[[#This Row],[Third-party]])-(Table22[[#This Row],[Fresh Surface Water Discharge]]+Table22[[#This Row],[Groundwater Discharge]]+Table22[[#This Row],[Third-party Discharge]])</f>
        <v>0</v>
      </c>
    </row>
    <row r="21" spans="1:13" x14ac:dyDescent="0.35">
      <c r="A21" t="s">
        <v>539</v>
      </c>
      <c r="B21" t="s">
        <v>515</v>
      </c>
      <c r="C21" t="s">
        <v>376</v>
      </c>
      <c r="E21" t="s">
        <v>376</v>
      </c>
      <c r="F21" s="31"/>
      <c r="G21" s="31"/>
      <c r="H21" s="31">
        <f>94884*Q1</f>
        <v>0.35917389359999996</v>
      </c>
      <c r="I21" s="32"/>
      <c r="J21" s="33"/>
      <c r="K21" s="33"/>
      <c r="L21" s="33">
        <f>Table22[[#This Row],[Third-party]]</f>
        <v>0.35917389359999996</v>
      </c>
      <c r="M21" s="34">
        <f>(Table22[[#This Row],[Surface Water]]+Table22[[#This Row],[Groundwater]]+Table22[[#This Row],[Third-party]])-(Table22[[#This Row],[Fresh Surface Water Discharge]]+Table22[[#This Row],[Groundwater Discharge]]+Table22[[#This Row],[Third-party Discharge]])</f>
        <v>0</v>
      </c>
    </row>
    <row r="22" spans="1:13" x14ac:dyDescent="0.35">
      <c r="A22" t="s">
        <v>540</v>
      </c>
      <c r="B22" t="s">
        <v>528</v>
      </c>
      <c r="C22" t="s">
        <v>376</v>
      </c>
      <c r="E22" t="s">
        <v>376</v>
      </c>
      <c r="F22" s="31"/>
      <c r="G22" s="31"/>
      <c r="H22" s="31">
        <f>21396*Q1</f>
        <v>8.0992418400000002E-2</v>
      </c>
      <c r="I22" s="32"/>
      <c r="J22" s="33"/>
      <c r="K22" s="33"/>
      <c r="L22" s="33">
        <f>Table22[[#This Row],[Third-party]]</f>
        <v>8.0992418400000002E-2</v>
      </c>
      <c r="M22" s="34">
        <f>(Table22[[#This Row],[Surface Water]]+Table22[[#This Row],[Groundwater]]+Table22[[#This Row],[Third-party]])-(Table22[[#This Row],[Fresh Surface Water Discharge]]+Table22[[#This Row],[Groundwater Discharge]]+Table22[[#This Row],[Third-party Discharge]])</f>
        <v>0</v>
      </c>
    </row>
    <row r="23" spans="1:13" x14ac:dyDescent="0.35">
      <c r="A23" t="s">
        <v>541</v>
      </c>
      <c r="B23" t="s">
        <v>528</v>
      </c>
      <c r="C23" t="s">
        <v>376</v>
      </c>
      <c r="E23" t="s">
        <v>376</v>
      </c>
      <c r="F23" s="31"/>
      <c r="G23" s="31"/>
      <c r="H23" s="31">
        <f>7664*Q1</f>
        <v>2.9011305599999999E-2</v>
      </c>
      <c r="I23" s="32"/>
      <c r="J23" s="33"/>
      <c r="K23" s="33"/>
      <c r="L23" s="33">
        <f>Table22[[#This Row],[Third-party]]</f>
        <v>2.9011305599999999E-2</v>
      </c>
      <c r="M23" s="34">
        <f>(Table22[[#This Row],[Surface Water]]+Table22[[#This Row],[Groundwater]]+Table22[[#This Row],[Third-party]])-(Table22[[#This Row],[Fresh Surface Water Discharge]]+Table22[[#This Row],[Groundwater Discharge]]+Table22[[#This Row],[Third-party Discharge]])</f>
        <v>0</v>
      </c>
    </row>
    <row r="24" spans="1:13" x14ac:dyDescent="0.35">
      <c r="A24" t="s">
        <v>542</v>
      </c>
      <c r="B24" t="s">
        <v>528</v>
      </c>
      <c r="C24" t="s">
        <v>376</v>
      </c>
      <c r="E24" t="s">
        <v>376</v>
      </c>
      <c r="F24" s="31"/>
      <c r="G24" s="31"/>
      <c r="H24" s="31">
        <f>41692*Q1</f>
        <v>0.1578208968</v>
      </c>
      <c r="I24" s="32"/>
      <c r="J24" s="33"/>
      <c r="K24" s="33"/>
      <c r="L24" s="33">
        <f>Table22[[#This Row],[Third-party]]</f>
        <v>0.1578208968</v>
      </c>
      <c r="M24" s="34">
        <f>(Table22[[#This Row],[Surface Water]]+Table22[[#This Row],[Groundwater]]+Table22[[#This Row],[Third-party]])-(Table22[[#This Row],[Fresh Surface Water Discharge]]+Table22[[#This Row],[Groundwater Discharge]]+Table22[[#This Row],[Third-party Discharge]])</f>
        <v>0</v>
      </c>
    </row>
    <row r="25" spans="1:13" x14ac:dyDescent="0.35">
      <c r="A25" t="s">
        <v>543</v>
      </c>
      <c r="B25" t="s">
        <v>528</v>
      </c>
      <c r="C25" t="s">
        <v>376</v>
      </c>
      <c r="E25" t="s">
        <v>376</v>
      </c>
      <c r="F25" s="31"/>
      <c r="G25" s="31"/>
      <c r="H25" s="31">
        <f>131369.516483*Q1</f>
        <v>0.4972861676947482</v>
      </c>
      <c r="I25" s="32"/>
      <c r="J25" s="33"/>
      <c r="K25" s="33"/>
      <c r="L25" s="33">
        <f>Table22[[#This Row],[Third-party]]</f>
        <v>0.4972861676947482</v>
      </c>
      <c r="M25" s="34">
        <f>(Table22[[#This Row],[Surface Water]]+Table22[[#This Row],[Groundwater]]+Table22[[#This Row],[Third-party]])-(Table22[[#This Row],[Fresh Surface Water Discharge]]+Table22[[#This Row],[Groundwater Discharge]]+Table22[[#This Row],[Third-party Discharge]])</f>
        <v>0</v>
      </c>
    </row>
    <row r="26" spans="1:13" x14ac:dyDescent="0.35">
      <c r="A26" t="s">
        <v>544</v>
      </c>
      <c r="B26" t="s">
        <v>519</v>
      </c>
      <c r="C26" t="s">
        <v>524</v>
      </c>
      <c r="D26" s="35" t="s">
        <v>523</v>
      </c>
      <c r="E26" s="35" t="s">
        <v>523</v>
      </c>
      <c r="F26" s="31"/>
      <c r="G26" s="31"/>
      <c r="H26" s="31">
        <f>146610.908952*Q1</f>
        <v>0.5549809347469008</v>
      </c>
      <c r="I26" s="32"/>
      <c r="J26" s="33"/>
      <c r="K26" s="33"/>
      <c r="L26" s="33">
        <f>Table22[[#This Row],[Third-party]]*0.7</f>
        <v>0.38848665432283053</v>
      </c>
      <c r="M26" s="34">
        <f>(Table22[[#This Row],[Surface Water]]+Table22[[#This Row],[Groundwater]]+Table22[[#This Row],[Third-party]])-(Table22[[#This Row],[Fresh Surface Water Discharge]]+Table22[[#This Row],[Groundwater Discharge]]+Table22[[#This Row],[Third-party Discharge]])</f>
        <v>0.16649428042407027</v>
      </c>
    </row>
    <row r="27" spans="1:13" x14ac:dyDescent="0.35">
      <c r="A27" t="s">
        <v>545</v>
      </c>
      <c r="B27" t="s">
        <v>515</v>
      </c>
      <c r="C27" t="s">
        <v>376</v>
      </c>
      <c r="E27" t="s">
        <v>376</v>
      </c>
      <c r="F27" s="31"/>
      <c r="G27" s="31"/>
      <c r="H27" s="31">
        <f>208752*Q1</f>
        <v>0.79020982079999991</v>
      </c>
      <c r="I27" s="32"/>
      <c r="J27" s="33"/>
      <c r="K27" s="33"/>
      <c r="L27" s="33">
        <f>Table22[[#This Row],[Third-party]]</f>
        <v>0.79020982079999991</v>
      </c>
      <c r="M27" s="34">
        <f>(Table22[[#This Row],[Surface Water]]+Table22[[#This Row],[Groundwater]]+Table22[[#This Row],[Third-party]])-(Table22[[#This Row],[Fresh Surface Water Discharge]]+Table22[[#This Row],[Groundwater Discharge]]+Table22[[#This Row],[Third-party Discharge]])</f>
        <v>0</v>
      </c>
    </row>
    <row r="28" spans="1:13" x14ac:dyDescent="0.35">
      <c r="A28" t="s">
        <v>546</v>
      </c>
      <c r="F28" s="36">
        <f>SUM(Table22[Surface Water])</f>
        <v>19.661000000000001</v>
      </c>
      <c r="G28" s="36">
        <f>SUM(Table22[Groundwater])</f>
        <v>12354.439524374295</v>
      </c>
      <c r="H28" s="36">
        <f>SUM(Table22[Third-party])</f>
        <v>781.79781929310252</v>
      </c>
      <c r="I28" s="37">
        <f>SUM(Table22[Recycled Water])</f>
        <v>15.750999999999999</v>
      </c>
      <c r="J28" s="38">
        <f>SUM(Table22[Fresh Surface Water Discharge])</f>
        <v>21.648</v>
      </c>
      <c r="K28" s="38">
        <f>SUM(Table22[Groundwater Discharge])</f>
        <v>6177.2197621871474</v>
      </c>
      <c r="L28" s="38">
        <f>SUM(Table22[Third-party Discharge])</f>
        <v>490.28503790446445</v>
      </c>
      <c r="M28" s="39">
        <f>SUM(Table22[Consumption (W-D)])</f>
        <v>6466.7455435757856</v>
      </c>
    </row>
    <row r="29" spans="1:13" x14ac:dyDescent="0.35">
      <c r="H29" s="40">
        <f>SUM(Table22[[#Totals],[Surface Water]:[Third-party]])</f>
        <v>13155.898343667397</v>
      </c>
      <c r="L29" s="40">
        <f>SUM(Table22[[#Totals],[Fresh Surface Water Discharge]:[Third-party Discharge]])</f>
        <v>6689.1528000916123</v>
      </c>
    </row>
    <row r="31" spans="1:13" ht="15" thickBot="1" x14ac:dyDescent="0.4">
      <c r="H31" s="41"/>
    </row>
    <row r="32" spans="1:13" x14ac:dyDescent="0.35">
      <c r="K32" s="42" t="s">
        <v>547</v>
      </c>
      <c r="L32" s="43">
        <f>L9+L15+L17</f>
        <v>458.87637398144</v>
      </c>
    </row>
    <row r="33" spans="5:12" x14ac:dyDescent="0.35">
      <c r="E33" t="s">
        <v>548</v>
      </c>
      <c r="F33" s="30">
        <f>G10+H13+H16+H17+F17+H26</f>
        <v>5020.8146483729124</v>
      </c>
      <c r="K33" s="44" t="s">
        <v>549</v>
      </c>
      <c r="L33" s="45">
        <f>K4+K10+J17</f>
        <v>6198.8677621871475</v>
      </c>
    </row>
    <row r="34" spans="5:12" x14ac:dyDescent="0.35">
      <c r="E34" t="s">
        <v>550</v>
      </c>
      <c r="F34" s="30">
        <f>H9+G10+H12+H15+H16+H17+H26</f>
        <v>5752.2524022225671</v>
      </c>
      <c r="K34" s="44" t="s">
        <v>551</v>
      </c>
      <c r="L34" s="45">
        <f>L5+L6+L7+L8+L11+L12+L13+L14+L16+L18+L19+L20+L21+L22+L23+L24+L25+L27+L26</f>
        <v>31.408663923024463</v>
      </c>
    </row>
    <row r="35" spans="5:12" ht="15" thickBot="1" x14ac:dyDescent="0.4">
      <c r="K35" s="46"/>
      <c r="L35" s="47">
        <f>SUM(L32:L34)</f>
        <v>6689.1528000916123</v>
      </c>
    </row>
  </sheetData>
  <mergeCells count="2">
    <mergeCell ref="F2:H2"/>
    <mergeCell ref="J2:L2"/>
  </mergeCells>
  <pageMargins left="0.7" right="0.7" top="0.75" bottom="0.75" header="0.3" footer="0.3"/>
  <legacy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4B407-9B3B-4B62-B108-B74DFFABD452}">
  <dimension ref="A1:G24"/>
  <sheetViews>
    <sheetView workbookViewId="0">
      <selection activeCell="E39" sqref="E39"/>
    </sheetView>
  </sheetViews>
  <sheetFormatPr defaultColWidth="9.1796875" defaultRowHeight="12.5" x14ac:dyDescent="0.25"/>
  <cols>
    <col min="1" max="1" width="11" style="152" customWidth="1"/>
    <col min="2" max="2" width="20.54296875" style="152" customWidth="1"/>
    <col min="3" max="3" width="17.453125" style="152" customWidth="1"/>
    <col min="4" max="4" width="25.54296875" style="152" customWidth="1"/>
    <col min="5" max="7" width="26.7265625" style="152" customWidth="1"/>
    <col min="8" max="243" width="11.453125" style="152" customWidth="1"/>
    <col min="244" max="16384" width="9.1796875" style="152"/>
  </cols>
  <sheetData>
    <row r="1" spans="1:7" x14ac:dyDescent="0.25">
      <c r="A1" s="152" t="s">
        <v>552</v>
      </c>
    </row>
    <row r="3" spans="1:7" ht="15.5" x14ac:dyDescent="0.35">
      <c r="A3" s="153" t="s">
        <v>553</v>
      </c>
    </row>
    <row r="4" spans="1:7" x14ac:dyDescent="0.25">
      <c r="A4" s="154"/>
    </row>
    <row r="6" spans="1:7" ht="13" x14ac:dyDescent="0.3">
      <c r="A6" s="200" t="s">
        <v>554</v>
      </c>
      <c r="B6" s="201"/>
      <c r="C6" s="201"/>
      <c r="D6" s="202"/>
      <c r="E6" s="203" t="s">
        <v>555</v>
      </c>
      <c r="F6" s="204"/>
      <c r="G6" s="205"/>
    </row>
    <row r="7" spans="1:7" ht="13" x14ac:dyDescent="0.3">
      <c r="A7" s="155"/>
      <c r="B7" s="200" t="s">
        <v>380</v>
      </c>
      <c r="C7" s="202"/>
      <c r="D7" s="156" t="s">
        <v>556</v>
      </c>
      <c r="E7" s="206"/>
      <c r="F7" s="207"/>
      <c r="G7" s="208"/>
    </row>
    <row r="8" spans="1:7" ht="13" x14ac:dyDescent="0.3">
      <c r="A8" s="157"/>
      <c r="B8" s="158" t="s">
        <v>557</v>
      </c>
      <c r="C8" s="159" t="s">
        <v>558</v>
      </c>
      <c r="D8" s="160" t="s">
        <v>559</v>
      </c>
      <c r="E8" s="161" t="s">
        <v>560</v>
      </c>
      <c r="F8" s="200" t="s">
        <v>561</v>
      </c>
      <c r="G8" s="202"/>
    </row>
    <row r="9" spans="1:7" ht="13" x14ac:dyDescent="0.3">
      <c r="A9" s="157"/>
      <c r="B9" s="160" t="s">
        <v>562</v>
      </c>
      <c r="C9" s="162"/>
      <c r="D9" s="160"/>
      <c r="E9" s="163"/>
      <c r="F9" s="161" t="s">
        <v>563</v>
      </c>
      <c r="G9" s="161" t="s">
        <v>564</v>
      </c>
    </row>
    <row r="10" spans="1:7" ht="15" x14ac:dyDescent="0.3">
      <c r="A10" s="164"/>
      <c r="B10" s="165" t="s">
        <v>565</v>
      </c>
      <c r="C10" s="166" t="s">
        <v>565</v>
      </c>
      <c r="D10" s="167" t="s">
        <v>565</v>
      </c>
      <c r="E10" s="167" t="s">
        <v>565</v>
      </c>
      <c r="F10" s="167" t="s">
        <v>565</v>
      </c>
      <c r="G10" s="167" t="s">
        <v>565</v>
      </c>
    </row>
    <row r="11" spans="1:7" x14ac:dyDescent="0.25">
      <c r="A11" s="168" t="s">
        <v>566</v>
      </c>
      <c r="B11" s="169">
        <v>479</v>
      </c>
      <c r="C11" s="152">
        <v>139</v>
      </c>
      <c r="D11" s="170">
        <v>1355</v>
      </c>
      <c r="E11" s="171">
        <v>1389</v>
      </c>
      <c r="F11" s="172">
        <v>1378</v>
      </c>
      <c r="G11" s="170">
        <v>738</v>
      </c>
    </row>
    <row r="12" spans="1:7" x14ac:dyDescent="0.25">
      <c r="A12" s="168" t="s">
        <v>567</v>
      </c>
      <c r="B12" s="169">
        <v>865</v>
      </c>
      <c r="C12" s="152">
        <v>130</v>
      </c>
      <c r="D12" s="170">
        <v>1591</v>
      </c>
      <c r="E12" s="171">
        <v>1704</v>
      </c>
      <c r="F12" s="172">
        <v>1122</v>
      </c>
      <c r="G12" s="170">
        <v>998</v>
      </c>
    </row>
    <row r="13" spans="1:7" x14ac:dyDescent="0.25">
      <c r="A13" s="168" t="s">
        <v>568</v>
      </c>
      <c r="B13" s="169">
        <v>2290</v>
      </c>
      <c r="C13" s="152">
        <v>123</v>
      </c>
      <c r="D13" s="170">
        <v>1293</v>
      </c>
      <c r="E13" s="171">
        <v>1245</v>
      </c>
      <c r="F13" s="152">
        <v>920</v>
      </c>
      <c r="G13" s="173">
        <v>1881</v>
      </c>
    </row>
    <row r="14" spans="1:7" x14ac:dyDescent="0.25">
      <c r="A14" s="168" t="s">
        <v>569</v>
      </c>
      <c r="B14" s="169">
        <v>1964</v>
      </c>
      <c r="C14" s="152">
        <v>132</v>
      </c>
      <c r="D14" s="170">
        <v>1340</v>
      </c>
      <c r="E14" s="171">
        <v>1362</v>
      </c>
      <c r="F14" s="152">
        <v>521</v>
      </c>
      <c r="G14" s="173">
        <v>1283</v>
      </c>
    </row>
    <row r="15" spans="1:7" x14ac:dyDescent="0.25">
      <c r="A15" s="168" t="s">
        <v>570</v>
      </c>
      <c r="B15" s="169">
        <v>1497</v>
      </c>
      <c r="C15" s="152">
        <v>126</v>
      </c>
      <c r="D15" s="170">
        <v>1283</v>
      </c>
      <c r="E15" s="171">
        <v>1578</v>
      </c>
      <c r="F15" s="152">
        <v>433</v>
      </c>
      <c r="G15" s="173">
        <v>1363</v>
      </c>
    </row>
    <row r="16" spans="1:7" x14ac:dyDescent="0.25">
      <c r="A16" s="168" t="s">
        <v>571</v>
      </c>
      <c r="B16" s="169">
        <v>1450</v>
      </c>
      <c r="C16" s="152">
        <v>124</v>
      </c>
      <c r="D16" s="170">
        <v>1454</v>
      </c>
      <c r="E16" s="171">
        <v>1589</v>
      </c>
      <c r="F16" s="152">
        <v>407</v>
      </c>
      <c r="G16" s="170">
        <v>759</v>
      </c>
    </row>
    <row r="17" spans="1:7" x14ac:dyDescent="0.25">
      <c r="A17" s="168" t="s">
        <v>572</v>
      </c>
      <c r="B17" s="169">
        <v>2615</v>
      </c>
      <c r="C17" s="152">
        <v>130</v>
      </c>
      <c r="D17" s="170">
        <v>1489</v>
      </c>
      <c r="E17" s="171">
        <v>1462</v>
      </c>
      <c r="F17" s="152">
        <v>441</v>
      </c>
      <c r="G17" s="174" t="s">
        <v>573</v>
      </c>
    </row>
    <row r="18" spans="1:7" x14ac:dyDescent="0.25">
      <c r="A18" s="168" t="s">
        <v>574</v>
      </c>
      <c r="B18" s="169">
        <v>2264</v>
      </c>
      <c r="C18" s="152">
        <v>136</v>
      </c>
      <c r="D18" s="170">
        <v>1462</v>
      </c>
      <c r="E18" s="171">
        <v>1488</v>
      </c>
      <c r="F18" s="152">
        <v>456</v>
      </c>
      <c r="G18" s="173">
        <v>1218</v>
      </c>
    </row>
    <row r="19" spans="1:7" x14ac:dyDescent="0.25">
      <c r="A19" s="168" t="s">
        <v>575</v>
      </c>
      <c r="B19" s="169">
        <v>2534</v>
      </c>
      <c r="C19" s="152">
        <v>127</v>
      </c>
      <c r="D19" s="170">
        <v>1209</v>
      </c>
      <c r="E19" s="171">
        <v>1608</v>
      </c>
      <c r="F19" s="152">
        <v>780</v>
      </c>
      <c r="G19" s="173">
        <v>1518</v>
      </c>
    </row>
    <row r="20" spans="1:7" x14ac:dyDescent="0.25">
      <c r="A20" s="168" t="s">
        <v>576</v>
      </c>
      <c r="B20" s="169">
        <v>1080</v>
      </c>
      <c r="C20" s="152">
        <v>125</v>
      </c>
      <c r="D20" s="170">
        <v>836</v>
      </c>
      <c r="E20" s="175">
        <v>957</v>
      </c>
      <c r="F20" s="175">
        <v>360</v>
      </c>
      <c r="G20" s="170">
        <v>573</v>
      </c>
    </row>
    <row r="21" spans="1:7" x14ac:dyDescent="0.25">
      <c r="A21" s="168" t="s">
        <v>577</v>
      </c>
      <c r="B21" s="169">
        <v>1143</v>
      </c>
      <c r="C21" s="152">
        <v>148</v>
      </c>
      <c r="D21" s="170">
        <v>1197</v>
      </c>
      <c r="E21" s="171">
        <v>1273</v>
      </c>
      <c r="F21" s="172">
        <v>1195</v>
      </c>
      <c r="G21" s="173">
        <v>1170</v>
      </c>
    </row>
    <row r="22" spans="1:7" x14ac:dyDescent="0.25">
      <c r="A22" s="168" t="s">
        <v>578</v>
      </c>
      <c r="B22" s="169">
        <v>1480</v>
      </c>
      <c r="C22" s="152">
        <v>180</v>
      </c>
      <c r="D22" s="170">
        <v>1242</v>
      </c>
      <c r="E22" s="171">
        <v>1891</v>
      </c>
      <c r="F22" s="172">
        <v>1532</v>
      </c>
      <c r="G22" s="170">
        <v>602</v>
      </c>
    </row>
    <row r="23" spans="1:7" ht="13" x14ac:dyDescent="0.3">
      <c r="A23" s="176">
        <v>2024</v>
      </c>
      <c r="B23" s="177">
        <f t="shared" ref="B23:G23" si="0">SUM(B11:B22)</f>
        <v>19661</v>
      </c>
      <c r="C23" s="177">
        <f t="shared" si="0"/>
        <v>1620</v>
      </c>
      <c r="D23" s="178">
        <f t="shared" si="0"/>
        <v>15751</v>
      </c>
      <c r="E23" s="177">
        <f t="shared" si="0"/>
        <v>17546</v>
      </c>
      <c r="F23" s="177">
        <f t="shared" si="0"/>
        <v>9545</v>
      </c>
      <c r="G23" s="178">
        <f t="shared" si="0"/>
        <v>12103</v>
      </c>
    </row>
    <row r="24" spans="1:7" ht="14.5" x14ac:dyDescent="0.25">
      <c r="A24" s="179" t="s">
        <v>579</v>
      </c>
    </row>
  </sheetData>
  <mergeCells count="4">
    <mergeCell ref="A6:D6"/>
    <mergeCell ref="E6:G7"/>
    <mergeCell ref="B7:C7"/>
    <mergeCell ref="F8:G8"/>
  </mergeCells>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002B5-B7AC-4DEE-A3F1-D244C0D78FCD}">
  <dimension ref="A1:E18"/>
  <sheetViews>
    <sheetView workbookViewId="0">
      <selection activeCell="E16" sqref="E16"/>
    </sheetView>
  </sheetViews>
  <sheetFormatPr defaultRowHeight="14.5" x14ac:dyDescent="0.35"/>
  <cols>
    <col min="1" max="1" width="28" bestFit="1" customWidth="1"/>
    <col min="2" max="2" width="13.54296875" style="26" customWidth="1"/>
    <col min="4" max="4" width="14.1796875" bestFit="1" customWidth="1"/>
    <col min="5" max="5" width="21.54296875" bestFit="1" customWidth="1"/>
  </cols>
  <sheetData>
    <row r="1" spans="1:5" ht="16" x14ac:dyDescent="0.4">
      <c r="A1" s="209" t="s">
        <v>314</v>
      </c>
      <c r="B1" s="209"/>
      <c r="C1" s="209"/>
      <c r="D1" s="209"/>
      <c r="E1" s="209"/>
    </row>
    <row r="3" spans="1:5" x14ac:dyDescent="0.35">
      <c r="A3" s="191" t="s">
        <v>580</v>
      </c>
      <c r="B3" s="191"/>
      <c r="C3" s="191"/>
      <c r="D3" s="191"/>
      <c r="E3" s="191"/>
    </row>
    <row r="4" spans="1:5" s="20" customFormat="1" x14ac:dyDescent="0.35">
      <c r="A4" s="20" t="s">
        <v>581</v>
      </c>
      <c r="B4" s="21" t="s">
        <v>582</v>
      </c>
      <c r="C4" s="20" t="s">
        <v>583</v>
      </c>
      <c r="D4" s="20" t="s">
        <v>584</v>
      </c>
      <c r="E4" s="20" t="s">
        <v>585</v>
      </c>
    </row>
    <row r="5" spans="1:5" x14ac:dyDescent="0.35">
      <c r="A5" t="s">
        <v>586</v>
      </c>
      <c r="B5" s="22">
        <v>1394165</v>
      </c>
      <c r="C5" s="23">
        <v>0.14000000000000001</v>
      </c>
      <c r="D5" s="24" t="s">
        <v>587</v>
      </c>
      <c r="E5" s="24" t="s">
        <v>588</v>
      </c>
    </row>
    <row r="6" spans="1:5" x14ac:dyDescent="0.35">
      <c r="A6" t="s">
        <v>589</v>
      </c>
      <c r="B6" s="22">
        <v>4077040</v>
      </c>
      <c r="C6" s="23">
        <v>0.41</v>
      </c>
      <c r="D6" s="24" t="s">
        <v>590</v>
      </c>
      <c r="E6" s="24" t="s">
        <v>588</v>
      </c>
    </row>
    <row r="7" spans="1:5" x14ac:dyDescent="0.35">
      <c r="A7" t="s">
        <v>591</v>
      </c>
      <c r="B7" s="22">
        <v>4475703</v>
      </c>
      <c r="C7" s="23">
        <v>0.45</v>
      </c>
      <c r="D7" s="24" t="s">
        <v>592</v>
      </c>
      <c r="E7" s="24" t="s">
        <v>588</v>
      </c>
    </row>
    <row r="10" spans="1:5" x14ac:dyDescent="0.35">
      <c r="A10" s="210" t="s">
        <v>593</v>
      </c>
      <c r="B10" s="210"/>
      <c r="C10" s="210"/>
      <c r="D10" s="210"/>
      <c r="E10" s="210"/>
    </row>
    <row r="11" spans="1:5" x14ac:dyDescent="0.35">
      <c r="A11" s="20" t="s">
        <v>581</v>
      </c>
      <c r="B11" s="21" t="s">
        <v>582</v>
      </c>
      <c r="C11" s="20" t="s">
        <v>583</v>
      </c>
      <c r="D11" s="20" t="s">
        <v>584</v>
      </c>
      <c r="E11" s="20" t="s">
        <v>585</v>
      </c>
    </row>
    <row r="12" spans="1:5" x14ac:dyDescent="0.35">
      <c r="A12" t="s">
        <v>594</v>
      </c>
      <c r="B12" s="22">
        <v>143360</v>
      </c>
      <c r="C12" s="25">
        <v>2.5999999999999999E-2</v>
      </c>
      <c r="D12" s="24" t="s">
        <v>595</v>
      </c>
      <c r="E12" s="24" t="s">
        <v>596</v>
      </c>
    </row>
    <row r="13" spans="1:5" x14ac:dyDescent="0.35">
      <c r="A13" t="s">
        <v>591</v>
      </c>
      <c r="B13" s="22">
        <v>5385100</v>
      </c>
      <c r="C13" s="25">
        <v>0.97399999999999998</v>
      </c>
      <c r="D13" s="24" t="s">
        <v>592</v>
      </c>
      <c r="E13" s="24" t="s">
        <v>596</v>
      </c>
    </row>
    <row r="17" spans="2:2" x14ac:dyDescent="0.35">
      <c r="B17" s="26">
        <f>SUM(B12:B13,B5:B7)</f>
        <v>15475368</v>
      </c>
    </row>
    <row r="18" spans="2:2" x14ac:dyDescent="0.35">
      <c r="B18" s="26">
        <f>B17*0.000453592</f>
        <v>7019.5031218559998</v>
      </c>
    </row>
  </sheetData>
  <mergeCells count="3">
    <mergeCell ref="A1:E1"/>
    <mergeCell ref="A3:E3"/>
    <mergeCell ref="A10:E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F93AF-E23C-4586-A054-90586BEFF17F}">
  <dimension ref="A1:E19"/>
  <sheetViews>
    <sheetView workbookViewId="0">
      <selection activeCell="E21" sqref="E21"/>
    </sheetView>
  </sheetViews>
  <sheetFormatPr defaultRowHeight="14.5" x14ac:dyDescent="0.35"/>
  <cols>
    <col min="1" max="1" width="22" bestFit="1" customWidth="1"/>
    <col min="2" max="2" width="11.1796875" bestFit="1" customWidth="1"/>
    <col min="3" max="3" width="6.54296875" bestFit="1" customWidth="1"/>
    <col min="4" max="4" width="13.7265625" customWidth="1"/>
    <col min="5" max="5" width="64.1796875" bestFit="1" customWidth="1"/>
  </cols>
  <sheetData>
    <row r="1" spans="1:5" ht="16" x14ac:dyDescent="0.4">
      <c r="A1" s="209" t="s">
        <v>597</v>
      </c>
      <c r="B1" s="209"/>
      <c r="C1" s="209"/>
      <c r="D1" s="209"/>
      <c r="E1" s="209"/>
    </row>
    <row r="2" spans="1:5" x14ac:dyDescent="0.35">
      <c r="B2" s="26"/>
    </row>
    <row r="3" spans="1:5" x14ac:dyDescent="0.35">
      <c r="A3" s="211" t="s">
        <v>598</v>
      </c>
      <c r="B3" s="211"/>
      <c r="C3" s="211"/>
      <c r="D3" s="211"/>
      <c r="E3" s="211"/>
    </row>
    <row r="4" spans="1:5" x14ac:dyDescent="0.35">
      <c r="A4" s="20" t="s">
        <v>581</v>
      </c>
      <c r="B4" s="21" t="s">
        <v>582</v>
      </c>
      <c r="C4" s="20" t="s">
        <v>583</v>
      </c>
      <c r="D4" s="20" t="s">
        <v>584</v>
      </c>
      <c r="E4" s="20" t="s">
        <v>585</v>
      </c>
    </row>
    <row r="5" spans="1:5" x14ac:dyDescent="0.35">
      <c r="A5" t="s">
        <v>599</v>
      </c>
      <c r="B5" s="22">
        <v>46490</v>
      </c>
      <c r="C5" s="25">
        <v>0.02</v>
      </c>
      <c r="D5" s="24" t="s">
        <v>600</v>
      </c>
      <c r="E5" s="24"/>
    </row>
    <row r="6" spans="1:5" x14ac:dyDescent="0.35">
      <c r="A6" t="s">
        <v>601</v>
      </c>
      <c r="B6" s="22">
        <v>892920</v>
      </c>
      <c r="C6" s="25">
        <v>0.18</v>
      </c>
      <c r="D6" s="24" t="s">
        <v>602</v>
      </c>
      <c r="E6" s="24" t="s">
        <v>603</v>
      </c>
    </row>
    <row r="7" spans="1:5" x14ac:dyDescent="0.35">
      <c r="A7" t="s">
        <v>604</v>
      </c>
      <c r="B7" s="22">
        <v>3807960</v>
      </c>
      <c r="C7" s="25">
        <v>0.8</v>
      </c>
      <c r="D7" s="24" t="s">
        <v>592</v>
      </c>
      <c r="E7" s="24" t="s">
        <v>605</v>
      </c>
    </row>
    <row r="8" spans="1:5" x14ac:dyDescent="0.35">
      <c r="B8" s="26"/>
    </row>
    <row r="9" spans="1:5" x14ac:dyDescent="0.35">
      <c r="B9" s="26"/>
    </row>
    <row r="10" spans="1:5" x14ac:dyDescent="0.35">
      <c r="A10" s="212" t="s">
        <v>606</v>
      </c>
      <c r="B10" s="212"/>
      <c r="C10" s="212"/>
      <c r="D10" s="212"/>
      <c r="E10" s="212"/>
    </row>
    <row r="11" spans="1:5" x14ac:dyDescent="0.35">
      <c r="A11" s="20" t="s">
        <v>581</v>
      </c>
      <c r="B11" s="21" t="s">
        <v>582</v>
      </c>
      <c r="C11" s="20" t="s">
        <v>583</v>
      </c>
      <c r="D11" s="20" t="s">
        <v>584</v>
      </c>
      <c r="E11" s="20" t="s">
        <v>585</v>
      </c>
    </row>
    <row r="12" spans="1:5" x14ac:dyDescent="0.35">
      <c r="A12" t="s">
        <v>607</v>
      </c>
      <c r="B12" s="22">
        <v>3694660</v>
      </c>
      <c r="C12" s="25">
        <v>0.64100000000000001</v>
      </c>
      <c r="D12" s="24" t="s">
        <v>608</v>
      </c>
      <c r="E12" s="24" t="s">
        <v>603</v>
      </c>
    </row>
    <row r="13" spans="1:5" x14ac:dyDescent="0.35">
      <c r="A13" t="s">
        <v>601</v>
      </c>
      <c r="B13" s="22">
        <v>834660</v>
      </c>
      <c r="C13" s="25">
        <v>0.14499999999999999</v>
      </c>
      <c r="D13" s="24" t="s">
        <v>602</v>
      </c>
      <c r="E13" s="24" t="s">
        <v>603</v>
      </c>
    </row>
    <row r="14" spans="1:5" x14ac:dyDescent="0.35">
      <c r="A14" t="s">
        <v>604</v>
      </c>
      <c r="B14">
        <v>1236880</v>
      </c>
      <c r="C14" s="27">
        <v>0.215</v>
      </c>
      <c r="D14" t="s">
        <v>592</v>
      </c>
      <c r="E14" s="24" t="s">
        <v>605</v>
      </c>
    </row>
    <row r="18" spans="2:2" x14ac:dyDescent="0.35">
      <c r="B18" s="28">
        <f>SUM(B12:B14,B5:B7)</f>
        <v>10513570</v>
      </c>
    </row>
    <row r="19" spans="2:2" x14ac:dyDescent="0.35">
      <c r="B19" s="29">
        <f>B18*0.000453592</f>
        <v>4768.8712434400004</v>
      </c>
    </row>
  </sheetData>
  <mergeCells count="3">
    <mergeCell ref="A1:E1"/>
    <mergeCell ref="A3:E3"/>
    <mergeCell ref="A10:E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7F6B7-4601-4FAB-8E09-22DF770F317E}">
  <dimension ref="A1:B22"/>
  <sheetViews>
    <sheetView workbookViewId="0">
      <selection activeCell="C7" sqref="C7"/>
    </sheetView>
  </sheetViews>
  <sheetFormatPr defaultRowHeight="14.5" x14ac:dyDescent="0.35"/>
  <cols>
    <col min="1" max="1" width="10.453125" customWidth="1"/>
    <col min="2" max="2" width="16.7265625" customWidth="1"/>
  </cols>
  <sheetData>
    <row r="1" spans="1:2" x14ac:dyDescent="0.35">
      <c r="A1" t="s">
        <v>609</v>
      </c>
    </row>
    <row r="3" spans="1:2" x14ac:dyDescent="0.35">
      <c r="A3" t="s">
        <v>360</v>
      </c>
      <c r="B3" s="30" t="s">
        <v>610</v>
      </c>
    </row>
    <row r="4" spans="1:2" x14ac:dyDescent="0.35">
      <c r="A4" t="s">
        <v>611</v>
      </c>
      <c r="B4" s="30">
        <v>600000000</v>
      </c>
    </row>
    <row r="5" spans="1:2" x14ac:dyDescent="0.35">
      <c r="A5" t="s">
        <v>374</v>
      </c>
      <c r="B5" s="30">
        <v>156000000</v>
      </c>
    </row>
    <row r="6" spans="1:2" x14ac:dyDescent="0.35">
      <c r="A6" t="s">
        <v>382</v>
      </c>
      <c r="B6" s="30"/>
    </row>
    <row r="7" spans="1:2" x14ac:dyDescent="0.35">
      <c r="B7" s="30"/>
    </row>
    <row r="8" spans="1:2" x14ac:dyDescent="0.35">
      <c r="B8" s="30"/>
    </row>
    <row r="9" spans="1:2" x14ac:dyDescent="0.35">
      <c r="B9" s="30"/>
    </row>
    <row r="10" spans="1:2" x14ac:dyDescent="0.35">
      <c r="B10" s="30"/>
    </row>
    <row r="11" spans="1:2" x14ac:dyDescent="0.35">
      <c r="B11" s="30"/>
    </row>
    <row r="12" spans="1:2" x14ac:dyDescent="0.35">
      <c r="B12" s="30"/>
    </row>
    <row r="13" spans="1:2" x14ac:dyDescent="0.35">
      <c r="B13" s="30"/>
    </row>
    <row r="14" spans="1:2" x14ac:dyDescent="0.35">
      <c r="B14" s="30"/>
    </row>
    <row r="15" spans="1:2" x14ac:dyDescent="0.35">
      <c r="B15" s="30"/>
    </row>
    <row r="16" spans="1:2" x14ac:dyDescent="0.35">
      <c r="B16" s="30"/>
    </row>
    <row r="17" spans="2:2" x14ac:dyDescent="0.35">
      <c r="B17" s="30"/>
    </row>
    <row r="18" spans="2:2" x14ac:dyDescent="0.35">
      <c r="B18" s="30"/>
    </row>
    <row r="19" spans="2:2" x14ac:dyDescent="0.35">
      <c r="B19" s="30"/>
    </row>
    <row r="20" spans="2:2" x14ac:dyDescent="0.35">
      <c r="B20" s="30"/>
    </row>
    <row r="21" spans="2:2" x14ac:dyDescent="0.35">
      <c r="B21" s="30"/>
    </row>
    <row r="22" spans="2:2" x14ac:dyDescent="0.35">
      <c r="B22" s="30"/>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E54B9-D8D1-443B-A908-8D5CDC011E4D}">
  <dimension ref="A1:F10"/>
  <sheetViews>
    <sheetView workbookViewId="0">
      <selection activeCell="D12" sqref="D12"/>
    </sheetView>
  </sheetViews>
  <sheetFormatPr defaultRowHeight="14.5" x14ac:dyDescent="0.35"/>
  <cols>
    <col min="1" max="1" width="15.26953125" bestFit="1" customWidth="1"/>
    <col min="2" max="2" width="15" bestFit="1" customWidth="1"/>
    <col min="3" max="3" width="13.54296875" bestFit="1" customWidth="1"/>
    <col min="4" max="4" width="9.54296875" bestFit="1" customWidth="1"/>
    <col min="5" max="5" width="10.1796875" bestFit="1" customWidth="1"/>
    <col min="6" max="6" width="15" bestFit="1" customWidth="1"/>
  </cols>
  <sheetData>
    <row r="1" spans="1:6" x14ac:dyDescent="0.35">
      <c r="A1" s="59" t="s">
        <v>612</v>
      </c>
      <c r="B1" s="59" t="s">
        <v>613</v>
      </c>
      <c r="C1" s="59" t="s">
        <v>614</v>
      </c>
      <c r="D1" s="59" t="s">
        <v>615</v>
      </c>
      <c r="E1" s="59" t="s">
        <v>616</v>
      </c>
      <c r="F1" s="59" t="s">
        <v>617</v>
      </c>
    </row>
    <row r="2" spans="1:6" x14ac:dyDescent="0.35">
      <c r="A2" t="s">
        <v>618</v>
      </c>
      <c r="B2" s="60">
        <v>9646329</v>
      </c>
      <c r="C2" s="61">
        <v>-371265</v>
      </c>
      <c r="D2" s="60">
        <v>28288</v>
      </c>
      <c r="E2" s="60">
        <v>435043</v>
      </c>
      <c r="F2" s="60">
        <v>4675638</v>
      </c>
    </row>
    <row r="3" spans="1:6" x14ac:dyDescent="0.35">
      <c r="A3" t="s">
        <v>619</v>
      </c>
      <c r="B3" s="60">
        <v>6663460</v>
      </c>
      <c r="C3" s="61">
        <v>-334611</v>
      </c>
      <c r="D3" s="60">
        <v>-595235</v>
      </c>
      <c r="E3" s="60">
        <v>107765</v>
      </c>
      <c r="F3" s="60">
        <v>2726590</v>
      </c>
    </row>
    <row r="4" spans="1:6" x14ac:dyDescent="0.35">
      <c r="A4" t="s">
        <v>620</v>
      </c>
      <c r="B4" s="60">
        <v>26590</v>
      </c>
      <c r="C4" s="61">
        <v>-301971</v>
      </c>
      <c r="D4" s="60">
        <v>295808</v>
      </c>
      <c r="E4" s="60">
        <v>2675</v>
      </c>
      <c r="F4" s="60">
        <v>9353</v>
      </c>
    </row>
    <row r="5" spans="1:6" x14ac:dyDescent="0.35">
      <c r="A5" t="s">
        <v>621</v>
      </c>
      <c r="B5" s="60">
        <v>3186313</v>
      </c>
      <c r="C5" s="61">
        <v>-137095</v>
      </c>
      <c r="D5" s="60">
        <v>-627312</v>
      </c>
      <c r="E5" s="60">
        <v>279489</v>
      </c>
      <c r="F5" s="60">
        <v>1485386</v>
      </c>
    </row>
    <row r="6" spans="1:6" x14ac:dyDescent="0.35">
      <c r="A6" t="s">
        <v>622</v>
      </c>
      <c r="B6" s="60">
        <v>815851</v>
      </c>
      <c r="C6" s="61">
        <v>-78248</v>
      </c>
      <c r="D6" s="60">
        <v>67671</v>
      </c>
      <c r="E6" s="60">
        <v>69851</v>
      </c>
      <c r="F6" s="60">
        <v>563644</v>
      </c>
    </row>
    <row r="7" spans="1:6" x14ac:dyDescent="0.35">
      <c r="A7" t="s">
        <v>623</v>
      </c>
      <c r="B7" s="60">
        <v>13398</v>
      </c>
      <c r="C7" s="61">
        <v>-2970</v>
      </c>
      <c r="D7" s="60">
        <v>142</v>
      </c>
      <c r="E7" s="60">
        <v>1015</v>
      </c>
      <c r="F7" s="60">
        <v>5392</v>
      </c>
    </row>
    <row r="8" spans="1:6" x14ac:dyDescent="0.35">
      <c r="A8" t="s">
        <v>624</v>
      </c>
      <c r="B8" s="60">
        <v>9792</v>
      </c>
      <c r="C8" s="61">
        <v>-1262</v>
      </c>
      <c r="D8" s="60">
        <v>-341</v>
      </c>
      <c r="E8" s="60">
        <v>767</v>
      </c>
      <c r="F8" s="60">
        <v>4078</v>
      </c>
    </row>
    <row r="9" spans="1:6" x14ac:dyDescent="0.35">
      <c r="A9" t="s">
        <v>380</v>
      </c>
      <c r="B9" s="60">
        <v>1437683</v>
      </c>
      <c r="C9" s="61">
        <v>47385</v>
      </c>
      <c r="D9" s="60">
        <v>-13367</v>
      </c>
      <c r="E9" s="60">
        <v>52713</v>
      </c>
      <c r="F9" s="60">
        <v>872308</v>
      </c>
    </row>
    <row r="10" spans="1:6" x14ac:dyDescent="0.35">
      <c r="B10" s="60">
        <f>SUM(B2:B8)</f>
        <v>20361733</v>
      </c>
      <c r="C10" s="61"/>
      <c r="D10" s="60"/>
      <c r="E10" s="60"/>
      <c r="F10" s="60">
        <f>SUBTOTAL(109,Table19[Expense 2024])</f>
        <v>10342389</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D193F-F218-4A62-B6EA-D5218F439DAE}">
  <dimension ref="A2:U57"/>
  <sheetViews>
    <sheetView workbookViewId="0">
      <selection activeCell="E18" sqref="E18"/>
    </sheetView>
  </sheetViews>
  <sheetFormatPr defaultRowHeight="14.5" x14ac:dyDescent="0.35"/>
  <cols>
    <col min="1" max="1" width="22.26953125" customWidth="1"/>
    <col min="2" max="9" width="16.26953125" customWidth="1"/>
    <col min="10" max="10" width="17.26953125" customWidth="1"/>
    <col min="11" max="11" width="11.7265625" customWidth="1"/>
    <col min="12" max="12" width="17.81640625" bestFit="1" customWidth="1"/>
    <col min="13" max="13" width="11.7265625" customWidth="1"/>
    <col min="14" max="14" width="15.54296875" customWidth="1"/>
    <col min="15" max="15" width="11.7265625" customWidth="1"/>
    <col min="16" max="16" width="18.54296875" bestFit="1" customWidth="1"/>
    <col min="18" max="18" width="13.26953125" customWidth="1"/>
    <col min="19" max="19" width="13" customWidth="1"/>
    <col min="20" max="20" width="12.1796875" customWidth="1"/>
    <col min="21" max="21" width="4.26953125" bestFit="1" customWidth="1"/>
  </cols>
  <sheetData>
    <row r="2" spans="1:19" x14ac:dyDescent="0.35">
      <c r="R2">
        <f>(8880-10243)/10243</f>
        <v>-0.13306648442839011</v>
      </c>
      <c r="S2" s="27">
        <f>(90077-106088)/106088</f>
        <v>-0.15092187617826711</v>
      </c>
    </row>
    <row r="3" spans="1:19" x14ac:dyDescent="0.35">
      <c r="B3" s="213">
        <v>2021</v>
      </c>
      <c r="C3" s="213"/>
      <c r="D3" s="24"/>
      <c r="E3" s="213">
        <v>2022</v>
      </c>
      <c r="F3" s="213"/>
      <c r="G3" s="24"/>
      <c r="H3" s="24"/>
      <c r="I3" s="213">
        <v>2023</v>
      </c>
      <c r="J3" s="213"/>
    </row>
    <row r="4" spans="1:19" x14ac:dyDescent="0.35">
      <c r="B4" s="213" t="s">
        <v>625</v>
      </c>
      <c r="C4" s="213"/>
      <c r="D4" s="24"/>
      <c r="E4" s="213" t="s">
        <v>625</v>
      </c>
      <c r="F4" s="213"/>
      <c r="G4" s="24"/>
      <c r="H4" s="24"/>
      <c r="I4" s="213" t="s">
        <v>625</v>
      </c>
      <c r="J4" s="213"/>
    </row>
    <row r="5" spans="1:19" x14ac:dyDescent="0.35">
      <c r="A5" t="s">
        <v>626</v>
      </c>
      <c r="B5" t="s">
        <v>627</v>
      </c>
      <c r="C5" t="s">
        <v>628</v>
      </c>
      <c r="D5" t="s">
        <v>629</v>
      </c>
      <c r="E5" t="s">
        <v>630</v>
      </c>
      <c r="F5" t="s">
        <v>631</v>
      </c>
      <c r="G5" t="s">
        <v>632</v>
      </c>
      <c r="H5" t="s">
        <v>633</v>
      </c>
      <c r="I5" t="s">
        <v>634</v>
      </c>
      <c r="J5" t="s">
        <v>635</v>
      </c>
      <c r="K5" t="s">
        <v>636</v>
      </c>
      <c r="L5" t="s">
        <v>637</v>
      </c>
      <c r="M5" t="s">
        <v>638</v>
      </c>
      <c r="N5" t="s">
        <v>639</v>
      </c>
      <c r="O5" t="s">
        <v>640</v>
      </c>
      <c r="P5" t="s">
        <v>641</v>
      </c>
      <c r="R5" t="s">
        <v>642</v>
      </c>
      <c r="S5" t="s">
        <v>643</v>
      </c>
    </row>
    <row r="6" spans="1:19" x14ac:dyDescent="0.35">
      <c r="A6" t="s">
        <v>644</v>
      </c>
      <c r="B6" s="7">
        <v>106.96644277299998</v>
      </c>
      <c r="C6" s="7">
        <v>15080.863734999999</v>
      </c>
      <c r="D6" s="26">
        <f>SUM(Table11[[#This Row],[Scope 1 (2021)]:[Scope 2 (2021)]])</f>
        <v>15187.830177772999</v>
      </c>
      <c r="E6" s="26">
        <v>88.317025812299988</v>
      </c>
      <c r="F6" s="26">
        <v>15925.806752</v>
      </c>
      <c r="G6" s="26">
        <f>SUM(Table11[[#This Row],[Scope 1 (2022)]:[Scope 2 (2022)]])</f>
        <v>16014.1237778123</v>
      </c>
      <c r="H6" s="26">
        <v>47393</v>
      </c>
      <c r="I6" s="26">
        <v>142.25</v>
      </c>
      <c r="J6" s="30">
        <v>13126.91</v>
      </c>
      <c r="K6" s="26">
        <f>SUM(Table11[[#This Row],[Scope 1 (2023)]:[Scope 2 (2023)]])</f>
        <v>13269.16</v>
      </c>
      <c r="L6" s="26">
        <v>44097</v>
      </c>
      <c r="M6" s="26">
        <f>Table11[[#This Row],[2023 Prod (ton)]]-Table11[[#This Row],[2022 Prod (ton)]]</f>
        <v>-3296</v>
      </c>
      <c r="N6" s="62">
        <f>(Table11[[#This Row],[2023 Prod (ton)]]-Table11[[#This Row],[2022 Prod (ton)]])/Table11[[#This Row],[2022 Prod (ton)]]</f>
        <v>-6.9546135505243384E-2</v>
      </c>
      <c r="O6" s="26">
        <f>Table11[[#This Row],[2023 SUM]]-Table11[[#This Row],[2022 SUM]]</f>
        <v>-2744.9637778122997</v>
      </c>
      <c r="P6" s="62">
        <f>(Table11[[#This Row],[2023 SUM]]-Table11[[#This Row],[2022 SUM]])/Table11[[#This Row],[2022 SUM]]</f>
        <v>-0.171408927263037</v>
      </c>
      <c r="R6" s="62">
        <f>(Table11[[#This Row],[Scope 1 (2023)]]-Table11[[#This Row],[Scope 1 (2022)]])/Table11[[#This Row],[Scope 1 (2022)]]</f>
        <v>0.61067471069874635</v>
      </c>
      <c r="S6" s="62">
        <f>(Table11[[#This Row],[Scope 2 (2023)]]-Table11[[#This Row],[Scope 2 (2022)]])/Table11[[#This Row],[Scope 2 (2022)]]</f>
        <v>-0.17574599488647621</v>
      </c>
    </row>
    <row r="7" spans="1:19" x14ac:dyDescent="0.35">
      <c r="A7" s="63" t="s">
        <v>645</v>
      </c>
      <c r="B7" s="7">
        <v>0</v>
      </c>
      <c r="C7" s="7">
        <v>0</v>
      </c>
      <c r="D7" s="26">
        <f>SUM(Table11[[#This Row],[Scope 1 (2021)]:[Scope 2 (2021)]])</f>
        <v>0</v>
      </c>
      <c r="E7" s="26">
        <v>0</v>
      </c>
      <c r="F7" s="26">
        <v>0</v>
      </c>
      <c r="G7" s="26">
        <f>SUM(Table11[[#This Row],[Scope 1 (2022)]:[Scope 2 (2022)]])</f>
        <v>0</v>
      </c>
      <c r="H7" s="26">
        <v>0</v>
      </c>
      <c r="I7" s="26">
        <v>64.489999999999995</v>
      </c>
      <c r="J7" s="30">
        <v>0</v>
      </c>
      <c r="K7" s="26">
        <f>SUM(Table11[[#This Row],[Scope 1 (2023)]:[Scope 2 (2023)]])</f>
        <v>64.489999999999995</v>
      </c>
      <c r="L7" s="26">
        <v>0</v>
      </c>
      <c r="M7" s="26">
        <f>Table11[[#This Row],[2023 Prod (ton)]]-Table11[[#This Row],[2022 Prod (ton)]]</f>
        <v>0</v>
      </c>
      <c r="N7" s="26"/>
      <c r="O7" s="26">
        <f>Table11[[#This Row],[2023 SUM]]-Table11[[#This Row],[2022 SUM]]</f>
        <v>64.489999999999995</v>
      </c>
      <c r="P7" s="30"/>
      <c r="R7" s="62" t="e">
        <f>(Table11[[#This Row],[Scope 1 (2023)]]-Table11[[#This Row],[Scope 1 (2022)]])/Table11[[#This Row],[Scope 1 (2022)]]</f>
        <v>#DIV/0!</v>
      </c>
      <c r="S7" s="62" t="e">
        <f>(Table11[[#This Row],[Scope 2 (2023)]]-Table11[[#This Row],[Scope 2 (2022)]])/Table11[[#This Row],[Scope 2 (2022)]]</f>
        <v>#DIV/0!</v>
      </c>
    </row>
    <row r="8" spans="1:19" x14ac:dyDescent="0.35">
      <c r="A8" s="63" t="s">
        <v>646</v>
      </c>
      <c r="B8" s="7">
        <v>0</v>
      </c>
      <c r="C8" s="7">
        <v>0</v>
      </c>
      <c r="D8" s="26">
        <f>SUM(Table11[[#This Row],[Scope 1 (2021)]:[Scope 2 (2021)]])</f>
        <v>0</v>
      </c>
      <c r="E8" s="26">
        <v>0</v>
      </c>
      <c r="F8" s="26">
        <v>0</v>
      </c>
      <c r="G8" s="26">
        <f>SUM(Table11[[#This Row],[Scope 1 (2022)]:[Scope 2 (2022)]])</f>
        <v>0</v>
      </c>
      <c r="H8" s="26">
        <v>0</v>
      </c>
      <c r="I8" s="26">
        <v>0</v>
      </c>
      <c r="J8" s="30">
        <v>3.67</v>
      </c>
      <c r="K8" s="26">
        <f>SUM(Table11[[#This Row],[Scope 1 (2023)]:[Scope 2 (2023)]])</f>
        <v>3.67</v>
      </c>
      <c r="L8" s="26"/>
      <c r="M8" s="26">
        <f>Table11[[#This Row],[2023 Prod (ton)]]-Table11[[#This Row],[2022 Prod (ton)]]</f>
        <v>0</v>
      </c>
      <c r="N8" s="26"/>
      <c r="O8" s="26">
        <f>Table11[[#This Row],[2023 SUM]]-Table11[[#This Row],[2022 SUM]]</f>
        <v>3.67</v>
      </c>
      <c r="P8" s="30"/>
      <c r="R8" s="62" t="e">
        <f>(Table11[[#This Row],[Scope 1 (2023)]]-Table11[[#This Row],[Scope 1 (2022)]])/Table11[[#This Row],[Scope 1 (2022)]]</f>
        <v>#DIV/0!</v>
      </c>
      <c r="S8" s="62" t="e">
        <f>(Table11[[#This Row],[Scope 2 (2023)]]-Table11[[#This Row],[Scope 2 (2022)]])/Table11[[#This Row],[Scope 2 (2022)]]</f>
        <v>#DIV/0!</v>
      </c>
    </row>
    <row r="9" spans="1:19" x14ac:dyDescent="0.35">
      <c r="A9" t="s">
        <v>647</v>
      </c>
      <c r="B9" s="7">
        <v>50146.186279606991</v>
      </c>
      <c r="C9" s="7">
        <v>12813.852730000001</v>
      </c>
      <c r="D9" s="26">
        <f>SUM(Table11[[#This Row],[Scope 1 (2021)]:[Scope 2 (2021)]])</f>
        <v>62960.03900960699</v>
      </c>
      <c r="E9" s="26">
        <v>48883.958606940003</v>
      </c>
      <c r="F9" s="26">
        <v>12586.72754</v>
      </c>
      <c r="G9" s="26">
        <f>SUM(Table11[[#This Row],[Scope 1 (2022)]:[Scope 2 (2022)]])</f>
        <v>61470.686146940003</v>
      </c>
      <c r="H9" s="26">
        <v>224128</v>
      </c>
      <c r="I9" s="26">
        <v>44646.43</v>
      </c>
      <c r="J9" s="30">
        <v>9052</v>
      </c>
      <c r="K9" s="26">
        <f>SUM(Table11[[#This Row],[Scope 1 (2023)]:[Scope 2 (2023)]])</f>
        <v>53698.43</v>
      </c>
      <c r="L9" s="26">
        <v>207638</v>
      </c>
      <c r="M9" s="26">
        <f>Table11[[#This Row],[2023 Prod (ton)]]-Table11[[#This Row],[2022 Prod (ton)]]</f>
        <v>-16490</v>
      </c>
      <c r="N9" s="62">
        <f>(Table11[[#This Row],[2023 Prod (ton)]]-Table11[[#This Row],[2022 Prod (ton)]])/Table11[[#This Row],[2022 Prod (ton)]]</f>
        <v>-7.3574029126213594E-2</v>
      </c>
      <c r="O9" s="26">
        <f>Table11[[#This Row],[2023 SUM]]-Table11[[#This Row],[2022 SUM]]</f>
        <v>-7772.2561469400025</v>
      </c>
      <c r="P9" s="62">
        <f>(Table11[[#This Row],[2023 SUM]]-Table11[[#This Row],[2022 SUM]])/Table11[[#This Row],[2022 SUM]]</f>
        <v>-0.1264384153507111</v>
      </c>
      <c r="R9" s="62">
        <f>(Table11[[#This Row],[Scope 1 (2023)]]-Table11[[#This Row],[Scope 1 (2022)]])/Table11[[#This Row],[Scope 1 (2022)]]</f>
        <v>-8.6685463446456751E-2</v>
      </c>
      <c r="S9" s="62">
        <f>(Table11[[#This Row],[Scope 2 (2023)]]-Table11[[#This Row],[Scope 2 (2022)]])/Table11[[#This Row],[Scope 2 (2022)]]</f>
        <v>-0.2808297493345121</v>
      </c>
    </row>
    <row r="10" spans="1:19" x14ac:dyDescent="0.35">
      <c r="A10" t="s">
        <v>648</v>
      </c>
      <c r="B10" s="7">
        <v>12270.673986548001</v>
      </c>
      <c r="C10" s="7">
        <v>5752.7050799999997</v>
      </c>
      <c r="D10" s="26">
        <f>SUM(Table11[[#This Row],[Scope 1 (2021)]:[Scope 2 (2021)]])</f>
        <v>18023.379066548001</v>
      </c>
      <c r="E10" s="26">
        <v>12573.183419376999</v>
      </c>
      <c r="F10" s="26">
        <v>5787.419261</v>
      </c>
      <c r="G10" s="26">
        <f>SUM(Table11[[#This Row],[Scope 1 (2022)]:[Scope 2 (2022)]])</f>
        <v>18360.602680377</v>
      </c>
      <c r="H10" s="26">
        <v>61042</v>
      </c>
      <c r="I10" s="26">
        <v>10079.74</v>
      </c>
      <c r="J10" s="30">
        <v>3914.8</v>
      </c>
      <c r="K10" s="26">
        <f>SUM(Table11[[#This Row],[Scope 1 (2023)]:[Scope 2 (2023)]])</f>
        <v>13994.54</v>
      </c>
      <c r="L10" s="26">
        <v>46147</v>
      </c>
      <c r="M10" s="26">
        <f>Table11[[#This Row],[2023 Prod (ton)]]-Table11[[#This Row],[2022 Prod (ton)]]</f>
        <v>-14895</v>
      </c>
      <c r="N10" s="62">
        <f>(Table11[[#This Row],[2023 Prod (ton)]]-Table11[[#This Row],[2022 Prod (ton)]])/Table11[[#This Row],[2022 Prod (ton)]]</f>
        <v>-0.24401231938665183</v>
      </c>
      <c r="O10" s="26">
        <f>Table11[[#This Row],[2023 SUM]]-Table11[[#This Row],[2022 SUM]]</f>
        <v>-4366.0626803769992</v>
      </c>
      <c r="P10" s="62">
        <f>(Table11[[#This Row],[2023 SUM]]-Table11[[#This Row],[2022 SUM]])/Table11[[#This Row],[2022 SUM]]</f>
        <v>-0.23779517243424989</v>
      </c>
      <c r="R10" s="62">
        <f>(Table11[[#This Row],[Scope 1 (2023)]]-Table11[[#This Row],[Scope 1 (2022)]])/Table11[[#This Row],[Scope 1 (2022)]]</f>
        <v>-0.19831440743433848</v>
      </c>
      <c r="S10" s="62">
        <f>(Table11[[#This Row],[Scope 2 (2023)]]-Table11[[#This Row],[Scope 2 (2022)]])/Table11[[#This Row],[Scope 2 (2022)]]</f>
        <v>-0.32356723723458608</v>
      </c>
    </row>
    <row r="11" spans="1:19" x14ac:dyDescent="0.35">
      <c r="A11" t="s">
        <v>649</v>
      </c>
      <c r="B11" s="7">
        <v>144.96027013200001</v>
      </c>
      <c r="C11" s="7">
        <v>1787.2833600000001</v>
      </c>
      <c r="D11" s="26">
        <f>SUM(Table11[[#This Row],[Scope 1 (2021)]:[Scope 2 (2021)]])</f>
        <v>1932.2436301320001</v>
      </c>
      <c r="E11" s="26">
        <v>148.84591279200001</v>
      </c>
      <c r="F11" s="26">
        <v>1609.0342129999999</v>
      </c>
      <c r="G11" s="26">
        <f>SUM(Table11[[#This Row],[Scope 1 (2022)]:[Scope 2 (2022)]])</f>
        <v>1757.8801257919999</v>
      </c>
      <c r="H11" s="26"/>
      <c r="I11" s="26">
        <v>150.55000000000001</v>
      </c>
      <c r="J11" s="30">
        <v>1733.61</v>
      </c>
      <c r="K11" s="26">
        <f>SUM(Table11[[#This Row],[Scope 1 (2023)]:[Scope 2 (2023)]])</f>
        <v>1884.1599999999999</v>
      </c>
      <c r="L11" s="26"/>
      <c r="M11" s="26">
        <f>Table11[[#This Row],[2023 Prod (ton)]]-Table11[[#This Row],[2022 Prod (ton)]]</f>
        <v>0</v>
      </c>
      <c r="N11" s="62"/>
      <c r="O11" s="26">
        <f>Table11[[#This Row],[2023 SUM]]-Table11[[#This Row],[2022 SUM]]</f>
        <v>126.27987420799991</v>
      </c>
      <c r="P11" s="62">
        <f>(Table11[[#This Row],[2023 SUM]]-Table11[[#This Row],[2022 SUM]])/Table11[[#This Row],[2022 SUM]]</f>
        <v>7.1836453666660263E-2</v>
      </c>
      <c r="R11" s="62">
        <f>(Table11[[#This Row],[Scope 1 (2023)]]-Table11[[#This Row],[Scope 1 (2022)]])/Table11[[#This Row],[Scope 1 (2022)]]</f>
        <v>1.1448666449990647E-2</v>
      </c>
      <c r="S11" s="62">
        <f>(Table11[[#This Row],[Scope 2 (2023)]]-Table11[[#This Row],[Scope 2 (2022)]])/Table11[[#This Row],[Scope 2 (2022)]]</f>
        <v>7.7422708599671028E-2</v>
      </c>
    </row>
    <row r="12" spans="1:19" x14ac:dyDescent="0.35">
      <c r="A12" t="s">
        <v>650</v>
      </c>
      <c r="B12" s="7">
        <v>802.25659351499996</v>
      </c>
      <c r="C12" s="7">
        <v>2198.0379830000002</v>
      </c>
      <c r="D12" s="26">
        <f>SUM(Table11[[#This Row],[Scope 1 (2021)]:[Scope 2 (2021)]])</f>
        <v>3000.2945765150002</v>
      </c>
      <c r="E12" s="26">
        <v>697.18625974999998</v>
      </c>
      <c r="F12" s="26">
        <v>1499.0086470000001</v>
      </c>
      <c r="G12" s="26">
        <f>SUM(Table11[[#This Row],[Scope 1 (2022)]:[Scope 2 (2022)]])</f>
        <v>2196.19490675</v>
      </c>
      <c r="H12" s="26"/>
      <c r="I12" s="26">
        <v>574.67999999999995</v>
      </c>
      <c r="J12" s="30">
        <v>1529</v>
      </c>
      <c r="K12" s="26">
        <f>SUM(Table11[[#This Row],[Scope 1 (2023)]:[Scope 2 (2023)]])</f>
        <v>2103.6799999999998</v>
      </c>
      <c r="L12" s="26"/>
      <c r="M12" s="26">
        <f>Table11[[#This Row],[2023 Prod (ton)]]-Table11[[#This Row],[2022 Prod (ton)]]</f>
        <v>0</v>
      </c>
      <c r="N12" s="62"/>
      <c r="O12" s="26">
        <f>Table11[[#This Row],[2023 SUM]]-Table11[[#This Row],[2022 SUM]]</f>
        <v>-92.514906750000137</v>
      </c>
      <c r="P12" s="62">
        <f>(Table11[[#This Row],[2023 SUM]]-Table11[[#This Row],[2022 SUM]])/Table11[[#This Row],[2022 SUM]]</f>
        <v>-4.2125089383303727E-2</v>
      </c>
      <c r="R12" s="62">
        <f>(Table11[[#This Row],[Scope 1 (2023)]]-Table11[[#This Row],[Scope 1 (2022)]])/Table11[[#This Row],[Scope 1 (2022)]]</f>
        <v>-0.17571525261259285</v>
      </c>
      <c r="S12" s="62">
        <f>(Table11[[#This Row],[Scope 2 (2023)]]-Table11[[#This Row],[Scope 2 (2022)]])/Table11[[#This Row],[Scope 2 (2022)]]</f>
        <v>2.0007458302540325E-2</v>
      </c>
    </row>
    <row r="13" spans="1:19" x14ac:dyDescent="0.35">
      <c r="A13" t="s">
        <v>651</v>
      </c>
      <c r="B13" s="7">
        <v>184.73358239999999</v>
      </c>
      <c r="C13" s="7">
        <v>885.47210439999992</v>
      </c>
      <c r="D13" s="26">
        <f>SUM(Table11[[#This Row],[Scope 1 (2021)]:[Scope 2 (2021)]])</f>
        <v>1070.2056868</v>
      </c>
      <c r="E13" s="26">
        <v>1996.0042656999999</v>
      </c>
      <c r="F13" s="26">
        <v>818.47751879999998</v>
      </c>
      <c r="G13" s="26">
        <f>SUM(Table11[[#This Row],[Scope 1 (2022)]:[Scope 2 (2022)]])</f>
        <v>2814.4817844999998</v>
      </c>
      <c r="H13" s="26">
        <v>1072</v>
      </c>
      <c r="I13" s="26">
        <v>168.53</v>
      </c>
      <c r="J13" s="30">
        <v>800.74</v>
      </c>
      <c r="K13" s="26">
        <f>SUM(Table11[[#This Row],[Scope 1 (2023)]:[Scope 2 (2023)]])</f>
        <v>969.27</v>
      </c>
      <c r="L13" s="26">
        <v>866</v>
      </c>
      <c r="M13" s="26">
        <f>Table11[[#This Row],[2023 Prod (ton)]]-Table11[[#This Row],[2022 Prod (ton)]]</f>
        <v>-206</v>
      </c>
      <c r="N13" s="62">
        <f>(Table11[[#This Row],[2023 Prod (ton)]]-Table11[[#This Row],[2022 Prod (ton)]])/Table11[[#This Row],[2022 Prod (ton)]]</f>
        <v>-0.19216417910447761</v>
      </c>
      <c r="O13" s="26">
        <f>Table11[[#This Row],[2023 SUM]]-Table11[[#This Row],[2022 SUM]]</f>
        <v>-1845.2117844999998</v>
      </c>
      <c r="P13" s="62">
        <f>(Table11[[#This Row],[2023 SUM]]-Table11[[#This Row],[2022 SUM]])/Table11[[#This Row],[2022 SUM]]</f>
        <v>-0.65561333338947392</v>
      </c>
      <c r="R13" s="62">
        <f>(Table11[[#This Row],[Scope 1 (2023)]]-Table11[[#This Row],[Scope 1 (2022)]])/Table11[[#This Row],[Scope 1 (2022)]]</f>
        <v>-0.91556631270980959</v>
      </c>
      <c r="S13" s="62">
        <f>(Table11[[#This Row],[Scope 2 (2023)]]-Table11[[#This Row],[Scope 2 (2022)]])/Table11[[#This Row],[Scope 2 (2022)]]</f>
        <v>-2.1671357358728195E-2</v>
      </c>
    </row>
    <row r="14" spans="1:19" x14ac:dyDescent="0.35">
      <c r="A14" t="s">
        <v>652</v>
      </c>
      <c r="B14" s="7">
        <v>1226.8020218930001</v>
      </c>
      <c r="C14" s="7">
        <v>546.38696119999997</v>
      </c>
      <c r="D14" s="26">
        <f>SUM(Table11[[#This Row],[Scope 1 (2021)]:[Scope 2 (2021)]])</f>
        <v>1773.1889830929999</v>
      </c>
      <c r="E14" s="26">
        <v>1328.89182491</v>
      </c>
      <c r="F14" s="26">
        <v>591.77817528999992</v>
      </c>
      <c r="G14" s="26">
        <f>SUM(Table11[[#This Row],[Scope 1 (2022)]:[Scope 2 (2022)]])</f>
        <v>1920.6700001999998</v>
      </c>
      <c r="H14" s="26">
        <v>25786</v>
      </c>
      <c r="I14" s="26">
        <v>1190.1099999999999</v>
      </c>
      <c r="J14" s="30">
        <v>739.95</v>
      </c>
      <c r="K14" s="26">
        <f>SUM(Table11[[#This Row],[Scope 1 (2023)]:[Scope 2 (2023)]])</f>
        <v>1930.06</v>
      </c>
      <c r="L14" s="26">
        <v>23295</v>
      </c>
      <c r="M14" s="26">
        <f>Table11[[#This Row],[2023 Prod (ton)]]-Table11[[#This Row],[2022 Prod (ton)]]</f>
        <v>-2491</v>
      </c>
      <c r="N14" s="62">
        <f>(Table11[[#This Row],[2023 Prod (ton)]]-Table11[[#This Row],[2022 Prod (ton)]])/Table11[[#This Row],[2022 Prod (ton)]]</f>
        <v>-9.6602807725122156E-2</v>
      </c>
      <c r="O14" s="26">
        <f>Table11[[#This Row],[2023 SUM]]-Table11[[#This Row],[2022 SUM]]</f>
        <v>9.3899998000001688</v>
      </c>
      <c r="P14" s="62">
        <f>(Table11[[#This Row],[2023 SUM]]-Table11[[#This Row],[2022 SUM]])/Table11[[#This Row],[2022 SUM]]</f>
        <v>4.888918866344758E-3</v>
      </c>
      <c r="R14" s="62">
        <f>(Table11[[#This Row],[Scope 1 (2023)]]-Table11[[#This Row],[Scope 1 (2022)]])/Table11[[#This Row],[Scope 1 (2022)]]</f>
        <v>-0.10443425289293141</v>
      </c>
      <c r="S14" s="62">
        <f>(Table11[[#This Row],[Scope 2 (2023)]]-Table11[[#This Row],[Scope 2 (2022)]])/Table11[[#This Row],[Scope 2 (2022)]]</f>
        <v>0.2503840643284771</v>
      </c>
    </row>
    <row r="15" spans="1:19" x14ac:dyDescent="0.35">
      <c r="A15" t="s">
        <v>653</v>
      </c>
      <c r="B15" s="7">
        <v>531.94062216500004</v>
      </c>
      <c r="C15" s="7">
        <v>469.1828476</v>
      </c>
      <c r="D15" s="26">
        <f>SUM(Table11[[#This Row],[Scope 1 (2021)]:[Scope 2 (2021)]])</f>
        <v>1001.123469765</v>
      </c>
      <c r="E15" s="26">
        <v>64.885477958999999</v>
      </c>
      <c r="F15" s="26">
        <v>327.87757249999999</v>
      </c>
      <c r="G15" s="26">
        <f>SUM(Table11[[#This Row],[Scope 1 (2022)]:[Scope 2 (2022)]])</f>
        <v>392.763050459</v>
      </c>
      <c r="H15" s="26"/>
      <c r="I15" s="26">
        <v>0</v>
      </c>
      <c r="J15" s="30">
        <v>16.55</v>
      </c>
      <c r="K15" s="26">
        <f>SUM(Table11[[#This Row],[Scope 1 (2023)]:[Scope 2 (2023)]])</f>
        <v>16.55</v>
      </c>
      <c r="L15" s="26"/>
      <c r="M15" s="26">
        <f>Table11[[#This Row],[2023 Prod (ton)]]-Table11[[#This Row],[2022 Prod (ton)]]</f>
        <v>0</v>
      </c>
      <c r="N15" s="62"/>
      <c r="O15" s="26">
        <f>Table11[[#This Row],[2023 SUM]]-Table11[[#This Row],[2022 SUM]]</f>
        <v>-376.21305045899999</v>
      </c>
      <c r="P15" s="62">
        <f>(Table11[[#This Row],[2023 SUM]]-Table11[[#This Row],[2022 SUM]])/Table11[[#This Row],[2022 SUM]]</f>
        <v>-0.95786263503998414</v>
      </c>
      <c r="R15" s="62">
        <f>(Table11[[#This Row],[Scope 1 (2023)]]-Table11[[#This Row],[Scope 1 (2022)]])/Table11[[#This Row],[Scope 1 (2022)]]</f>
        <v>-1</v>
      </c>
      <c r="S15" s="62">
        <f>(Table11[[#This Row],[Scope 2 (2023)]]-Table11[[#This Row],[Scope 2 (2022)]])/Table11[[#This Row],[Scope 2 (2022)]]</f>
        <v>-0.94952384247019517</v>
      </c>
    </row>
    <row r="16" spans="1:19" x14ac:dyDescent="0.35">
      <c r="A16" t="s">
        <v>654</v>
      </c>
      <c r="B16" s="7">
        <v>103.77365374</v>
      </c>
      <c r="C16" s="7">
        <v>127.630702</v>
      </c>
      <c r="D16" s="26">
        <f>SUM(Table11[[#This Row],[Scope 1 (2021)]:[Scope 2 (2021)]])</f>
        <v>231.40435574</v>
      </c>
      <c r="E16" s="26">
        <v>127.92358824999999</v>
      </c>
      <c r="F16" s="26">
        <v>108.9349005</v>
      </c>
      <c r="G16" s="26">
        <f>SUM(Table11[[#This Row],[Scope 1 (2022)]:[Scope 2 (2022)]])</f>
        <v>236.85848874999999</v>
      </c>
      <c r="H16" s="26"/>
      <c r="I16" s="26">
        <v>97.85</v>
      </c>
      <c r="J16" s="30">
        <v>116.76</v>
      </c>
      <c r="K16" s="26">
        <f>SUM(Table11[[#This Row],[Scope 1 (2023)]:[Scope 2 (2023)]])</f>
        <v>214.61</v>
      </c>
      <c r="L16" s="26"/>
      <c r="M16" s="26">
        <f>Table11[[#This Row],[2023 Prod (ton)]]-Table11[[#This Row],[2022 Prod (ton)]]</f>
        <v>0</v>
      </c>
      <c r="N16" s="62"/>
      <c r="O16" s="26">
        <f>Table11[[#This Row],[2023 SUM]]-Table11[[#This Row],[2022 SUM]]</f>
        <v>-22.248488749999979</v>
      </c>
      <c r="P16" s="62">
        <f>(Table11[[#This Row],[2023 SUM]]-Table11[[#This Row],[2022 SUM]])/Table11[[#This Row],[2022 SUM]]</f>
        <v>-9.3931565921130528E-2</v>
      </c>
      <c r="R16" s="62">
        <f>(Table11[[#This Row],[Scope 1 (2023)]]-Table11[[#This Row],[Scope 1 (2022)]])/Table11[[#This Row],[Scope 1 (2022)]]</f>
        <v>-0.23509024927621197</v>
      </c>
      <c r="S16" s="62">
        <f>(Table11[[#This Row],[Scope 2 (2023)]]-Table11[[#This Row],[Scope 2 (2022)]])/Table11[[#This Row],[Scope 2 (2022)]]</f>
        <v>7.1832805318438858E-2</v>
      </c>
    </row>
    <row r="17" spans="1:19" x14ac:dyDescent="0.35">
      <c r="A17" t="s">
        <v>655</v>
      </c>
      <c r="B17" s="7">
        <v>13.335374281</v>
      </c>
      <c r="C17" s="7">
        <v>147.34483939999998</v>
      </c>
      <c r="D17" s="26">
        <f>SUM(Table11[[#This Row],[Scope 1 (2021)]:[Scope 2 (2021)]])</f>
        <v>160.680213681</v>
      </c>
      <c r="E17" s="26">
        <v>35.704343460000004</v>
      </c>
      <c r="F17" s="26">
        <v>93.280870660000005</v>
      </c>
      <c r="G17" s="26">
        <f>SUM(Table11[[#This Row],[Scope 1 (2022)]:[Scope 2 (2022)]])</f>
        <v>128.98521412000002</v>
      </c>
      <c r="H17" s="26"/>
      <c r="I17" s="26">
        <v>0</v>
      </c>
      <c r="J17" s="30">
        <v>46.76</v>
      </c>
      <c r="K17" s="26">
        <f>SUM(Table11[[#This Row],[Scope 1 (2023)]:[Scope 2 (2023)]])</f>
        <v>46.76</v>
      </c>
      <c r="L17" s="26"/>
      <c r="M17" s="26">
        <f>Table11[[#This Row],[2023 Prod (ton)]]-Table11[[#This Row],[2022 Prod (ton)]]</f>
        <v>0</v>
      </c>
      <c r="N17" s="62"/>
      <c r="O17" s="26">
        <f>Table11[[#This Row],[2023 SUM]]-Table11[[#This Row],[2022 SUM]]</f>
        <v>-82.225214120000032</v>
      </c>
      <c r="P17" s="62">
        <f>(Table11[[#This Row],[2023 SUM]]-Table11[[#This Row],[2022 SUM]])/Table11[[#This Row],[2022 SUM]]</f>
        <v>-0.63747782783461271</v>
      </c>
      <c r="R17" s="62">
        <f>(Table11[[#This Row],[Scope 1 (2023)]]-Table11[[#This Row],[Scope 1 (2022)]])/Table11[[#This Row],[Scope 1 (2022)]]</f>
        <v>-1</v>
      </c>
      <c r="S17" s="62">
        <f>(Table11[[#This Row],[Scope 2 (2023)]]-Table11[[#This Row],[Scope 2 (2022)]])/Table11[[#This Row],[Scope 2 (2022)]]</f>
        <v>-0.49871822948098549</v>
      </c>
    </row>
    <row r="18" spans="1:19" x14ac:dyDescent="0.35">
      <c r="A18" t="s">
        <v>656</v>
      </c>
      <c r="B18" s="7">
        <v>24.684336864999999</v>
      </c>
      <c r="C18" s="7">
        <v>80.972879559999996</v>
      </c>
      <c r="D18" s="26">
        <f>SUM(Table11[[#This Row],[Scope 1 (2021)]:[Scope 2 (2021)]])</f>
        <v>105.657216425</v>
      </c>
      <c r="E18" s="26">
        <v>27.655499154999998</v>
      </c>
      <c r="F18" s="26">
        <v>66.870651800000005</v>
      </c>
      <c r="G18" s="26">
        <f>SUM(Table11[[#This Row],[Scope 1 (2022)]:[Scope 2 (2022)]])</f>
        <v>94.526150955000006</v>
      </c>
      <c r="H18" s="26">
        <v>964</v>
      </c>
      <c r="I18" s="26">
        <v>13.89</v>
      </c>
      <c r="J18" s="30">
        <v>55.06</v>
      </c>
      <c r="K18" s="26">
        <f>SUM(Table11[[#This Row],[Scope 1 (2023)]:[Scope 2 (2023)]])</f>
        <v>68.95</v>
      </c>
      <c r="L18" s="26">
        <v>645</v>
      </c>
      <c r="M18" s="26">
        <f>Table11[[#This Row],[2023 Prod (ton)]]-Table11[[#This Row],[2022 Prod (ton)]]</f>
        <v>-319</v>
      </c>
      <c r="N18" s="62">
        <f>(Table11[[#This Row],[2023 Prod (ton)]]-Table11[[#This Row],[2022 Prod (ton)]])/Table11[[#This Row],[2022 Prod (ton)]]</f>
        <v>-0.33091286307053941</v>
      </c>
      <c r="O18" s="26">
        <f>Table11[[#This Row],[2023 SUM]]-Table11[[#This Row],[2022 SUM]]</f>
        <v>-25.576150955000003</v>
      </c>
      <c r="P18" s="62">
        <f>(Table11[[#This Row],[2023 SUM]]-Table11[[#This Row],[2022 SUM]])/Table11[[#This Row],[2022 SUM]]</f>
        <v>-0.27057222468706837</v>
      </c>
      <c r="R18" s="62">
        <f>(Table11[[#This Row],[Scope 1 (2023)]]-Table11[[#This Row],[Scope 1 (2022)]])/Table11[[#This Row],[Scope 1 (2022)]]</f>
        <v>-0.49774907615476011</v>
      </c>
      <c r="S18" s="62">
        <f>(Table11[[#This Row],[Scope 2 (2023)]]-Table11[[#This Row],[Scope 2 (2022)]])/Table11[[#This Row],[Scope 2 (2022)]]</f>
        <v>-0.17661936114102603</v>
      </c>
    </row>
    <row r="19" spans="1:19" x14ac:dyDescent="0.35">
      <c r="A19" t="s">
        <v>657</v>
      </c>
      <c r="B19" s="7">
        <v>56.039050249999995</v>
      </c>
      <c r="C19" s="7">
        <v>45.639830340000003</v>
      </c>
      <c r="D19" s="26">
        <f>SUM(Table11[[#This Row],[Scope 1 (2021)]:[Scope 2 (2021)]])</f>
        <v>101.67888059000001</v>
      </c>
      <c r="E19" s="26">
        <v>59.373085570000001</v>
      </c>
      <c r="F19" s="26">
        <v>55.959404360000001</v>
      </c>
      <c r="G19" s="26">
        <f>SUM(Table11[[#This Row],[Scope 1 (2022)]:[Scope 2 (2022)]])</f>
        <v>115.33248993000001</v>
      </c>
      <c r="H19" s="26"/>
      <c r="I19" s="26">
        <v>44.85</v>
      </c>
      <c r="J19" s="30">
        <v>60.47</v>
      </c>
      <c r="K19" s="26">
        <f>SUM(Table11[[#This Row],[Scope 1 (2023)]:[Scope 2 (2023)]])</f>
        <v>105.32</v>
      </c>
      <c r="L19" s="26"/>
      <c r="M19" s="26">
        <f>Table11[[#This Row],[2023 Prod (ton)]]-Table11[[#This Row],[2022 Prod (ton)]]</f>
        <v>0</v>
      </c>
      <c r="N19" s="62"/>
      <c r="O19" s="26">
        <f>Table11[[#This Row],[2023 SUM]]-Table11[[#This Row],[2022 SUM]]</f>
        <v>-10.012489930000015</v>
      </c>
      <c r="P19" s="62">
        <f>(Table11[[#This Row],[2023 SUM]]-Table11[[#This Row],[2022 SUM]])/Table11[[#This Row],[2022 SUM]]</f>
        <v>-8.681413135255299E-2</v>
      </c>
      <c r="R19" s="62">
        <f>(Table11[[#This Row],[Scope 1 (2023)]]-Table11[[#This Row],[Scope 1 (2022)]])/Table11[[#This Row],[Scope 1 (2022)]]</f>
        <v>-0.24460722279419844</v>
      </c>
      <c r="S19" s="62">
        <f>(Table11[[#This Row],[Scope 2 (2023)]]-Table11[[#This Row],[Scope 2 (2022)]])/Table11[[#This Row],[Scope 2 (2022)]]</f>
        <v>8.0604782906234601E-2</v>
      </c>
    </row>
    <row r="20" spans="1:19" x14ac:dyDescent="0.35">
      <c r="A20" t="s">
        <v>658</v>
      </c>
      <c r="B20" s="7">
        <v>132.7308826</v>
      </c>
      <c r="C20" s="7">
        <v>59.832528429999996</v>
      </c>
      <c r="D20" s="26">
        <f>SUM(Table11[[#This Row],[Scope 1 (2021)]:[Scope 2 (2021)]])</f>
        <v>192.56341103</v>
      </c>
      <c r="E20" s="26">
        <v>87.639384660000005</v>
      </c>
      <c r="F20" s="26">
        <v>41.095263500000001</v>
      </c>
      <c r="G20" s="26">
        <f>SUM(Table11[[#This Row],[Scope 1 (2022)]:[Scope 2 (2022)]])</f>
        <v>128.73464816000001</v>
      </c>
      <c r="H20" s="26">
        <v>6850</v>
      </c>
      <c r="I20" s="26">
        <v>74.540000000000006</v>
      </c>
      <c r="J20" s="30">
        <v>39.81</v>
      </c>
      <c r="K20" s="26">
        <f>SUM(Table11[[#This Row],[Scope 1 (2023)]:[Scope 2 (2023)]])</f>
        <v>114.35000000000001</v>
      </c>
      <c r="L20" s="26">
        <v>6021</v>
      </c>
      <c r="M20" s="26">
        <f>Table11[[#This Row],[2023 Prod (ton)]]-Table11[[#This Row],[2022 Prod (ton)]]</f>
        <v>-829</v>
      </c>
      <c r="N20" s="62">
        <f>(Table11[[#This Row],[2023 Prod (ton)]]-Table11[[#This Row],[2022 Prod (ton)]])/Table11[[#This Row],[2022 Prod (ton)]]</f>
        <v>-0.12102189781021898</v>
      </c>
      <c r="O20" s="26">
        <f>Table11[[#This Row],[2023 SUM]]-Table11[[#This Row],[2022 SUM]]</f>
        <v>-14.384648159999998</v>
      </c>
      <c r="P20" s="62">
        <f>(Table11[[#This Row],[2023 SUM]]-Table11[[#This Row],[2022 SUM]])/Table11[[#This Row],[2022 SUM]]</f>
        <v>-0.11173874606098116</v>
      </c>
      <c r="R20" s="62">
        <f>(Table11[[#This Row],[Scope 1 (2023)]]-Table11[[#This Row],[Scope 1 (2022)]])/Table11[[#This Row],[Scope 1 (2022)]]</f>
        <v>-0.14946915374656622</v>
      </c>
      <c r="S20" s="62">
        <f>(Table11[[#This Row],[Scope 2 (2023)]]-Table11[[#This Row],[Scope 2 (2022)]])/Table11[[#This Row],[Scope 2 (2022)]]</f>
        <v>-3.127522226496976E-2</v>
      </c>
    </row>
    <row r="21" spans="1:19" x14ac:dyDescent="0.35">
      <c r="A21" t="s">
        <v>659</v>
      </c>
      <c r="B21" s="7">
        <v>7.6459841199999996</v>
      </c>
      <c r="C21" s="7">
        <v>40.925268989999999</v>
      </c>
      <c r="D21" s="26">
        <f>SUM(Table11[[#This Row],[Scope 1 (2021)]:[Scope 2 (2021)]])</f>
        <v>48.571253110000001</v>
      </c>
      <c r="E21" s="26">
        <v>7.6459833760000002</v>
      </c>
      <c r="F21" s="26">
        <v>38.54296257</v>
      </c>
      <c r="G21" s="26">
        <f>SUM(Table11[[#This Row],[Scope 1 (2022)]:[Scope 2 (2022)]])</f>
        <v>46.188945946000004</v>
      </c>
      <c r="H21" s="26"/>
      <c r="I21" s="26">
        <v>0</v>
      </c>
      <c r="J21" s="30">
        <v>26.6</v>
      </c>
      <c r="K21" s="26">
        <f>SUM(Table11[[#This Row],[Scope 1 (2023)]:[Scope 2 (2023)]])</f>
        <v>26.6</v>
      </c>
      <c r="L21" s="26"/>
      <c r="M21" s="26">
        <f>Table11[[#This Row],[2023 Prod (ton)]]-Table11[[#This Row],[2022 Prod (ton)]]</f>
        <v>0</v>
      </c>
      <c r="N21" s="62"/>
      <c r="O21" s="26">
        <f>Table11[[#This Row],[2023 SUM]]-Table11[[#This Row],[2022 SUM]]</f>
        <v>-19.588945946000003</v>
      </c>
      <c r="P21" s="62">
        <f>(Table11[[#This Row],[2023 SUM]]-Table11[[#This Row],[2022 SUM]])/Table11[[#This Row],[2022 SUM]]</f>
        <v>-0.42410463250020147</v>
      </c>
      <c r="R21" s="62">
        <f>(Table11[[#This Row],[Scope 1 (2023)]]-Table11[[#This Row],[Scope 1 (2022)]])/Table11[[#This Row],[Scope 1 (2022)]]</f>
        <v>-1</v>
      </c>
      <c r="S21" s="62">
        <f>(Table11[[#This Row],[Scope 2 (2023)]]-Table11[[#This Row],[Scope 2 (2022)]])/Table11[[#This Row],[Scope 2 (2022)]]</f>
        <v>-0.30986104268216863</v>
      </c>
    </row>
    <row r="22" spans="1:19" x14ac:dyDescent="0.35">
      <c r="A22" t="s">
        <v>660</v>
      </c>
      <c r="B22" s="7">
        <v>64.752252679999998</v>
      </c>
      <c r="C22" s="7">
        <v>51.73429153</v>
      </c>
      <c r="D22" s="26">
        <f>SUM(Table11[[#This Row],[Scope 1 (2021)]:[Scope 2 (2021)]])</f>
        <v>116.48654421000001</v>
      </c>
      <c r="E22" s="26">
        <v>63.652776319999994</v>
      </c>
      <c r="F22" s="26">
        <v>38.370142119999997</v>
      </c>
      <c r="G22" s="26">
        <f>SUM(Table11[[#This Row],[Scope 1 (2022)]:[Scope 2 (2022)]])</f>
        <v>102.02291843999998</v>
      </c>
      <c r="H22" s="26"/>
      <c r="I22" s="26">
        <v>0</v>
      </c>
      <c r="J22" s="30">
        <v>0</v>
      </c>
      <c r="K22" s="26">
        <f>SUM(Table11[[#This Row],[Scope 1 (2023)]:[Scope 2 (2023)]])</f>
        <v>0</v>
      </c>
      <c r="L22" s="26"/>
      <c r="M22" s="26">
        <f>Table11[[#This Row],[2023 Prod (ton)]]-Table11[[#This Row],[2022 Prod (ton)]]</f>
        <v>0</v>
      </c>
      <c r="N22" s="62"/>
      <c r="O22" s="26">
        <f>Table11[[#This Row],[2023 SUM]]-Table11[[#This Row],[2022 SUM]]</f>
        <v>-102.02291843999998</v>
      </c>
      <c r="P22" s="62">
        <f>(Table11[[#This Row],[2023 SUM]]-Table11[[#This Row],[2022 SUM]])/Table11[[#This Row],[2022 SUM]]</f>
        <v>-1</v>
      </c>
      <c r="R22" s="62">
        <f>(Table11[[#This Row],[Scope 1 (2023)]]-Table11[[#This Row],[Scope 1 (2022)]])/Table11[[#This Row],[Scope 1 (2022)]]</f>
        <v>-1</v>
      </c>
      <c r="S22" s="62">
        <f>(Table11[[#This Row],[Scope 2 (2023)]]-Table11[[#This Row],[Scope 2 (2022)]])/Table11[[#This Row],[Scope 2 (2022)]]</f>
        <v>-1</v>
      </c>
    </row>
    <row r="23" spans="1:19" x14ac:dyDescent="0.35">
      <c r="A23" t="s">
        <v>661</v>
      </c>
      <c r="B23" s="7">
        <v>10.413345825</v>
      </c>
      <c r="C23" s="7">
        <v>1026.435007</v>
      </c>
      <c r="D23" s="26">
        <f>SUM(Table11[[#This Row],[Scope 1 (2021)]:[Scope 2 (2021)]])</f>
        <v>1036.8483528250001</v>
      </c>
      <c r="E23" s="26">
        <v>30.076253189999999</v>
      </c>
      <c r="F23" s="26">
        <v>25.773528930000001</v>
      </c>
      <c r="G23" s="26">
        <f>SUM(Table11[[#This Row],[Scope 1 (2022)]:[Scope 2 (2022)]])</f>
        <v>55.84978212</v>
      </c>
      <c r="H23" s="26"/>
      <c r="I23" s="26"/>
      <c r="J23" s="30">
        <v>14.93</v>
      </c>
      <c r="K23" s="26">
        <f>SUM(Table11[[#This Row],[Scope 1 (2023)]:[Scope 2 (2023)]])</f>
        <v>14.93</v>
      </c>
      <c r="L23" s="26"/>
      <c r="M23" s="26">
        <f>Table11[[#This Row],[2023 Prod (ton)]]-Table11[[#This Row],[2022 Prod (ton)]]</f>
        <v>0</v>
      </c>
      <c r="N23" s="62"/>
      <c r="O23" s="26">
        <f>Table11[[#This Row],[2023 SUM]]-Table11[[#This Row],[2022 SUM]]</f>
        <v>-40.919782120000001</v>
      </c>
      <c r="P23" s="62">
        <f>(Table11[[#This Row],[2023 SUM]]-Table11[[#This Row],[2022 SUM]])/Table11[[#This Row],[2022 SUM]]</f>
        <v>-0.73267577001605677</v>
      </c>
      <c r="R23" s="62">
        <f>(Table11[[#This Row],[Scope 1 (2023)]]-Table11[[#This Row],[Scope 1 (2022)]])/Table11[[#This Row],[Scope 1 (2022)]]</f>
        <v>-1</v>
      </c>
      <c r="S23" s="62">
        <f>(Table11[[#This Row],[Scope 2 (2023)]]-Table11[[#This Row],[Scope 2 (2022)]])/Table11[[#This Row],[Scope 2 (2022)]]</f>
        <v>-0.42072348569148776</v>
      </c>
    </row>
    <row r="24" spans="1:19" x14ac:dyDescent="0.35">
      <c r="A24" t="s">
        <v>662</v>
      </c>
      <c r="B24" s="7">
        <v>43.005105</v>
      </c>
      <c r="C24" s="7">
        <v>4.2609577999999999</v>
      </c>
      <c r="D24" s="26">
        <f>SUM(Table11[[#This Row],[Scope 1 (2021)]:[Scope 2 (2021)]])</f>
        <v>47.2660628</v>
      </c>
      <c r="E24" s="26">
        <v>62.793326910000005</v>
      </c>
      <c r="F24" s="26">
        <v>22.825222199999999</v>
      </c>
      <c r="G24" s="26">
        <f>SUM(Table11[[#This Row],[Scope 1 (2022)]:[Scope 2 (2022)]])</f>
        <v>85.618549110000004</v>
      </c>
      <c r="H24" s="26"/>
      <c r="I24" s="26">
        <v>0</v>
      </c>
      <c r="J24" s="30">
        <v>0</v>
      </c>
      <c r="K24" s="26">
        <f>SUM(Table11[[#This Row],[Scope 1 (2023)]:[Scope 2 (2023)]])</f>
        <v>0</v>
      </c>
      <c r="L24" s="26"/>
      <c r="M24" s="26">
        <f>Table11[[#This Row],[2023 Prod (ton)]]-Table11[[#This Row],[2022 Prod (ton)]]</f>
        <v>0</v>
      </c>
      <c r="N24" s="62"/>
      <c r="O24" s="26">
        <f>Table11[[#This Row],[2023 SUM]]-Table11[[#This Row],[2022 SUM]]</f>
        <v>-85.618549110000004</v>
      </c>
      <c r="P24" s="62">
        <f>(Table11[[#This Row],[2023 SUM]]-Table11[[#This Row],[2022 SUM]])/Table11[[#This Row],[2022 SUM]]</f>
        <v>-1</v>
      </c>
      <c r="R24" s="62">
        <f>(Table11[[#This Row],[Scope 1 (2023)]]-Table11[[#This Row],[Scope 1 (2022)]])/Table11[[#This Row],[Scope 1 (2022)]]</f>
        <v>-1</v>
      </c>
      <c r="S24" s="62">
        <f>(Table11[[#This Row],[Scope 2 (2023)]]-Table11[[#This Row],[Scope 2 (2022)]])/Table11[[#This Row],[Scope 2 (2022)]]</f>
        <v>-1</v>
      </c>
    </row>
    <row r="25" spans="1:19" x14ac:dyDescent="0.35">
      <c r="A25" t="s">
        <v>663</v>
      </c>
      <c r="B25" s="7">
        <v>16.513964260000002</v>
      </c>
      <c r="C25" s="7">
        <v>20.256411800000002</v>
      </c>
      <c r="D25" s="26">
        <f>SUM(Table11[[#This Row],[Scope 1 (2021)]:[Scope 2 (2021)]])</f>
        <v>36.770376060000004</v>
      </c>
      <c r="E25" s="26">
        <v>24.202757212000002</v>
      </c>
      <c r="F25" s="26">
        <v>18.162998399999999</v>
      </c>
      <c r="G25" s="26">
        <f>SUM(Table11[[#This Row],[Scope 1 (2022)]:[Scope 2 (2022)]])</f>
        <v>42.365755612000001</v>
      </c>
      <c r="H25" s="26"/>
      <c r="I25" s="26"/>
      <c r="J25" s="30">
        <v>20.65</v>
      </c>
      <c r="K25" s="26">
        <f>SUM(Table11[[#This Row],[Scope 1 (2023)]:[Scope 2 (2023)]])</f>
        <v>20.65</v>
      </c>
      <c r="L25" s="26"/>
      <c r="M25" s="26">
        <f>Table11[[#This Row],[2023 Prod (ton)]]-Table11[[#This Row],[2022 Prod (ton)]]</f>
        <v>0</v>
      </c>
      <c r="N25" s="62"/>
      <c r="O25" s="26">
        <f>Table11[[#This Row],[2023 SUM]]-Table11[[#This Row],[2022 SUM]]</f>
        <v>-21.715755612000002</v>
      </c>
      <c r="P25" s="62">
        <f>(Table11[[#This Row],[2023 SUM]]-Table11[[#This Row],[2022 SUM]])/Table11[[#This Row],[2022 SUM]]</f>
        <v>-0.5125780314384164</v>
      </c>
      <c r="R25" s="62">
        <f>(Table11[[#This Row],[Scope 1 (2023)]]-Table11[[#This Row],[Scope 1 (2022)]])/Table11[[#This Row],[Scope 1 (2022)]]</f>
        <v>-1</v>
      </c>
      <c r="S25" s="62">
        <f>(Table11[[#This Row],[Scope 2 (2023)]]-Table11[[#This Row],[Scope 2 (2022)]])/Table11[[#This Row],[Scope 2 (2022)]]</f>
        <v>0.13692681930754336</v>
      </c>
    </row>
    <row r="26" spans="1:19" x14ac:dyDescent="0.35">
      <c r="A26" t="s">
        <v>664</v>
      </c>
      <c r="B26" s="7">
        <v>4.257466193</v>
      </c>
      <c r="C26" s="7">
        <v>6.4141621100000004</v>
      </c>
      <c r="D26" s="26">
        <f>SUM(Table11[[#This Row],[Scope 1 (2021)]:[Scope 2 (2021)]])</f>
        <v>10.671628303</v>
      </c>
      <c r="E26" s="26">
        <v>6.2397733439999996</v>
      </c>
      <c r="F26" s="26">
        <v>7.2111900999999996</v>
      </c>
      <c r="G26" s="26">
        <f>SUM(Table11[[#This Row],[Scope 1 (2022)]:[Scope 2 (2022)]])</f>
        <v>13.450963443999999</v>
      </c>
      <c r="H26" s="26"/>
      <c r="I26" s="26"/>
      <c r="J26" s="30">
        <v>7.35</v>
      </c>
      <c r="K26" s="26">
        <f>SUM(Table11[[#This Row],[Scope 1 (2023)]:[Scope 2 (2023)]])</f>
        <v>7.35</v>
      </c>
      <c r="L26" s="26"/>
      <c r="M26" s="26">
        <f>Table11[[#This Row],[2023 Prod (ton)]]-Table11[[#This Row],[2022 Prod (ton)]]</f>
        <v>0</v>
      </c>
      <c r="N26" s="62"/>
      <c r="O26" s="26">
        <f>Table11[[#This Row],[2023 SUM]]-Table11[[#This Row],[2022 SUM]]</f>
        <v>-6.1009634439999996</v>
      </c>
      <c r="P26" s="62">
        <f>(Table11[[#This Row],[2023 SUM]]-Table11[[#This Row],[2022 SUM]])/Table11[[#This Row],[2022 SUM]]</f>
        <v>-0.45357074007374726</v>
      </c>
      <c r="R26" s="62">
        <f>(Table11[[#This Row],[Scope 1 (2023)]]-Table11[[#This Row],[Scope 1 (2022)]])/Table11[[#This Row],[Scope 1 (2022)]]</f>
        <v>-1</v>
      </c>
      <c r="S26" s="62">
        <f>(Table11[[#This Row],[Scope 2 (2023)]]-Table11[[#This Row],[Scope 2 (2022)]])/Table11[[#This Row],[Scope 2 (2022)]]</f>
        <v>1.9249235989493612E-2</v>
      </c>
    </row>
    <row r="27" spans="1:19" x14ac:dyDescent="0.35">
      <c r="A27" t="s">
        <v>665</v>
      </c>
      <c r="B27" s="7">
        <v>1.0009999999999999</v>
      </c>
      <c r="C27" s="7">
        <v>85.17513120000001</v>
      </c>
      <c r="D27" s="26">
        <f>SUM(Table11[[#This Row],[Scope 1 (2021)]:[Scope 2 (2021)]])</f>
        <v>86.176131200000015</v>
      </c>
      <c r="E27" s="26">
        <v>24.084421500000001</v>
      </c>
      <c r="F27" s="26">
        <v>5.3396358950000007</v>
      </c>
      <c r="G27" s="26">
        <f>SUM(Table11[[#This Row],[Scope 1 (2022)]:[Scope 2 (2022)]])</f>
        <v>29.424057395000002</v>
      </c>
      <c r="H27" s="26"/>
      <c r="I27" s="26">
        <v>21.9</v>
      </c>
      <c r="J27" s="30">
        <v>3.54</v>
      </c>
      <c r="K27" s="26">
        <f>SUM(Table11[[#This Row],[Scope 1 (2023)]:[Scope 2 (2023)]])</f>
        <v>25.439999999999998</v>
      </c>
      <c r="L27" s="26"/>
      <c r="M27" s="26">
        <f>Table11[[#This Row],[2023 Prod (ton)]]-Table11[[#This Row],[2022 Prod (ton)]]</f>
        <v>0</v>
      </c>
      <c r="N27" s="62"/>
      <c r="O27" s="26">
        <f>Table11[[#This Row],[2023 SUM]]-Table11[[#This Row],[2022 SUM]]</f>
        <v>-3.9840573950000042</v>
      </c>
      <c r="P27" s="62">
        <f>(Table11[[#This Row],[2023 SUM]]-Table11[[#This Row],[2022 SUM]])/Table11[[#This Row],[2022 SUM]]</f>
        <v>-0.13540136023786478</v>
      </c>
      <c r="R27" s="62">
        <f>(Table11[[#This Row],[Scope 1 (2023)]]-Table11[[#This Row],[Scope 1 (2022)]])/Table11[[#This Row],[Scope 1 (2022)]]</f>
        <v>-9.0698524770462211E-2</v>
      </c>
      <c r="S27" s="62">
        <f>(Table11[[#This Row],[Scope 2 (2023)]]-Table11[[#This Row],[Scope 2 (2022)]])/Table11[[#This Row],[Scope 2 (2022)]]</f>
        <v>-0.3370334476710608</v>
      </c>
    </row>
    <row r="28" spans="1:19" x14ac:dyDescent="0.35">
      <c r="A28" t="s">
        <v>666</v>
      </c>
      <c r="B28" s="7">
        <v>1.927068</v>
      </c>
      <c r="C28" s="7">
        <v>7.2785888000000005</v>
      </c>
      <c r="D28" s="26">
        <f>SUM(Table11[[#This Row],[Scope 1 (2021)]:[Scope 2 (2021)]])</f>
        <v>9.2056567999999999</v>
      </c>
      <c r="E28" s="26">
        <v>1.9271256000000001</v>
      </c>
      <c r="F28" s="26">
        <v>5.0862968000000004</v>
      </c>
      <c r="G28" s="26">
        <f>SUM(Table11[[#This Row],[Scope 1 (2022)]:[Scope 2 (2022)]])</f>
        <v>7.0134224000000005</v>
      </c>
      <c r="H28" s="26"/>
      <c r="I28" s="26">
        <v>0</v>
      </c>
      <c r="J28" s="30">
        <v>4.54</v>
      </c>
      <c r="K28" s="26">
        <f>SUM(Table11[[#This Row],[Scope 1 (2023)]:[Scope 2 (2023)]])</f>
        <v>4.54</v>
      </c>
      <c r="L28" s="26"/>
      <c r="M28" s="26">
        <f>Table11[[#This Row],[2023 Prod (ton)]]-Table11[[#This Row],[2022 Prod (ton)]]</f>
        <v>0</v>
      </c>
      <c r="N28" s="62"/>
      <c r="O28" s="26">
        <f>Table11[[#This Row],[2023 SUM]]-Table11[[#This Row],[2022 SUM]]</f>
        <v>-2.4734224000000005</v>
      </c>
      <c r="P28" s="62">
        <f>(Table11[[#This Row],[2023 SUM]]-Table11[[#This Row],[2022 SUM]])/Table11[[#This Row],[2022 SUM]]</f>
        <v>-0.35266981780535567</v>
      </c>
      <c r="R28" s="62">
        <f>(Table11[[#This Row],[Scope 1 (2023)]]-Table11[[#This Row],[Scope 1 (2022)]])/Table11[[#This Row],[Scope 1 (2022)]]</f>
        <v>-1</v>
      </c>
      <c r="S28" s="62">
        <f>(Table11[[#This Row],[Scope 2 (2023)]]-Table11[[#This Row],[Scope 2 (2022)]])/Table11[[#This Row],[Scope 2 (2022)]]</f>
        <v>-0.10740560794643371</v>
      </c>
    </row>
    <row r="29" spans="1:19" x14ac:dyDescent="0.35">
      <c r="A29" t="s">
        <v>667</v>
      </c>
      <c r="B29" s="7">
        <v>1.0158719999999999</v>
      </c>
      <c r="C29" s="7">
        <v>7.7078064999999993</v>
      </c>
      <c r="D29" s="26">
        <f>SUM(Table11[[#This Row],[Scope 1 (2021)]:[Scope 2 (2021)]])</f>
        <v>8.7236784999999983</v>
      </c>
      <c r="E29" s="26">
        <v>1.0158968820000001</v>
      </c>
      <c r="F29" s="26">
        <v>4.6461881000000007</v>
      </c>
      <c r="G29" s="26">
        <f>SUM(Table11[[#This Row],[Scope 1 (2022)]:[Scope 2 (2022)]])</f>
        <v>5.6620849820000005</v>
      </c>
      <c r="H29" s="26"/>
      <c r="I29" s="26">
        <v>0</v>
      </c>
      <c r="J29" s="30">
        <v>0</v>
      </c>
      <c r="K29" s="26">
        <f>SUM(Table11[[#This Row],[Scope 1 (2023)]:[Scope 2 (2023)]])</f>
        <v>0</v>
      </c>
      <c r="L29" s="26"/>
      <c r="M29" s="26">
        <f>Table11[[#This Row],[2023 Prod (ton)]]-Table11[[#This Row],[2022 Prod (ton)]]</f>
        <v>0</v>
      </c>
      <c r="N29" s="62"/>
      <c r="O29" s="26">
        <f>Table11[[#This Row],[2023 SUM]]-Table11[[#This Row],[2022 SUM]]</f>
        <v>-5.6620849820000005</v>
      </c>
      <c r="P29" s="62">
        <f>(Table11[[#This Row],[2023 SUM]]-Table11[[#This Row],[2022 SUM]])/Table11[[#This Row],[2022 SUM]]</f>
        <v>-1</v>
      </c>
      <c r="R29" s="62">
        <f>(Table11[[#This Row],[Scope 1 (2023)]]-Table11[[#This Row],[Scope 1 (2022)]])/Table11[[#This Row],[Scope 1 (2022)]]</f>
        <v>-1</v>
      </c>
      <c r="S29" s="62">
        <f>(Table11[[#This Row],[Scope 2 (2023)]]-Table11[[#This Row],[Scope 2 (2022)]])/Table11[[#This Row],[Scope 2 (2022)]]</f>
        <v>-1</v>
      </c>
    </row>
    <row r="30" spans="1:19" x14ac:dyDescent="0.35">
      <c r="A30" t="s">
        <v>668</v>
      </c>
      <c r="B30" s="7">
        <v>15.128395200000002</v>
      </c>
      <c r="C30" s="7">
        <v>2.5525799999999998</v>
      </c>
      <c r="D30" s="26">
        <f>SUM(Table11[[#This Row],[Scope 1 (2021)]:[Scope 2 (2021)]])</f>
        <v>17.680975200000002</v>
      </c>
      <c r="E30" s="26">
        <v>15.12843258</v>
      </c>
      <c r="F30" s="26">
        <v>2.3225777999999999</v>
      </c>
      <c r="G30" s="26">
        <f>SUM(Table11[[#This Row],[Scope 1 (2022)]:[Scope 2 (2022)]])</f>
        <v>17.45101038</v>
      </c>
      <c r="H30" s="26"/>
      <c r="I30" s="26">
        <v>0</v>
      </c>
      <c r="J30" s="30">
        <v>1.39</v>
      </c>
      <c r="K30" s="26">
        <f>SUM(Table11[[#This Row],[Scope 1 (2023)]:[Scope 2 (2023)]])</f>
        <v>1.39</v>
      </c>
      <c r="L30" s="26"/>
      <c r="M30" s="26">
        <f>Table11[[#This Row],[2023 Prod (ton)]]-Table11[[#This Row],[2022 Prod (ton)]]</f>
        <v>0</v>
      </c>
      <c r="N30" s="62"/>
      <c r="O30" s="26">
        <f>Table11[[#This Row],[2023 SUM]]-Table11[[#This Row],[2022 SUM]]</f>
        <v>-16.061010379999999</v>
      </c>
      <c r="P30" s="62">
        <f>(Table11[[#This Row],[2023 SUM]]-Table11[[#This Row],[2022 SUM]])/Table11[[#This Row],[2022 SUM]]</f>
        <v>-0.92034845148032052</v>
      </c>
      <c r="R30" s="62">
        <f>(Table11[[#This Row],[Scope 1 (2023)]]-Table11[[#This Row],[Scope 1 (2022)]])/Table11[[#This Row],[Scope 1 (2022)]]</f>
        <v>-1</v>
      </c>
      <c r="S30" s="62">
        <f>(Table11[[#This Row],[Scope 2 (2023)]]-Table11[[#This Row],[Scope 2 (2022)]])/Table11[[#This Row],[Scope 2 (2022)]]</f>
        <v>-0.40152704464840749</v>
      </c>
    </row>
    <row r="31" spans="1:19" x14ac:dyDescent="0.35">
      <c r="A31" t="s">
        <v>669</v>
      </c>
      <c r="B31" s="7">
        <v>7.8221000000000007</v>
      </c>
      <c r="C31" s="7">
        <v>39.229986239999995</v>
      </c>
      <c r="D31" s="26">
        <f>SUM(Table11[[#This Row],[Scope 1 (2021)]:[Scope 2 (2021)]])</f>
        <v>47.052086239999994</v>
      </c>
      <c r="E31" s="26">
        <v>7.8193275160000004</v>
      </c>
      <c r="F31" s="26">
        <v>2.0568452539999997</v>
      </c>
      <c r="G31" s="26">
        <f>SUM(Table11[[#This Row],[Scope 1 (2022)]:[Scope 2 (2022)]])</f>
        <v>9.8761727700000002</v>
      </c>
      <c r="H31" s="26"/>
      <c r="I31" s="26">
        <v>0</v>
      </c>
      <c r="J31" s="30">
        <v>0</v>
      </c>
      <c r="K31" s="26">
        <f>SUM(Table11[[#This Row],[Scope 1 (2023)]:[Scope 2 (2023)]])</f>
        <v>0</v>
      </c>
      <c r="L31" s="26"/>
      <c r="M31" s="26">
        <f>Table11[[#This Row],[2023 Prod (ton)]]-Table11[[#This Row],[2022 Prod (ton)]]</f>
        <v>0</v>
      </c>
      <c r="N31" s="62"/>
      <c r="O31" s="26">
        <f>Table11[[#This Row],[2023 SUM]]-Table11[[#This Row],[2022 SUM]]</f>
        <v>-9.8761727700000002</v>
      </c>
      <c r="P31" s="62">
        <f>(Table11[[#This Row],[2023 SUM]]-Table11[[#This Row],[2022 SUM]])/Table11[[#This Row],[2022 SUM]]</f>
        <v>-1</v>
      </c>
      <c r="R31" s="62">
        <f>(Table11[[#This Row],[Scope 1 (2023)]]-Table11[[#This Row],[Scope 1 (2022)]])/Table11[[#This Row],[Scope 1 (2022)]]</f>
        <v>-1</v>
      </c>
      <c r="S31" s="62">
        <f>(Table11[[#This Row],[Scope 2 (2023)]]-Table11[[#This Row],[Scope 2 (2022)]])/Table11[[#This Row],[Scope 2 (2022)]]</f>
        <v>-1</v>
      </c>
    </row>
    <row r="32" spans="1:19" x14ac:dyDescent="0.35">
      <c r="A32" t="s">
        <v>670</v>
      </c>
      <c r="B32" s="7">
        <v>9.2378000000000002E-2</v>
      </c>
      <c r="C32" s="7">
        <v>1.7728820650000001</v>
      </c>
      <c r="D32" s="26">
        <f>SUM(Table11[[#This Row],[Scope 1 (2021)]:[Scope 2 (2021)]])</f>
        <v>1.8652600650000002</v>
      </c>
      <c r="E32" s="26">
        <v>0</v>
      </c>
      <c r="F32" s="26">
        <v>0.69289999999999996</v>
      </c>
      <c r="G32" s="26">
        <f>SUM(Table11[[#This Row],[Scope 1 (2022)]:[Scope 2 (2022)]])</f>
        <v>0.69289999999999996</v>
      </c>
      <c r="H32" s="26"/>
      <c r="I32" s="26">
        <v>0</v>
      </c>
      <c r="J32" s="30">
        <v>0.04</v>
      </c>
      <c r="K32" s="26">
        <f>SUM(Table11[[#This Row],[Scope 1 (2023)]:[Scope 2 (2023)]])</f>
        <v>0.04</v>
      </c>
      <c r="L32" s="26"/>
      <c r="M32" s="26">
        <f>Table11[[#This Row],[2023 Prod (ton)]]-Table11[[#This Row],[2022 Prod (ton)]]</f>
        <v>0</v>
      </c>
      <c r="N32" s="62"/>
      <c r="O32" s="26">
        <f>Table11[[#This Row],[2023 SUM]]-Table11[[#This Row],[2022 SUM]]</f>
        <v>-0.65289999999999992</v>
      </c>
      <c r="P32" s="62">
        <f>(Table11[[#This Row],[2023 SUM]]-Table11[[#This Row],[2022 SUM]])/Table11[[#This Row],[2022 SUM]]</f>
        <v>-0.94227161206523302</v>
      </c>
      <c r="R32" s="62" t="e">
        <f>(Table11[[#This Row],[Scope 1 (2023)]]-Table11[[#This Row],[Scope 1 (2022)]])/Table11[[#This Row],[Scope 1 (2022)]]</f>
        <v>#DIV/0!</v>
      </c>
      <c r="S32" s="62">
        <f>(Table11[[#This Row],[Scope 2 (2023)]]-Table11[[#This Row],[Scope 2 (2022)]])/Table11[[#This Row],[Scope 2 (2022)]]</f>
        <v>-0.94227161206523302</v>
      </c>
    </row>
    <row r="33" spans="1:21" x14ac:dyDescent="0.35">
      <c r="A33" t="s">
        <v>671</v>
      </c>
      <c r="B33" s="7">
        <v>0.67210000000000003</v>
      </c>
      <c r="C33" s="7">
        <v>5.4230707259999997</v>
      </c>
      <c r="D33" s="26">
        <f>SUM(Table11[[#This Row],[Scope 1 (2021)]:[Scope 2 (2021)]])</f>
        <v>6.0951707260000001</v>
      </c>
      <c r="E33" s="26">
        <v>0.6711076372</v>
      </c>
      <c r="F33" s="26">
        <v>0.11472024330000001</v>
      </c>
      <c r="G33" s="26">
        <f>SUM(Table11[[#This Row],[Scope 1 (2022)]:[Scope 2 (2022)]])</f>
        <v>0.78582788049999996</v>
      </c>
      <c r="H33" s="26"/>
      <c r="I33" s="26">
        <v>0</v>
      </c>
      <c r="J33" s="30">
        <v>0</v>
      </c>
      <c r="K33" s="26">
        <f>SUM(Table11[[#This Row],[Scope 1 (2023)]:[Scope 2 (2023)]])</f>
        <v>0</v>
      </c>
      <c r="L33" s="26"/>
      <c r="M33" s="26">
        <f>Table11[[#This Row],[2023 Prod (ton)]]-Table11[[#This Row],[2022 Prod (ton)]]</f>
        <v>0</v>
      </c>
      <c r="N33" s="62"/>
      <c r="O33" s="26">
        <f>Table11[[#This Row],[2023 SUM]]-Table11[[#This Row],[2022 SUM]]</f>
        <v>-0.78582788049999996</v>
      </c>
      <c r="P33" s="62">
        <f>(Table11[[#This Row],[2023 SUM]]-Table11[[#This Row],[2022 SUM]])/Table11[[#This Row],[2022 SUM]]</f>
        <v>-1</v>
      </c>
      <c r="R33" s="62">
        <f>(Table11[[#This Row],[Scope 1 (2023)]]-Table11[[#This Row],[Scope 1 (2022)]])/Table11[[#This Row],[Scope 1 (2022)]]</f>
        <v>-1</v>
      </c>
      <c r="S33" s="62">
        <f>(Table11[[#This Row],[Scope 2 (2023)]]-Table11[[#This Row],[Scope 2 (2022)]])/Table11[[#This Row],[Scope 2 (2022)]]</f>
        <v>-1</v>
      </c>
    </row>
    <row r="34" spans="1:21" x14ac:dyDescent="0.35">
      <c r="A34" t="s">
        <v>672</v>
      </c>
      <c r="B34" s="7">
        <v>34.223832499999993</v>
      </c>
      <c r="C34" s="7">
        <v>3.9922922890000004E-2</v>
      </c>
      <c r="D34" s="26">
        <f>SUM(Table11[[#This Row],[Scope 1 (2021)]:[Scope 2 (2021)]])</f>
        <v>34.263755422889993</v>
      </c>
      <c r="E34" s="26">
        <v>40.075490317000003</v>
      </c>
      <c r="F34" s="26">
        <v>2.9301307700000003E-4</v>
      </c>
      <c r="G34" s="26">
        <f>SUM(Table11[[#This Row],[Scope 1 (2022)]:[Scope 2 (2022)]])</f>
        <v>40.075783330077002</v>
      </c>
      <c r="H34" s="26"/>
      <c r="I34" s="26">
        <v>0</v>
      </c>
      <c r="J34" s="30"/>
      <c r="K34" s="26">
        <f>SUM(Table11[[#This Row],[Scope 1 (2023)]:[Scope 2 (2023)]])</f>
        <v>0</v>
      </c>
      <c r="L34" s="26"/>
      <c r="M34" s="26">
        <f>Table11[[#This Row],[2023 Prod (ton)]]-Table11[[#This Row],[2022 Prod (ton)]]</f>
        <v>0</v>
      </c>
      <c r="N34" s="62"/>
      <c r="O34" s="26">
        <f>Table11[[#This Row],[2023 SUM]]-Table11[[#This Row],[2022 SUM]]</f>
        <v>-40.075783330077002</v>
      </c>
      <c r="P34" s="62">
        <f>(Table11[[#This Row],[2023 SUM]]-Table11[[#This Row],[2022 SUM]])/Table11[[#This Row],[2022 SUM]]</f>
        <v>-1</v>
      </c>
      <c r="R34" s="62">
        <f>(Table11[[#This Row],[Scope 1 (2023)]]-Table11[[#This Row],[Scope 1 (2022)]])/Table11[[#This Row],[Scope 1 (2022)]]</f>
        <v>-1</v>
      </c>
      <c r="S34" s="62">
        <f>(Table11[[#This Row],[Scope 2 (2023)]]-Table11[[#This Row],[Scope 2 (2022)]])/Table11[[#This Row],[Scope 2 (2022)]]</f>
        <v>-1</v>
      </c>
    </row>
    <row r="35" spans="1:21" ht="15" thickBot="1" x14ac:dyDescent="0.4">
      <c r="A35" t="s">
        <v>673</v>
      </c>
      <c r="B35" s="7"/>
      <c r="C35" s="7">
        <v>1.4069267990000001</v>
      </c>
      <c r="D35" s="26">
        <f>SUM(Table11[[#This Row],[Scope 1 (2021)]:[Scope 2 (2021)]])</f>
        <v>1.4069267990000001</v>
      </c>
      <c r="E35" s="26">
        <v>0</v>
      </c>
      <c r="F35" s="26">
        <v>0</v>
      </c>
      <c r="G35" s="26">
        <f>SUM(Table11[[#This Row],[Scope 1 (2022)]:[Scope 2 (2022)]])</f>
        <v>0</v>
      </c>
      <c r="H35" s="26"/>
      <c r="I35" s="26">
        <v>0</v>
      </c>
      <c r="J35" s="30">
        <v>0</v>
      </c>
      <c r="K35" s="26">
        <f>SUM(Table11[[#This Row],[Scope 1 (2023)]:[Scope 2 (2023)]])</f>
        <v>0</v>
      </c>
      <c r="L35" s="26"/>
      <c r="M35" s="26">
        <f>Table11[[#This Row],[2023 Prod (ton)]]-Table11[[#This Row],[2022 Prod (ton)]]</f>
        <v>0</v>
      </c>
      <c r="N35" s="62"/>
      <c r="O35" s="26">
        <f>Table11[[#This Row],[2023 SUM]]-Table11[[#This Row],[2022 SUM]]</f>
        <v>0</v>
      </c>
      <c r="P35" s="62"/>
    </row>
    <row r="36" spans="1:21" x14ac:dyDescent="0.35">
      <c r="B36" s="79">
        <f>SUM(Table11[Scope 1 (2021)])</f>
        <v>65953.553960546982</v>
      </c>
      <c r="C36" s="79">
        <f>SUM(Table11[Scope 2 (2021)])</f>
        <v>41295.818575412908</v>
      </c>
      <c r="D36" s="79">
        <f>SUM(Table11[2021 SUM])</f>
        <v>107249.37253595986</v>
      </c>
      <c r="E36" s="79">
        <f>SUM(Table11[Scope 1 (2022)])</f>
        <v>66404.90136671951</v>
      </c>
      <c r="F36" s="79">
        <f>SUM(Table11[Scope 2 (2022)])</f>
        <v>39683.416271835384</v>
      </c>
      <c r="G36" s="79">
        <f>SUM(Table11[2022 SUM])</f>
        <v>106088.3176385549</v>
      </c>
      <c r="H36" s="79">
        <f>SUBTOTAL(109,Table11[2022 Prod (ton)])</f>
        <v>367235</v>
      </c>
      <c r="I36" s="79">
        <f>SUM(Table11[Scope 1 (2023)])</f>
        <v>57269.81</v>
      </c>
      <c r="J36" s="79">
        <f>SUM(Table11[Scope 2 (2023)])</f>
        <v>31315.130000000005</v>
      </c>
      <c r="K36" s="79">
        <f>SUM(Table11[2023 SUM])</f>
        <v>88584.94</v>
      </c>
      <c r="L36" s="79">
        <f>SUBTOTAL(109,Table11[2023 Prod (ton)])</f>
        <v>328709</v>
      </c>
      <c r="M36" s="79">
        <f>SUBTOTAL(109,Table11[Delta Prod])</f>
        <v>-38526</v>
      </c>
      <c r="N36" s="80">
        <f>(Table11[[#Totals],[2023 Prod (ton)]]-Table11[[#Totals],[2022 Prod (ton)]])/Table11[[#Totals],[2022 Prod (ton)]]</f>
        <v>-0.10490830122401187</v>
      </c>
      <c r="O36" s="79">
        <f>SUBTOTAL(109,Table11[Delta Emissions])</f>
        <v>-17503.377638554877</v>
      </c>
      <c r="P36" s="80">
        <f>(Table11[[#Totals],[2023 SUM]]-Table11[[#Totals],[2022 SUM]])/Table11[[#Totals],[2022 SUM]]</f>
        <v>-0.16498873795123484</v>
      </c>
      <c r="R36" s="71" t="s">
        <v>674</v>
      </c>
      <c r="S36" s="66">
        <v>1210500000</v>
      </c>
      <c r="T36" s="67">
        <f>Table11[[#Totals],[2022 SUM]]/S36</f>
        <v>8.764008065969013E-5</v>
      </c>
      <c r="U36" s="65"/>
    </row>
    <row r="37" spans="1:21" ht="15" thickBot="1" x14ac:dyDescent="0.4">
      <c r="I37" s="29"/>
      <c r="J37" s="29"/>
      <c r="L37" s="64"/>
      <c r="R37" s="72" t="s">
        <v>675</v>
      </c>
      <c r="S37" s="68">
        <v>939400000</v>
      </c>
      <c r="T37" s="69">
        <f>Table11[[#Totals],[2023 SUM]]/S37</f>
        <v>9.4299489035554619E-5</v>
      </c>
      <c r="U37" s="70">
        <f>(T37-T36)/T36</f>
        <v>7.5985876846955819E-2</v>
      </c>
    </row>
    <row r="38" spans="1:21" ht="15" thickBot="1" x14ac:dyDescent="0.4">
      <c r="O38" s="28"/>
    </row>
    <row r="39" spans="1:21" x14ac:dyDescent="0.35">
      <c r="R39" s="74" t="s">
        <v>676</v>
      </c>
      <c r="S39" s="74">
        <v>367235</v>
      </c>
      <c r="T39" s="75">
        <f>Table11[[#Totals],[2022 SUM]]/S39</f>
        <v>0.28888400516986373</v>
      </c>
      <c r="U39" s="74"/>
    </row>
    <row r="40" spans="1:21" ht="15" thickBot="1" x14ac:dyDescent="0.4">
      <c r="M40" s="28"/>
      <c r="N40" s="62"/>
      <c r="R40" s="52" t="s">
        <v>677</v>
      </c>
      <c r="S40" s="52">
        <v>328709</v>
      </c>
      <c r="T40" s="73">
        <f>Table11[[#Totals],[2023 SUM]]/S40</f>
        <v>0.26949350337228367</v>
      </c>
      <c r="U40" s="70">
        <f>(T40-T39)/T39</f>
        <v>-6.7122102472161618E-2</v>
      </c>
    </row>
    <row r="43" spans="1:21" x14ac:dyDescent="0.35">
      <c r="N43" s="27">
        <f>16593/Table11[[#Totals],[2022 SUM]]</f>
        <v>0.15640741949111395</v>
      </c>
    </row>
    <row r="44" spans="1:21" x14ac:dyDescent="0.35">
      <c r="N44" s="28"/>
    </row>
    <row r="53" spans="14:14" x14ac:dyDescent="0.35">
      <c r="N53">
        <f>(7661-8702)/8702</f>
        <v>-0.1196276717995863</v>
      </c>
    </row>
    <row r="54" spans="14:14" x14ac:dyDescent="0.35">
      <c r="N54">
        <f>(6058-5678)/5678</f>
        <v>6.6924973582247277E-2</v>
      </c>
    </row>
    <row r="55" spans="14:14" x14ac:dyDescent="0.35">
      <c r="N55">
        <f>(562-523)/523</f>
        <v>7.4569789674952203E-2</v>
      </c>
    </row>
    <row r="56" spans="14:14" x14ac:dyDescent="0.35">
      <c r="N56">
        <f>(194-298)/298</f>
        <v>-0.34899328859060402</v>
      </c>
    </row>
    <row r="57" spans="14:14" x14ac:dyDescent="0.35">
      <c r="N57">
        <f>(14475-15202)/15202</f>
        <v>-4.7822654913827131E-2</v>
      </c>
    </row>
  </sheetData>
  <mergeCells count="6">
    <mergeCell ref="B3:C3"/>
    <mergeCell ref="E3:F3"/>
    <mergeCell ref="B4:C4"/>
    <mergeCell ref="E4:F4"/>
    <mergeCell ref="I4:J4"/>
    <mergeCell ref="I3:J3"/>
  </mergeCells>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Question List</vt:lpstr>
      <vt:lpstr>Finance</vt:lpstr>
      <vt:lpstr>Cmdt Sourcing Data 2024</vt:lpstr>
      <vt:lpstr>GHG-Water Initiatives</vt:lpstr>
      <vt:lpstr>Cmdty Sourcing $ 2024</vt:lpstr>
      <vt:lpstr>GHG-Water Initiatives (2)</vt:lpstr>
      <vt:lpstr>Target Tracking</vt:lpstr>
      <vt:lpstr>Summary Water 2024</vt:lpstr>
      <vt:lpstr>Leuna - Withdrawal + Discharge</vt:lpstr>
      <vt:lpstr>Soy Sourcing - Food</vt:lpstr>
      <vt:lpstr>Palm Sourcing - Food</vt:lpstr>
      <vt:lpstr>Prod Capacity</vt:lpstr>
      <vt:lpstr>Energy Spend</vt:lpstr>
      <vt:lpstr>Data 2021 to 2023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 DiZio</dc:creator>
  <cp:keywords/>
  <dc:description/>
  <cp:lastModifiedBy>Dan DiZio</cp:lastModifiedBy>
  <cp:revision/>
  <dcterms:created xsi:type="dcterms:W3CDTF">2024-07-03T13:37:35Z</dcterms:created>
  <dcterms:modified xsi:type="dcterms:W3CDTF">2026-06-17T18:50:58Z</dcterms:modified>
  <cp:category/>
  <cp:contentStatus/>
</cp:coreProperties>
</file>