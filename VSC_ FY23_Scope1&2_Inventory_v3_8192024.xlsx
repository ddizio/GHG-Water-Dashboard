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27" documentId="8_{52C37906-3585-403B-975C-185FD6FF9ABF}" xr6:coauthVersionLast="47" xr6:coauthVersionMax="47" xr10:uidLastSave="{AFF0E9C1-A955-4681-B853-5213F28FFC16}"/>
  <bookViews>
    <workbookView xWindow="37884" yWindow="228" windowWidth="26244" windowHeight="16092" xr2:uid="{00000000-000D-0000-FFFF-FFFF00000000}"/>
  </bookViews>
  <sheets>
    <sheet name="Overview" sheetId="4" r:id="rId1"/>
    <sheet name="Pivot" sheetId="2" r:id="rId2"/>
    <sheet name="Results by Site" sheetId="3" r:id="rId3"/>
    <sheet name="RA - Emissions Report" sheetId="1" r:id="rId4"/>
    <sheet name="RA- Water Report" sheetId="5" r:id="rId5"/>
    <sheet name="MB-CarbonMap" sheetId="6" r:id="rId6"/>
    <sheet name="LB-CarbonMap" sheetId="7" r:id="rId7"/>
  </sheets>
  <definedNames>
    <definedName name="_xlnm._FilterDatabase" localSheetId="6" hidden="1">'LB-CarbonMap'!$A$6:$R$510</definedName>
    <definedName name="_xlnm._FilterDatabase" localSheetId="5" hidden="1">'MB-CarbonMap'!$A$6:$R$510</definedName>
    <definedName name="_xlnm._FilterDatabase" localSheetId="3" hidden="1">'RA - Emissions Report'!$A$11:$V$1539</definedName>
    <definedName name="_xlnm.Print_Titles" localSheetId="3">'RA - Emissions Report'!$1:$9</definedName>
  </definedNames>
  <calcPr calcId="191028"/>
  <pivotCaches>
    <pivotCache cacheId="326" r:id="rId8"/>
    <pivotCache cacheId="327" r:id="rId9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7" i="1" l="1"/>
  <c r="V106" i="1"/>
  <c r="V100" i="1"/>
  <c r="V94" i="1"/>
  <c r="V88" i="1"/>
  <c r="S9" i="4" l="1"/>
  <c r="S8" i="4"/>
  <c r="C306" i="7" a="1"/>
  <c r="C306" i="7" s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45" i="4"/>
  <c r="E21" i="4"/>
  <c r="E22" i="4"/>
  <c r="E23" i="4"/>
  <c r="E24" i="4"/>
  <c r="E25" i="4"/>
  <c r="E26" i="4"/>
  <c r="E27" i="4"/>
  <c r="E28" i="4"/>
  <c r="E29" i="4"/>
  <c r="E30" i="4"/>
  <c r="E31" i="4"/>
  <c r="E32" i="4"/>
  <c r="E20" i="4"/>
  <c r="D21" i="4"/>
  <c r="D22" i="4"/>
  <c r="D23" i="4"/>
  <c r="D24" i="4"/>
  <c r="D25" i="4"/>
  <c r="D26" i="4"/>
  <c r="D27" i="4"/>
  <c r="D28" i="4"/>
  <c r="D29" i="4"/>
  <c r="D30" i="4"/>
  <c r="D31" i="4"/>
  <c r="D20" i="4"/>
  <c r="D38" i="4"/>
  <c r="D39" i="4"/>
  <c r="D34" i="4"/>
  <c r="D35" i="4"/>
  <c r="D36" i="4"/>
  <c r="D37" i="4"/>
  <c r="E33" i="4"/>
  <c r="E34" i="4"/>
  <c r="E35" i="4"/>
  <c r="E36" i="4"/>
  <c r="E37" i="4"/>
  <c r="E38" i="4"/>
  <c r="E39" i="4"/>
  <c r="D32" i="4"/>
  <c r="D33" i="4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R456" i="1"/>
  <c r="R57" i="1"/>
  <c r="R451" i="1"/>
  <c r="R53" i="1"/>
  <c r="R445" i="1"/>
  <c r="R49" i="1"/>
  <c r="R439" i="1"/>
  <c r="R45" i="1"/>
  <c r="R434" i="1"/>
  <c r="R41" i="1"/>
  <c r="R429" i="1"/>
  <c r="R37" i="1"/>
  <c r="R424" i="1"/>
  <c r="R33" i="1"/>
  <c r="R419" i="1"/>
  <c r="R29" i="1"/>
  <c r="R413" i="1"/>
  <c r="R25" i="1"/>
  <c r="R408" i="1"/>
  <c r="R21" i="1"/>
  <c r="R402" i="1"/>
  <c r="R17" i="1"/>
  <c r="R396" i="1"/>
  <c r="R13" i="1"/>
  <c r="V1074" i="1"/>
  <c r="V1448" i="1"/>
  <c r="V1473" i="1"/>
  <c r="V496" i="1"/>
  <c r="V1370" i="1"/>
  <c r="V1449" i="1"/>
  <c r="V601" i="1"/>
  <c r="V685" i="1"/>
  <c r="V825" i="1"/>
  <c r="V905" i="1"/>
  <c r="V1009" i="1"/>
  <c r="V1176" i="1"/>
  <c r="V1407" i="1"/>
  <c r="V442" i="1"/>
  <c r="V48" i="1"/>
  <c r="V122" i="1"/>
  <c r="V322" i="1"/>
  <c r="V443" i="1"/>
  <c r="V826" i="1"/>
  <c r="V1010" i="1"/>
  <c r="V444" i="1"/>
  <c r="V323" i="1"/>
  <c r="V49" i="1"/>
  <c r="V445" i="1"/>
  <c r="V50" i="1"/>
  <c r="V446" i="1"/>
  <c r="V51" i="1"/>
  <c r="V1011" i="1"/>
  <c r="V134" i="1"/>
  <c r="V158" i="1"/>
  <c r="V218" i="1"/>
  <c r="V324" i="1"/>
  <c r="V447" i="1"/>
  <c r="V602" i="1"/>
  <c r="V686" i="1"/>
  <c r="V827" i="1"/>
  <c r="V906" i="1"/>
  <c r="V1012" i="1"/>
  <c r="V1177" i="1"/>
  <c r="V1408" i="1"/>
  <c r="V448" i="1"/>
  <c r="V52" i="1"/>
  <c r="V123" i="1"/>
  <c r="V449" i="1"/>
  <c r="V1013" i="1"/>
  <c r="V450" i="1"/>
  <c r="V325" i="1"/>
  <c r="V53" i="1"/>
  <c r="V451" i="1"/>
  <c r="V54" i="1"/>
  <c r="V452" i="1"/>
  <c r="V55" i="1"/>
  <c r="V1014" i="1"/>
  <c r="V135" i="1"/>
  <c r="V159" i="1"/>
  <c r="V219" i="1"/>
  <c r="V326" i="1"/>
  <c r="V453" i="1"/>
  <c r="V603" i="1"/>
  <c r="V687" i="1"/>
  <c r="V828" i="1"/>
  <c r="V907" i="1"/>
  <c r="V1015" i="1"/>
  <c r="V1178" i="1"/>
  <c r="V1409" i="1"/>
  <c r="V327" i="1"/>
  <c r="V1410" i="1"/>
  <c r="V56" i="1"/>
  <c r="V124" i="1"/>
  <c r="V328" i="1"/>
  <c r="V454" i="1"/>
  <c r="V1016" i="1"/>
  <c r="V455" i="1"/>
  <c r="V329" i="1"/>
  <c r="V57" i="1"/>
  <c r="V456" i="1"/>
  <c r="V58" i="1"/>
  <c r="V457" i="1"/>
  <c r="V458" i="1"/>
  <c r="V59" i="1"/>
  <c r="V1017" i="1"/>
  <c r="V136" i="1"/>
  <c r="V160" i="1"/>
  <c r="V220" i="1"/>
  <c r="V330" i="1"/>
  <c r="V459" i="1"/>
  <c r="V604" i="1"/>
  <c r="V688" i="1"/>
  <c r="V829" i="1"/>
  <c r="V908" i="1"/>
  <c r="V1018" i="1"/>
  <c r="V1179" i="1"/>
  <c r="V1411" i="1"/>
  <c r="V460" i="1"/>
  <c r="V830" i="1"/>
  <c r="V60" i="1"/>
  <c r="V137" i="1"/>
  <c r="V161" i="1"/>
  <c r="V221" i="1"/>
  <c r="V331" i="1"/>
  <c r="V461" i="1"/>
  <c r="V533" i="1"/>
  <c r="V605" i="1"/>
  <c r="V689" i="1"/>
  <c r="V751" i="1"/>
  <c r="V831" i="1"/>
  <c r="V909" i="1"/>
  <c r="V1019" i="1"/>
  <c r="V1060" i="1"/>
  <c r="V1075" i="1"/>
  <c r="V1120" i="1"/>
  <c r="V1180" i="1"/>
  <c r="V1228" i="1"/>
  <c r="V1252" i="1"/>
  <c r="V1288" i="1"/>
  <c r="V1324" i="1"/>
  <c r="V1412" i="1"/>
  <c r="V1462" i="1"/>
  <c r="V61" i="1"/>
  <c r="V138" i="1"/>
  <c r="V162" i="1"/>
  <c r="V222" i="1"/>
  <c r="V332" i="1"/>
  <c r="V462" i="1"/>
  <c r="V534" i="1"/>
  <c r="V606" i="1"/>
  <c r="V690" i="1"/>
  <c r="V752" i="1"/>
  <c r="V832" i="1"/>
  <c r="V910" i="1"/>
  <c r="V1020" i="1"/>
  <c r="V1061" i="1"/>
  <c r="V1076" i="1"/>
  <c r="V1121" i="1"/>
  <c r="V1181" i="1"/>
  <c r="V1229" i="1"/>
  <c r="V1253" i="1"/>
  <c r="V1289" i="1"/>
  <c r="V1325" i="1"/>
  <c r="V1413" i="1"/>
  <c r="V1463" i="1"/>
  <c r="V62" i="1"/>
  <c r="V139" i="1"/>
  <c r="V163" i="1"/>
  <c r="V223" i="1"/>
  <c r="V333" i="1"/>
  <c r="V463" i="1"/>
  <c r="V535" i="1"/>
  <c r="V607" i="1"/>
  <c r="V691" i="1"/>
  <c r="V753" i="1"/>
  <c r="V833" i="1"/>
  <c r="V911" i="1"/>
  <c r="V1021" i="1"/>
  <c r="V1062" i="1"/>
  <c r="V1077" i="1"/>
  <c r="V1122" i="1"/>
  <c r="V1182" i="1"/>
  <c r="V1230" i="1"/>
  <c r="V1254" i="1"/>
  <c r="V1290" i="1"/>
  <c r="V1326" i="1"/>
  <c r="V1414" i="1"/>
  <c r="V1464" i="1"/>
  <c r="V63" i="1"/>
  <c r="V140" i="1"/>
  <c r="V164" i="1"/>
  <c r="V224" i="1"/>
  <c r="V334" i="1"/>
  <c r="V464" i="1"/>
  <c r="V536" i="1"/>
  <c r="V608" i="1"/>
  <c r="V692" i="1"/>
  <c r="V754" i="1"/>
  <c r="V834" i="1"/>
  <c r="V912" i="1"/>
  <c r="V1022" i="1"/>
  <c r="V1063" i="1"/>
  <c r="V1078" i="1"/>
  <c r="V1123" i="1"/>
  <c r="V1183" i="1"/>
  <c r="V1231" i="1"/>
  <c r="V1255" i="1"/>
  <c r="V1291" i="1"/>
  <c r="V1327" i="1"/>
  <c r="V1415" i="1"/>
  <c r="V64" i="1"/>
  <c r="V141" i="1"/>
  <c r="V165" i="1"/>
  <c r="V225" i="1"/>
  <c r="V335" i="1"/>
  <c r="V465" i="1"/>
  <c r="V537" i="1"/>
  <c r="V609" i="1"/>
  <c r="V693" i="1"/>
  <c r="V755" i="1"/>
  <c r="V835" i="1"/>
  <c r="V913" i="1"/>
  <c r="V1023" i="1"/>
  <c r="V1064" i="1"/>
  <c r="V1079" i="1"/>
  <c r="V1124" i="1"/>
  <c r="V1184" i="1"/>
  <c r="V1232" i="1"/>
  <c r="V1256" i="1"/>
  <c r="V1292" i="1"/>
  <c r="V1328" i="1"/>
  <c r="V1416" i="1"/>
  <c r="V65" i="1"/>
  <c r="V142" i="1"/>
  <c r="V166" i="1"/>
  <c r="V226" i="1"/>
  <c r="V336" i="1"/>
  <c r="V466" i="1"/>
  <c r="V538" i="1"/>
  <c r="V610" i="1"/>
  <c r="V694" i="1"/>
  <c r="V756" i="1"/>
  <c r="V836" i="1"/>
  <c r="V914" i="1"/>
  <c r="V1024" i="1"/>
  <c r="V1065" i="1"/>
  <c r="V1080" i="1"/>
  <c r="V1125" i="1"/>
  <c r="V1185" i="1"/>
  <c r="V1233" i="1"/>
  <c r="V1257" i="1"/>
  <c r="V1293" i="1"/>
  <c r="V1329" i="1"/>
  <c r="V1417" i="1"/>
  <c r="V66" i="1"/>
  <c r="V143" i="1"/>
  <c r="V167" i="1"/>
  <c r="V227" i="1"/>
  <c r="V337" i="1"/>
  <c r="V467" i="1"/>
  <c r="V539" i="1"/>
  <c r="V611" i="1"/>
  <c r="V695" i="1"/>
  <c r="V757" i="1"/>
  <c r="V837" i="1"/>
  <c r="V915" i="1"/>
  <c r="V1025" i="1"/>
  <c r="V1066" i="1"/>
  <c r="V1081" i="1"/>
  <c r="V1126" i="1"/>
  <c r="V1186" i="1"/>
  <c r="V1234" i="1"/>
  <c r="V1258" i="1"/>
  <c r="V1294" i="1"/>
  <c r="V1330" i="1"/>
  <c r="V1418" i="1"/>
  <c r="V67" i="1"/>
  <c r="V144" i="1"/>
  <c r="V168" i="1"/>
  <c r="V228" i="1"/>
  <c r="V338" i="1"/>
  <c r="V468" i="1"/>
  <c r="V540" i="1"/>
  <c r="V612" i="1"/>
  <c r="V696" i="1"/>
  <c r="V758" i="1"/>
  <c r="V838" i="1"/>
  <c r="V916" i="1"/>
  <c r="V1026" i="1"/>
  <c r="V1067" i="1"/>
  <c r="V1082" i="1"/>
  <c r="V1127" i="1"/>
  <c r="V1187" i="1"/>
  <c r="V1235" i="1"/>
  <c r="V1259" i="1"/>
  <c r="V1295" i="1"/>
  <c r="V1331" i="1"/>
  <c r="V1419" i="1"/>
  <c r="V68" i="1"/>
  <c r="V145" i="1"/>
  <c r="V169" i="1"/>
  <c r="V229" i="1"/>
  <c r="V339" i="1"/>
  <c r="V469" i="1"/>
  <c r="V541" i="1"/>
  <c r="V613" i="1"/>
  <c r="V697" i="1"/>
  <c r="V759" i="1"/>
  <c r="V839" i="1"/>
  <c r="V917" i="1"/>
  <c r="V1027" i="1"/>
  <c r="V1068" i="1"/>
  <c r="V1083" i="1"/>
  <c r="V1128" i="1"/>
  <c r="V1188" i="1"/>
  <c r="V1236" i="1"/>
  <c r="V1260" i="1"/>
  <c r="V1296" i="1"/>
  <c r="V1332" i="1"/>
  <c r="V1420" i="1"/>
  <c r="V69" i="1"/>
  <c r="V146" i="1"/>
  <c r="V170" i="1"/>
  <c r="V230" i="1"/>
  <c r="V340" i="1"/>
  <c r="V470" i="1"/>
  <c r="V542" i="1"/>
  <c r="V614" i="1"/>
  <c r="V698" i="1"/>
  <c r="V760" i="1"/>
  <c r="V840" i="1"/>
  <c r="V918" i="1"/>
  <c r="V1028" i="1"/>
  <c r="V1069" i="1"/>
  <c r="V1084" i="1"/>
  <c r="V1129" i="1"/>
  <c r="V1189" i="1"/>
  <c r="V1237" i="1"/>
  <c r="V1261" i="1"/>
  <c r="V1297" i="1"/>
  <c r="V1333" i="1"/>
  <c r="V1421" i="1"/>
  <c r="V70" i="1"/>
  <c r="V147" i="1"/>
  <c r="V171" i="1"/>
  <c r="V231" i="1"/>
  <c r="V341" i="1"/>
  <c r="V471" i="1"/>
  <c r="V543" i="1"/>
  <c r="V615" i="1"/>
  <c r="V699" i="1"/>
  <c r="V761" i="1"/>
  <c r="V841" i="1"/>
  <c r="V919" i="1"/>
  <c r="V1029" i="1"/>
  <c r="V1070" i="1"/>
  <c r="V1085" i="1"/>
  <c r="V1130" i="1"/>
  <c r="V1190" i="1"/>
  <c r="V1238" i="1"/>
  <c r="V1262" i="1"/>
  <c r="V1298" i="1"/>
  <c r="V1334" i="1"/>
  <c r="V1422" i="1"/>
  <c r="V71" i="1"/>
  <c r="V148" i="1"/>
  <c r="V172" i="1"/>
  <c r="V232" i="1"/>
  <c r="V342" i="1"/>
  <c r="V472" i="1"/>
  <c r="V544" i="1"/>
  <c r="V616" i="1"/>
  <c r="V700" i="1"/>
  <c r="V762" i="1"/>
  <c r="V842" i="1"/>
  <c r="V920" i="1"/>
  <c r="V1030" i="1"/>
  <c r="V1071" i="1"/>
  <c r="V1086" i="1"/>
  <c r="V1131" i="1"/>
  <c r="V1191" i="1"/>
  <c r="V1239" i="1"/>
  <c r="V1263" i="1"/>
  <c r="V1299" i="1"/>
  <c r="V1335" i="1"/>
  <c r="V1423" i="1"/>
  <c r="V72" i="1"/>
  <c r="V233" i="1"/>
  <c r="V343" i="1"/>
  <c r="V473" i="1"/>
  <c r="V545" i="1"/>
  <c r="V617" i="1"/>
  <c r="V701" i="1"/>
  <c r="V763" i="1"/>
  <c r="V843" i="1"/>
  <c r="V921" i="1"/>
  <c r="V1031" i="1"/>
  <c r="V1072" i="1"/>
  <c r="V1132" i="1"/>
  <c r="V1192" i="1"/>
  <c r="V1240" i="1"/>
  <c r="V1264" i="1"/>
  <c r="V1300" i="1"/>
  <c r="V1336" i="1"/>
  <c r="V1424" i="1"/>
  <c r="V1465" i="1"/>
  <c r="V73" i="1"/>
  <c r="V234" i="1"/>
  <c r="V344" i="1"/>
  <c r="V474" i="1"/>
  <c r="V546" i="1"/>
  <c r="V618" i="1"/>
  <c r="V702" i="1"/>
  <c r="V764" i="1"/>
  <c r="V844" i="1"/>
  <c r="V922" i="1"/>
  <c r="V1032" i="1"/>
  <c r="V1133" i="1"/>
  <c r="V1193" i="1"/>
  <c r="V1241" i="1"/>
  <c r="V1265" i="1"/>
  <c r="V1301" i="1"/>
  <c r="V1337" i="1"/>
  <c r="V1425" i="1"/>
  <c r="V1466" i="1"/>
  <c r="V74" i="1"/>
  <c r="V235" i="1"/>
  <c r="V345" i="1"/>
  <c r="V475" i="1"/>
  <c r="V547" i="1"/>
  <c r="V619" i="1"/>
  <c r="V703" i="1"/>
  <c r="V765" i="1"/>
  <c r="V845" i="1"/>
  <c r="V923" i="1"/>
  <c r="V1033" i="1"/>
  <c r="V1134" i="1"/>
  <c r="V1194" i="1"/>
  <c r="V1242" i="1"/>
  <c r="V1266" i="1"/>
  <c r="V1302" i="1"/>
  <c r="V1338" i="1"/>
  <c r="V1426" i="1"/>
  <c r="V75" i="1"/>
  <c r="V236" i="1"/>
  <c r="V346" i="1"/>
  <c r="V476" i="1"/>
  <c r="V548" i="1"/>
  <c r="V620" i="1"/>
  <c r="V704" i="1"/>
  <c r="V766" i="1"/>
  <c r="V846" i="1"/>
  <c r="V924" i="1"/>
  <c r="V1034" i="1"/>
  <c r="V1087" i="1"/>
  <c r="V1135" i="1"/>
  <c r="V1195" i="1"/>
  <c r="V1243" i="1"/>
  <c r="V1267" i="1"/>
  <c r="V1303" i="1"/>
  <c r="V1339" i="1"/>
  <c r="V1427" i="1"/>
  <c r="V76" i="1"/>
  <c r="V237" i="1"/>
  <c r="V347" i="1"/>
  <c r="V477" i="1"/>
  <c r="V549" i="1"/>
  <c r="V621" i="1"/>
  <c r="V705" i="1"/>
  <c r="V767" i="1"/>
  <c r="V847" i="1"/>
  <c r="V925" i="1"/>
  <c r="V1035" i="1"/>
  <c r="V1088" i="1"/>
  <c r="V1136" i="1"/>
  <c r="V1196" i="1"/>
  <c r="V1244" i="1"/>
  <c r="V1268" i="1"/>
  <c r="V1304" i="1"/>
  <c r="V1340" i="1"/>
  <c r="V1428" i="1"/>
  <c r="V1467" i="1"/>
  <c r="V77" i="1"/>
  <c r="V238" i="1"/>
  <c r="V348" i="1"/>
  <c r="V478" i="1"/>
  <c r="V550" i="1"/>
  <c r="V622" i="1"/>
  <c r="V706" i="1"/>
  <c r="V768" i="1"/>
  <c r="V848" i="1"/>
  <c r="V926" i="1"/>
  <c r="V1036" i="1"/>
  <c r="V1089" i="1"/>
  <c r="V1137" i="1"/>
  <c r="V1197" i="1"/>
  <c r="V1245" i="1"/>
  <c r="V1269" i="1"/>
  <c r="V1305" i="1"/>
  <c r="V1341" i="1"/>
  <c r="V1429" i="1"/>
  <c r="V1468" i="1"/>
  <c r="V78" i="1"/>
  <c r="V239" i="1"/>
  <c r="V349" i="1"/>
  <c r="V479" i="1"/>
  <c r="V551" i="1"/>
  <c r="V623" i="1"/>
  <c r="V707" i="1"/>
  <c r="V769" i="1"/>
  <c r="V849" i="1"/>
  <c r="V927" i="1"/>
  <c r="V1037" i="1"/>
  <c r="V1090" i="1"/>
  <c r="V1138" i="1"/>
  <c r="V1198" i="1"/>
  <c r="V1246" i="1"/>
  <c r="V1270" i="1"/>
  <c r="V1306" i="1"/>
  <c r="V1342" i="1"/>
  <c r="V1430" i="1"/>
  <c r="V79" i="1"/>
  <c r="V240" i="1"/>
  <c r="V350" i="1"/>
  <c r="V480" i="1"/>
  <c r="V552" i="1"/>
  <c r="V624" i="1"/>
  <c r="V708" i="1"/>
  <c r="V770" i="1"/>
  <c r="V850" i="1"/>
  <c r="V928" i="1"/>
  <c r="V1038" i="1"/>
  <c r="V1091" i="1"/>
  <c r="V1139" i="1"/>
  <c r="V1199" i="1"/>
  <c r="V1247" i="1"/>
  <c r="V1271" i="1"/>
  <c r="V1307" i="1"/>
  <c r="V1343" i="1"/>
  <c r="V1431" i="1"/>
  <c r="V80" i="1"/>
  <c r="V241" i="1"/>
  <c r="V351" i="1"/>
  <c r="V481" i="1"/>
  <c r="V553" i="1"/>
  <c r="V625" i="1"/>
  <c r="V709" i="1"/>
  <c r="V771" i="1"/>
  <c r="V851" i="1"/>
  <c r="V929" i="1"/>
  <c r="V1039" i="1"/>
  <c r="V1092" i="1"/>
  <c r="V1140" i="1"/>
  <c r="V1200" i="1"/>
  <c r="V1248" i="1"/>
  <c r="V1272" i="1"/>
  <c r="V1308" i="1"/>
  <c r="V1344" i="1"/>
  <c r="V1432" i="1"/>
  <c r="V1469" i="1"/>
  <c r="V81" i="1"/>
  <c r="V242" i="1"/>
  <c r="V352" i="1"/>
  <c r="V482" i="1"/>
  <c r="V554" i="1"/>
  <c r="V626" i="1"/>
  <c r="V710" i="1"/>
  <c r="V772" i="1"/>
  <c r="V852" i="1"/>
  <c r="V930" i="1"/>
  <c r="V1040" i="1"/>
  <c r="V1093" i="1"/>
  <c r="V1141" i="1"/>
  <c r="V1201" i="1"/>
  <c r="V1249" i="1"/>
  <c r="V1273" i="1"/>
  <c r="V1309" i="1"/>
  <c r="V1345" i="1"/>
  <c r="V1433" i="1"/>
  <c r="V1470" i="1"/>
  <c r="V82" i="1"/>
  <c r="V243" i="1"/>
  <c r="V353" i="1"/>
  <c r="V483" i="1"/>
  <c r="V555" i="1"/>
  <c r="V627" i="1"/>
  <c r="V711" i="1"/>
  <c r="V773" i="1"/>
  <c r="V853" i="1"/>
  <c r="V931" i="1"/>
  <c r="V1041" i="1"/>
  <c r="V1094" i="1"/>
  <c r="V1142" i="1"/>
  <c r="V1202" i="1"/>
  <c r="V1250" i="1"/>
  <c r="V1274" i="1"/>
  <c r="V1310" i="1"/>
  <c r="V1434" i="1"/>
  <c r="V1471" i="1"/>
  <c r="V83" i="1"/>
  <c r="V244" i="1"/>
  <c r="V354" i="1"/>
  <c r="V484" i="1"/>
  <c r="V556" i="1"/>
  <c r="V628" i="1"/>
  <c r="V712" i="1"/>
  <c r="V774" i="1"/>
  <c r="V854" i="1"/>
  <c r="V932" i="1"/>
  <c r="V1042" i="1"/>
  <c r="V1095" i="1"/>
  <c r="V1143" i="1"/>
  <c r="V1203" i="1"/>
  <c r="V1251" i="1"/>
  <c r="V1275" i="1"/>
  <c r="V1311" i="1"/>
  <c r="V1346" i="1"/>
  <c r="V1435" i="1"/>
  <c r="V1472" i="1"/>
  <c r="V355" i="1"/>
  <c r="V855" i="1"/>
  <c r="V629" i="1"/>
  <c r="V245" i="1"/>
  <c r="V933" i="1"/>
  <c r="V1073" i="1"/>
  <c r="V1204" i="1"/>
  <c r="V1347" i="1"/>
  <c r="V1205" i="1"/>
  <c r="V856" i="1"/>
  <c r="V485" i="1"/>
  <c r="V1348" i="1"/>
  <c r="V1436" i="1"/>
  <c r="V246" i="1"/>
  <c r="V934" i="1"/>
  <c r="V630" i="1"/>
  <c r="V247" i="1"/>
  <c r="V631" i="1"/>
  <c r="V935" i="1"/>
  <c r="V1206" i="1"/>
  <c r="V1349" i="1"/>
  <c r="V1207" i="1"/>
  <c r="V486" i="1"/>
  <c r="V1350" i="1"/>
  <c r="V1437" i="1"/>
  <c r="V632" i="1"/>
  <c r="V248" i="1"/>
  <c r="V936" i="1"/>
  <c r="V1208" i="1"/>
  <c r="V1351" i="1"/>
  <c r="V1209" i="1"/>
  <c r="V487" i="1"/>
  <c r="V1352" i="1"/>
  <c r="V1438" i="1"/>
  <c r="V633" i="1"/>
  <c r="V249" i="1"/>
  <c r="V634" i="1"/>
  <c r="V937" i="1"/>
  <c r="V1210" i="1"/>
  <c r="V1353" i="1"/>
  <c r="V1211" i="1"/>
  <c r="V488" i="1"/>
  <c r="V1354" i="1"/>
  <c r="V1439" i="1"/>
  <c r="V250" i="1"/>
  <c r="V635" i="1"/>
  <c r="V251" i="1"/>
  <c r="V636" i="1"/>
  <c r="V938" i="1"/>
  <c r="V1212" i="1"/>
  <c r="V1355" i="1"/>
  <c r="V1213" i="1"/>
  <c r="V489" i="1"/>
  <c r="V1356" i="1"/>
  <c r="V1440" i="1"/>
  <c r="V637" i="1"/>
  <c r="V252" i="1"/>
  <c r="V638" i="1"/>
  <c r="V939" i="1"/>
  <c r="V1214" i="1"/>
  <c r="V1357" i="1"/>
  <c r="V1215" i="1"/>
  <c r="V490" i="1"/>
  <c r="V1358" i="1"/>
  <c r="V1441" i="1"/>
  <c r="V639" i="1"/>
  <c r="V253" i="1"/>
  <c r="V640" i="1"/>
  <c r="V940" i="1"/>
  <c r="V1216" i="1"/>
  <c r="V1359" i="1"/>
  <c r="V1217" i="1"/>
  <c r="V491" i="1"/>
  <c r="V1360" i="1"/>
  <c r="V1442" i="1"/>
  <c r="V941" i="1"/>
  <c r="V641" i="1"/>
  <c r="V254" i="1"/>
  <c r="V642" i="1"/>
  <c r="V1218" i="1"/>
  <c r="V1361" i="1"/>
  <c r="V1219" i="1"/>
  <c r="V492" i="1"/>
  <c r="V1362" i="1"/>
  <c r="V1443" i="1"/>
  <c r="V942" i="1"/>
  <c r="V643" i="1"/>
  <c r="V255" i="1"/>
  <c r="V943" i="1"/>
  <c r="V1220" i="1"/>
  <c r="V1363" i="1"/>
  <c r="V1221" i="1"/>
  <c r="V493" i="1"/>
  <c r="V1364" i="1"/>
  <c r="V1444" i="1"/>
  <c r="V256" i="1"/>
  <c r="V644" i="1"/>
  <c r="V257" i="1"/>
  <c r="V645" i="1"/>
  <c r="V944" i="1"/>
  <c r="V1222" i="1"/>
  <c r="V1365" i="1"/>
  <c r="V1223" i="1"/>
  <c r="V857" i="1"/>
  <c r="V1445" i="1"/>
  <c r="V494" i="1"/>
  <c r="V1366" i="1"/>
  <c r="V1446" i="1"/>
  <c r="V646" i="1"/>
  <c r="V258" i="1"/>
  <c r="V647" i="1"/>
  <c r="V858" i="1"/>
  <c r="V945" i="1"/>
  <c r="V1224" i="1"/>
  <c r="V1367" i="1"/>
  <c r="V1225" i="1"/>
  <c r="V259" i="1"/>
  <c r="V356" i="1"/>
  <c r="V648" i="1"/>
  <c r="V713" i="1"/>
  <c r="V859" i="1"/>
  <c r="V495" i="1"/>
  <c r="V1368" i="1"/>
  <c r="V1447" i="1"/>
  <c r="V649" i="1"/>
  <c r="V714" i="1"/>
  <c r="V1043" i="1"/>
  <c r="V650" i="1"/>
  <c r="V260" i="1"/>
  <c r="V651" i="1"/>
  <c r="V946" i="1"/>
  <c r="V1044" i="1"/>
  <c r="V1226" i="1"/>
  <c r="V1369" i="1"/>
  <c r="V1227" i="1"/>
  <c r="V357" i="1"/>
  <c r="V652" i="1"/>
  <c r="V860" i="1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13" i="5"/>
  <c r="V261" i="1"/>
  <c r="V358" i="1"/>
  <c r="V497" i="1"/>
  <c r="V557" i="1"/>
  <c r="V655" i="1"/>
  <c r="V363" i="1"/>
  <c r="V502" i="1"/>
  <c r="V739" i="1"/>
  <c r="V799" i="1"/>
  <c r="V523" i="1"/>
  <c r="V1056" i="1"/>
  <c r="V1113" i="1"/>
  <c r="V525" i="1"/>
  <c r="V585" i="1"/>
  <c r="V804" i="1"/>
  <c r="V890" i="1"/>
  <c r="V206" i="1"/>
  <c r="V294" i="1"/>
  <c r="V675" i="1"/>
  <c r="V749" i="1"/>
  <c r="V809" i="1"/>
  <c r="V895" i="1"/>
  <c r="V982" i="1"/>
  <c r="V1166" i="1"/>
  <c r="V1287" i="1"/>
  <c r="V1393" i="1"/>
  <c r="V1461" i="1"/>
  <c r="V208" i="1"/>
  <c r="V296" i="1"/>
  <c r="V393" i="1"/>
  <c r="V532" i="1"/>
  <c r="V592" i="1"/>
  <c r="V430" i="1"/>
  <c r="V39" i="1"/>
  <c r="V715" i="1"/>
  <c r="V775" i="1"/>
  <c r="V861" i="1"/>
  <c r="V947" i="1"/>
  <c r="V719" i="1"/>
  <c r="V562" i="1"/>
  <c r="V656" i="1"/>
  <c r="V885" i="1"/>
  <c r="V971" i="1"/>
  <c r="V583" i="1"/>
  <c r="V1161" i="1"/>
  <c r="V1388" i="1"/>
  <c r="V671" i="1"/>
  <c r="V743" i="1"/>
  <c r="V1057" i="1"/>
  <c r="V1115" i="1"/>
  <c r="V391" i="1"/>
  <c r="V530" i="1"/>
  <c r="V676" i="1"/>
  <c r="V750" i="1"/>
  <c r="V810" i="1"/>
  <c r="V896" i="1"/>
  <c r="V1059" i="1"/>
  <c r="V1119" i="1"/>
  <c r="V1167" i="1"/>
  <c r="V1394" i="1"/>
  <c r="V12" i="1"/>
  <c r="V84" i="1"/>
  <c r="V297" i="1"/>
  <c r="V394" i="1"/>
  <c r="V983" i="1"/>
  <c r="V395" i="1"/>
  <c r="V1002" i="1"/>
  <c r="V1096" i="1"/>
  <c r="V948" i="1"/>
  <c r="V1312" i="1"/>
  <c r="V174" i="1"/>
  <c r="V262" i="1"/>
  <c r="V779" i="1"/>
  <c r="V720" i="1"/>
  <c r="V780" i="1"/>
  <c r="V1112" i="1"/>
  <c r="V972" i="1"/>
  <c r="V670" i="1"/>
  <c r="V200" i="1"/>
  <c r="V288" i="1"/>
  <c r="V803" i="1"/>
  <c r="V889" i="1"/>
  <c r="V1163" i="1"/>
  <c r="V1390" i="1"/>
  <c r="V590" i="1"/>
  <c r="V748" i="1"/>
  <c r="V298" i="1"/>
  <c r="V811" i="1"/>
  <c r="V13" i="1"/>
  <c r="V396" i="1"/>
  <c r="V85" i="1"/>
  <c r="V14" i="1"/>
  <c r="V86" i="1"/>
  <c r="V87" i="1"/>
  <c r="V397" i="1"/>
  <c r="V15" i="1"/>
  <c r="V984" i="1"/>
  <c r="V359" i="1"/>
  <c r="V498" i="1"/>
  <c r="V558" i="1"/>
  <c r="V653" i="1"/>
  <c r="V865" i="1"/>
  <c r="V866" i="1"/>
  <c r="V1048" i="1"/>
  <c r="V1320" i="1"/>
  <c r="V198" i="1"/>
  <c r="V741" i="1"/>
  <c r="V385" i="1"/>
  <c r="V524" i="1"/>
  <c r="V976" i="1"/>
  <c r="V1162" i="1"/>
  <c r="V203" i="1"/>
  <c r="V291" i="1"/>
  <c r="V808" i="1"/>
  <c r="V894" i="1"/>
  <c r="V89" i="1"/>
  <c r="V125" i="1"/>
  <c r="V149" i="1"/>
  <c r="V209" i="1"/>
  <c r="V299" i="1"/>
  <c r="V398" i="1"/>
  <c r="V593" i="1"/>
  <c r="V677" i="1"/>
  <c r="V812" i="1"/>
  <c r="V897" i="1"/>
  <c r="V985" i="1"/>
  <c r="V1168" i="1"/>
  <c r="V1395" i="1"/>
  <c r="V399" i="1"/>
  <c r="V716" i="1"/>
  <c r="V776" i="1"/>
  <c r="V862" i="1"/>
  <c r="V949" i="1"/>
  <c r="V1045" i="1"/>
  <c r="V952" i="1"/>
  <c r="V1099" i="1"/>
  <c r="V1147" i="1"/>
  <c r="V286" i="1"/>
  <c r="V383" i="1"/>
  <c r="V801" i="1"/>
  <c r="V584" i="1"/>
  <c r="V742" i="1"/>
  <c r="V1285" i="1"/>
  <c r="V1389" i="1"/>
  <c r="V388" i="1"/>
  <c r="V527" i="1"/>
  <c r="V980" i="1"/>
  <c r="V1396" i="1"/>
  <c r="V16" i="1"/>
  <c r="V90" i="1"/>
  <c r="V400" i="1"/>
  <c r="V986" i="1"/>
  <c r="V401" i="1"/>
  <c r="V300" i="1"/>
  <c r="V813" i="1"/>
  <c r="V17" i="1"/>
  <c r="V402" i="1"/>
  <c r="V91" i="1"/>
  <c r="V18" i="1"/>
  <c r="V92" i="1"/>
  <c r="V93" i="1"/>
  <c r="V131" i="1"/>
  <c r="V1144" i="1"/>
  <c r="V1276" i="1"/>
  <c r="V1371" i="1"/>
  <c r="V1450" i="1"/>
  <c r="V1047" i="1"/>
  <c r="V1374" i="1"/>
  <c r="V179" i="1"/>
  <c r="V522" i="1"/>
  <c r="V582" i="1"/>
  <c r="V887" i="1"/>
  <c r="V802" i="1"/>
  <c r="V888" i="1"/>
  <c r="V1459" i="1"/>
  <c r="V202" i="1"/>
  <c r="V587" i="1"/>
  <c r="V745" i="1"/>
  <c r="V1118" i="1"/>
  <c r="V981" i="1"/>
  <c r="V403" i="1"/>
  <c r="V19" i="1"/>
  <c r="V987" i="1"/>
  <c r="V95" i="1"/>
  <c r="V126" i="1"/>
  <c r="V150" i="1"/>
  <c r="V210" i="1"/>
  <c r="V301" i="1"/>
  <c r="V404" i="1"/>
  <c r="V594" i="1"/>
  <c r="V678" i="1"/>
  <c r="V155" i="1"/>
  <c r="V175" i="1"/>
  <c r="V263" i="1"/>
  <c r="V360" i="1"/>
  <c r="V499" i="1"/>
  <c r="V559" i="1"/>
  <c r="V1146" i="1"/>
  <c r="V267" i="1"/>
  <c r="V669" i="1"/>
  <c r="V740" i="1"/>
  <c r="V974" i="1"/>
  <c r="V290" i="1"/>
  <c r="V805" i="1"/>
  <c r="V891" i="1"/>
  <c r="V1323" i="1"/>
  <c r="V814" i="1"/>
  <c r="V898" i="1"/>
  <c r="V988" i="1"/>
  <c r="V1169" i="1"/>
  <c r="V1397" i="1"/>
  <c r="V405" i="1"/>
  <c r="V20" i="1"/>
  <c r="V96" i="1"/>
  <c r="V302" i="1"/>
  <c r="V406" i="1"/>
  <c r="V989" i="1"/>
  <c r="V407" i="1"/>
  <c r="V303" i="1"/>
  <c r="V654" i="1"/>
  <c r="V717" i="1"/>
  <c r="V777" i="1"/>
  <c r="V863" i="1"/>
  <c r="V1046" i="1"/>
  <c r="V1277" i="1"/>
  <c r="V364" i="1"/>
  <c r="V800" i="1"/>
  <c r="V886" i="1"/>
  <c r="V1114" i="1"/>
  <c r="V387" i="1"/>
  <c r="V977" i="1"/>
  <c r="V1116" i="1"/>
  <c r="V207" i="1"/>
  <c r="V815" i="1"/>
  <c r="V21" i="1"/>
  <c r="V408" i="1"/>
  <c r="V97" i="1"/>
  <c r="V22" i="1"/>
  <c r="V98" i="1"/>
  <c r="V99" i="1"/>
  <c r="V409" i="1"/>
  <c r="V23" i="1"/>
  <c r="V990" i="1"/>
  <c r="V215" i="1"/>
  <c r="V1097" i="1"/>
  <c r="V1145" i="1"/>
  <c r="V1372" i="1"/>
  <c r="V176" i="1"/>
  <c r="V264" i="1"/>
  <c r="V1373" i="1"/>
  <c r="V503" i="1"/>
  <c r="V973" i="1"/>
  <c r="V1160" i="1"/>
  <c r="V975" i="1"/>
  <c r="V526" i="1"/>
  <c r="V978" i="1"/>
  <c r="V1322" i="1"/>
  <c r="V295" i="1"/>
  <c r="V101" i="1"/>
  <c r="V127" i="1"/>
  <c r="V151" i="1"/>
  <c r="V211" i="1"/>
  <c r="V304" i="1"/>
  <c r="V410" i="1"/>
  <c r="V595" i="1"/>
  <c r="V679" i="1"/>
  <c r="V816" i="1"/>
  <c r="V899" i="1"/>
  <c r="V991" i="1"/>
  <c r="V1170" i="1"/>
  <c r="V1398" i="1"/>
  <c r="V315" i="1"/>
  <c r="V361" i="1"/>
  <c r="V500" i="1"/>
  <c r="V560" i="1"/>
  <c r="V718" i="1"/>
  <c r="V778" i="1"/>
  <c r="V864" i="1"/>
  <c r="V1451" i="1"/>
  <c r="V563" i="1"/>
  <c r="V1284" i="1"/>
  <c r="V1387" i="1"/>
  <c r="V1321" i="1"/>
  <c r="V586" i="1"/>
  <c r="V204" i="1"/>
  <c r="V292" i="1"/>
  <c r="V392" i="1"/>
  <c r="V1399" i="1"/>
  <c r="V24" i="1"/>
  <c r="V102" i="1"/>
  <c r="V411" i="1"/>
  <c r="V992" i="1"/>
  <c r="V412" i="1"/>
  <c r="V305" i="1"/>
  <c r="V817" i="1"/>
  <c r="V25" i="1"/>
  <c r="V413" i="1"/>
  <c r="V103" i="1"/>
  <c r="V26" i="1"/>
  <c r="V104" i="1"/>
  <c r="V431" i="1"/>
  <c r="V950" i="1"/>
  <c r="V1098" i="1"/>
  <c r="V951" i="1"/>
  <c r="V1313" i="1"/>
  <c r="V178" i="1"/>
  <c r="V721" i="1"/>
  <c r="V1458" i="1"/>
  <c r="V199" i="1"/>
  <c r="V201" i="1"/>
  <c r="V672" i="1"/>
  <c r="V389" i="1"/>
  <c r="V528" i="1"/>
  <c r="V531" i="1"/>
  <c r="V105" i="1"/>
  <c r="V414" i="1"/>
  <c r="V27" i="1"/>
  <c r="V993" i="1"/>
  <c r="V107" i="1"/>
  <c r="V128" i="1"/>
  <c r="V152" i="1"/>
  <c r="V212" i="1"/>
  <c r="V306" i="1"/>
  <c r="V415" i="1"/>
  <c r="V599" i="1"/>
  <c r="V683" i="1"/>
  <c r="V177" i="1"/>
  <c r="V265" i="1"/>
  <c r="V362" i="1"/>
  <c r="V501" i="1"/>
  <c r="V561" i="1"/>
  <c r="V266" i="1"/>
  <c r="V781" i="1"/>
  <c r="V287" i="1"/>
  <c r="V384" i="1"/>
  <c r="V289" i="1"/>
  <c r="V386" i="1"/>
  <c r="V744" i="1"/>
  <c r="V588" i="1"/>
  <c r="V673" i="1"/>
  <c r="V591" i="1"/>
  <c r="V596" i="1"/>
  <c r="V680" i="1"/>
  <c r="V818" i="1"/>
  <c r="V900" i="1"/>
  <c r="V994" i="1"/>
  <c r="V1171" i="1"/>
  <c r="V1400" i="1"/>
  <c r="V416" i="1"/>
  <c r="V28" i="1"/>
  <c r="V108" i="1"/>
  <c r="V307" i="1"/>
  <c r="V417" i="1"/>
  <c r="V995" i="1"/>
  <c r="V823" i="1"/>
  <c r="V903" i="1"/>
  <c r="V867" i="1"/>
  <c r="V953" i="1"/>
  <c r="V1100" i="1"/>
  <c r="V954" i="1"/>
  <c r="V1314" i="1"/>
  <c r="V180" i="1"/>
  <c r="V268" i="1"/>
  <c r="V365" i="1"/>
  <c r="V504" i="1"/>
  <c r="V564" i="1"/>
  <c r="V657" i="1"/>
  <c r="V722" i="1"/>
  <c r="V782" i="1"/>
  <c r="V868" i="1"/>
  <c r="V955" i="1"/>
  <c r="V1049" i="1"/>
  <c r="V1148" i="1"/>
  <c r="V1278" i="1"/>
  <c r="V1375" i="1"/>
  <c r="V1452" i="1"/>
  <c r="V181" i="1"/>
  <c r="V269" i="1"/>
  <c r="V366" i="1"/>
  <c r="V505" i="1"/>
  <c r="V565" i="1"/>
  <c r="V658" i="1"/>
  <c r="V723" i="1"/>
  <c r="V783" i="1"/>
  <c r="V869" i="1"/>
  <c r="V1050" i="1"/>
  <c r="V1101" i="1"/>
  <c r="V1149" i="1"/>
  <c r="V1376" i="1"/>
  <c r="V182" i="1"/>
  <c r="V270" i="1"/>
  <c r="V367" i="1"/>
  <c r="V506" i="1"/>
  <c r="V566" i="1"/>
  <c r="V724" i="1"/>
  <c r="V784" i="1"/>
  <c r="V870" i="1"/>
  <c r="V956" i="1"/>
  <c r="V1102" i="1"/>
  <c r="V957" i="1"/>
  <c r="V1315" i="1"/>
  <c r="V183" i="1"/>
  <c r="V271" i="1"/>
  <c r="V368" i="1"/>
  <c r="V507" i="1"/>
  <c r="V567" i="1"/>
  <c r="V659" i="1"/>
  <c r="V725" i="1"/>
  <c r="V785" i="1"/>
  <c r="V871" i="1"/>
  <c r="V958" i="1"/>
  <c r="V1150" i="1"/>
  <c r="V1279" i="1"/>
  <c r="V1377" i="1"/>
  <c r="V1453" i="1"/>
  <c r="V184" i="1"/>
  <c r="V272" i="1"/>
  <c r="V369" i="1"/>
  <c r="V508" i="1"/>
  <c r="V568" i="1"/>
  <c r="V660" i="1"/>
  <c r="V726" i="1"/>
  <c r="V786" i="1"/>
  <c r="V872" i="1"/>
  <c r="V1051" i="1"/>
  <c r="V1103" i="1"/>
  <c r="V1151" i="1"/>
  <c r="V1378" i="1"/>
  <c r="V185" i="1"/>
  <c r="V273" i="1"/>
  <c r="V370" i="1"/>
  <c r="V509" i="1"/>
  <c r="V569" i="1"/>
  <c r="V727" i="1"/>
  <c r="V787" i="1"/>
  <c r="V873" i="1"/>
  <c r="V959" i="1"/>
  <c r="V1104" i="1"/>
  <c r="V960" i="1"/>
  <c r="V1316" i="1"/>
  <c r="V186" i="1"/>
  <c r="V274" i="1"/>
  <c r="V371" i="1"/>
  <c r="V510" i="1"/>
  <c r="V570" i="1"/>
  <c r="V661" i="1"/>
  <c r="V728" i="1"/>
  <c r="V788" i="1"/>
  <c r="V874" i="1"/>
  <c r="V961" i="1"/>
  <c r="V1152" i="1"/>
  <c r="V1280" i="1"/>
  <c r="V1379" i="1"/>
  <c r="V1454" i="1"/>
  <c r="V187" i="1"/>
  <c r="V275" i="1"/>
  <c r="V372" i="1"/>
  <c r="V511" i="1"/>
  <c r="V571" i="1"/>
  <c r="V662" i="1"/>
  <c r="V729" i="1"/>
  <c r="V789" i="1"/>
  <c r="V875" i="1"/>
  <c r="V1052" i="1"/>
  <c r="V1105" i="1"/>
  <c r="V1153" i="1"/>
  <c r="V1380" i="1"/>
  <c r="V188" i="1"/>
  <c r="V276" i="1"/>
  <c r="V373" i="1"/>
  <c r="V512" i="1"/>
  <c r="V572" i="1"/>
  <c r="V730" i="1"/>
  <c r="V790" i="1"/>
  <c r="V876" i="1"/>
  <c r="V962" i="1"/>
  <c r="V1106" i="1"/>
  <c r="V963" i="1"/>
  <c r="V1317" i="1"/>
  <c r="V189" i="1"/>
  <c r="V277" i="1"/>
  <c r="V374" i="1"/>
  <c r="V513" i="1"/>
  <c r="V573" i="1"/>
  <c r="V663" i="1"/>
  <c r="V731" i="1"/>
  <c r="V791" i="1"/>
  <c r="V877" i="1"/>
  <c r="V964" i="1"/>
  <c r="V1154" i="1"/>
  <c r="V1281" i="1"/>
  <c r="V1381" i="1"/>
  <c r="V1455" i="1"/>
  <c r="V190" i="1"/>
  <c r="V278" i="1"/>
  <c r="V375" i="1"/>
  <c r="V514" i="1"/>
  <c r="V574" i="1"/>
  <c r="V664" i="1"/>
  <c r="V732" i="1"/>
  <c r="V792" i="1"/>
  <c r="V878" i="1"/>
  <c r="V1053" i="1"/>
  <c r="V1107" i="1"/>
  <c r="V1155" i="1"/>
  <c r="V1382" i="1"/>
  <c r="V191" i="1"/>
  <c r="V279" i="1"/>
  <c r="V376" i="1"/>
  <c r="V515" i="1"/>
  <c r="V575" i="1"/>
  <c r="V733" i="1"/>
  <c r="V793" i="1"/>
  <c r="V879" i="1"/>
  <c r="V965" i="1"/>
  <c r="V1108" i="1"/>
  <c r="V966" i="1"/>
  <c r="V1318" i="1"/>
  <c r="V192" i="1"/>
  <c r="V280" i="1"/>
  <c r="V377" i="1"/>
  <c r="V516" i="1"/>
  <c r="V576" i="1"/>
  <c r="V665" i="1"/>
  <c r="V734" i="1"/>
  <c r="V794" i="1"/>
  <c r="V880" i="1"/>
  <c r="V967" i="1"/>
  <c r="V1156" i="1"/>
  <c r="V1282" i="1"/>
  <c r="V1383" i="1"/>
  <c r="V1456" i="1"/>
  <c r="V193" i="1"/>
  <c r="V281" i="1"/>
  <c r="V378" i="1"/>
  <c r="V517" i="1"/>
  <c r="V577" i="1"/>
  <c r="V666" i="1"/>
  <c r="V735" i="1"/>
  <c r="V795" i="1"/>
  <c r="V881" i="1"/>
  <c r="V1054" i="1"/>
  <c r="V1109" i="1"/>
  <c r="V1157" i="1"/>
  <c r="V1384" i="1"/>
  <c r="V194" i="1"/>
  <c r="V282" i="1"/>
  <c r="V379" i="1"/>
  <c r="V518" i="1"/>
  <c r="V578" i="1"/>
  <c r="V736" i="1"/>
  <c r="V796" i="1"/>
  <c r="V882" i="1"/>
  <c r="V968" i="1"/>
  <c r="V1110" i="1"/>
  <c r="V969" i="1"/>
  <c r="V1319" i="1"/>
  <c r="V195" i="1"/>
  <c r="V283" i="1"/>
  <c r="V380" i="1"/>
  <c r="V519" i="1"/>
  <c r="V579" i="1"/>
  <c r="V667" i="1"/>
  <c r="V737" i="1"/>
  <c r="V797" i="1"/>
  <c r="V883" i="1"/>
  <c r="V970" i="1"/>
  <c r="V1158" i="1"/>
  <c r="V1283" i="1"/>
  <c r="V1385" i="1"/>
  <c r="V1457" i="1"/>
  <c r="V196" i="1"/>
  <c r="V284" i="1"/>
  <c r="V381" i="1"/>
  <c r="V520" i="1"/>
  <c r="V580" i="1"/>
  <c r="V668" i="1"/>
  <c r="V738" i="1"/>
  <c r="V798" i="1"/>
  <c r="V884" i="1"/>
  <c r="V1055" i="1"/>
  <c r="V1111" i="1"/>
  <c r="V1159" i="1"/>
  <c r="V1386" i="1"/>
  <c r="V197" i="1"/>
  <c r="V285" i="1"/>
  <c r="V382" i="1"/>
  <c r="V521" i="1"/>
  <c r="V581" i="1"/>
  <c r="V43" i="1"/>
  <c r="V293" i="1"/>
  <c r="V418" i="1"/>
  <c r="V308" i="1"/>
  <c r="V819" i="1"/>
  <c r="V29" i="1"/>
  <c r="V419" i="1"/>
  <c r="V1403" i="1"/>
  <c r="V1003" i="1"/>
  <c r="V1005" i="1"/>
  <c r="V746" i="1"/>
  <c r="V806" i="1"/>
  <c r="V390" i="1"/>
  <c r="V109" i="1"/>
  <c r="V30" i="1"/>
  <c r="V110" i="1"/>
  <c r="V111" i="1"/>
  <c r="V420" i="1"/>
  <c r="V312" i="1"/>
  <c r="V132" i="1"/>
  <c r="V156" i="1"/>
  <c r="V216" i="1"/>
  <c r="V529" i="1"/>
  <c r="V31" i="1"/>
  <c r="V996" i="1"/>
  <c r="V36" i="1"/>
  <c r="V318" i="1"/>
  <c r="V436" i="1"/>
  <c r="V600" i="1"/>
  <c r="V589" i="1"/>
  <c r="V112" i="1"/>
  <c r="V129" i="1"/>
  <c r="V153" i="1"/>
  <c r="V213" i="1"/>
  <c r="V309" i="1"/>
  <c r="V119" i="1"/>
  <c r="V684" i="1"/>
  <c r="V824" i="1"/>
  <c r="V904" i="1"/>
  <c r="V892" i="1"/>
  <c r="V674" i="1"/>
  <c r="V421" i="1"/>
  <c r="V597" i="1"/>
  <c r="V681" i="1"/>
  <c r="V820" i="1"/>
  <c r="V901" i="1"/>
  <c r="V313" i="1"/>
  <c r="V1006" i="1"/>
  <c r="V1175" i="1"/>
  <c r="V1405" i="1"/>
  <c r="V747" i="1"/>
  <c r="V997" i="1"/>
  <c r="V1172" i="1"/>
  <c r="V1401" i="1"/>
  <c r="V1402" i="1"/>
  <c r="V32" i="1"/>
  <c r="V427" i="1"/>
  <c r="V1406" i="1"/>
  <c r="V44" i="1"/>
  <c r="V121" i="1"/>
  <c r="V807" i="1"/>
  <c r="V113" i="1"/>
  <c r="V422" i="1"/>
  <c r="V998" i="1"/>
  <c r="V423" i="1"/>
  <c r="V310" i="1"/>
  <c r="V1001" i="1"/>
  <c r="V319" i="1"/>
  <c r="V437" i="1"/>
  <c r="V1007" i="1"/>
  <c r="V979" i="1"/>
  <c r="V893" i="1"/>
  <c r="V821" i="1"/>
  <c r="V33" i="1"/>
  <c r="V424" i="1"/>
  <c r="V114" i="1"/>
  <c r="V428" i="1"/>
  <c r="V438" i="1"/>
  <c r="V320" i="1"/>
  <c r="V45" i="1"/>
  <c r="V1164" i="1"/>
  <c r="V1058" i="1"/>
  <c r="V34" i="1"/>
  <c r="V115" i="1"/>
  <c r="V116" i="1"/>
  <c r="V425" i="1"/>
  <c r="V314" i="1"/>
  <c r="V439" i="1"/>
  <c r="V46" i="1"/>
  <c r="V440" i="1"/>
  <c r="V1286" i="1"/>
  <c r="V1117" i="1"/>
  <c r="V35" i="1"/>
  <c r="V999" i="1"/>
  <c r="V37" i="1"/>
  <c r="V1174" i="1"/>
  <c r="V1404" i="1"/>
  <c r="V47" i="1"/>
  <c r="V1008" i="1"/>
  <c r="V1165" i="1"/>
  <c r="V118" i="1"/>
  <c r="V130" i="1"/>
  <c r="V154" i="1"/>
  <c r="V214" i="1"/>
  <c r="V311" i="1"/>
  <c r="V426" i="1"/>
  <c r="V429" i="1"/>
  <c r="V40" i="1"/>
  <c r="V120" i="1"/>
  <c r="V316" i="1"/>
  <c r="V432" i="1"/>
  <c r="V1004" i="1"/>
  <c r="V133" i="1"/>
  <c r="V157" i="1"/>
  <c r="V1391" i="1"/>
  <c r="V1460" i="1"/>
  <c r="V205" i="1"/>
  <c r="V1392" i="1"/>
  <c r="V598" i="1"/>
  <c r="V682" i="1"/>
  <c r="V822" i="1"/>
  <c r="V902" i="1"/>
  <c r="V1000" i="1"/>
  <c r="V1173" i="1"/>
  <c r="V38" i="1"/>
  <c r="V433" i="1"/>
  <c r="V317" i="1"/>
  <c r="V41" i="1"/>
  <c r="V434" i="1"/>
  <c r="V42" i="1"/>
  <c r="V435" i="1"/>
  <c r="V217" i="1"/>
  <c r="V321" i="1"/>
  <c r="V441" i="1"/>
  <c r="V173" i="1"/>
  <c r="D70" i="4"/>
  <c r="C13" i="4"/>
  <c r="D14" i="4"/>
  <c r="C12" i="4"/>
  <c r="C14" i="4"/>
  <c r="D13" i="4"/>
  <c r="D12" i="4"/>
  <c r="D40" i="4" l="1"/>
  <c r="E40" i="4"/>
  <c r="D15" i="4"/>
  <c r="C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<sst xmlns="http://schemas.openxmlformats.org/spreadsheetml/2006/main" count="25927" uniqueCount="261">
  <si>
    <t>Energy &amp; Emissions Summary</t>
  </si>
  <si>
    <t>2023 Emissions by Scope</t>
  </si>
  <si>
    <t>Scope</t>
  </si>
  <si>
    <t>Market-based (mtons CO2e)</t>
  </si>
  <si>
    <t>Location-based (mtons CO2e)</t>
  </si>
  <si>
    <t>Scope 1</t>
  </si>
  <si>
    <t>Scope 2</t>
  </si>
  <si>
    <t>Scope 3</t>
  </si>
  <si>
    <t>Total</t>
  </si>
  <si>
    <t>2023 Emissions by Source</t>
  </si>
  <si>
    <t>Source</t>
  </si>
  <si>
    <t>Diesel</t>
  </si>
  <si>
    <t>Diesel - Clear Diesel</t>
  </si>
  <si>
    <t>Dry Ice</t>
  </si>
  <si>
    <t>Gas Oil</t>
  </si>
  <si>
    <t>Gasoline</t>
  </si>
  <si>
    <t>Gasoline - 87 octane (regular)</t>
  </si>
  <si>
    <t>Gasoline - 95 octane (premium)</t>
  </si>
  <si>
    <t>Liquefied Petroleum Gas (LPG)</t>
  </si>
  <si>
    <t>Natural Gas</t>
  </si>
  <si>
    <t>Propane</t>
  </si>
  <si>
    <t>Fertilizer</t>
  </si>
  <si>
    <t>Refrigerant</t>
  </si>
  <si>
    <t>Electric Power</t>
  </si>
  <si>
    <t>Steam</t>
  </si>
  <si>
    <t>Hazardous Waste</t>
  </si>
  <si>
    <t>Hazardous Waste - Recycled</t>
  </si>
  <si>
    <t>Non-Hazardous Waste</t>
  </si>
  <si>
    <t>Non-Hazardous Waste - Recycling</t>
  </si>
  <si>
    <t>Solid Waste</t>
  </si>
  <si>
    <t>Waste</t>
  </si>
  <si>
    <t>2023 Volume by Source</t>
  </si>
  <si>
    <t>UOM</t>
  </si>
  <si>
    <t>Volume</t>
  </si>
  <si>
    <t>MWh</t>
  </si>
  <si>
    <t>gallons</t>
  </si>
  <si>
    <t>metric tons</t>
  </si>
  <si>
    <t>mtons CO2-e</t>
  </si>
  <si>
    <t>2023 Water</t>
  </si>
  <si>
    <t>Value</t>
  </si>
  <si>
    <t>Water</t>
  </si>
  <si>
    <t>Year</t>
  </si>
  <si>
    <t>Emissions by Source</t>
  </si>
  <si>
    <t>Sum of Total Water Usage (gallons)</t>
  </si>
  <si>
    <t>Values</t>
  </si>
  <si>
    <t>Sum of Total CO2e Emissions (Market Based) (mtons CO2-e)</t>
  </si>
  <si>
    <t>Sum of Total CO2e Emissions (Location-Based) (mtons CO2-e)</t>
  </si>
  <si>
    <t>Grand Total</t>
  </si>
  <si>
    <t>Scope 1 Total</t>
  </si>
  <si>
    <t>Scope 2 Total</t>
  </si>
  <si>
    <t>Scope 3 Total</t>
  </si>
  <si>
    <t>Sum of Usage</t>
  </si>
  <si>
    <t>tons (US)</t>
  </si>
  <si>
    <t>Market Based Emissions 2023</t>
  </si>
  <si>
    <t>Site Name</t>
  </si>
  <si>
    <t>Agrinsa</t>
  </si>
  <si>
    <t>Barcelona</t>
  </si>
  <si>
    <t>Bogota</t>
  </si>
  <si>
    <t>Buenos Aires</t>
  </si>
  <si>
    <t>Carnegie, PA</t>
  </si>
  <si>
    <t>Chicago, IL</t>
  </si>
  <si>
    <t>Dateland</t>
  </si>
  <si>
    <t>Deerfield</t>
  </si>
  <si>
    <t>Englewood, OH</t>
  </si>
  <si>
    <t>Fairfield</t>
  </si>
  <si>
    <t>Granollers</t>
  </si>
  <si>
    <t>Gurnee, IL</t>
  </si>
  <si>
    <t>Les Borges</t>
  </si>
  <si>
    <t>Leuna</t>
  </si>
  <si>
    <t>Linden, NJ</t>
  </si>
  <si>
    <t>Mexico City</t>
  </si>
  <si>
    <t>Mumbai</t>
  </si>
  <si>
    <t>Pittsburgh, PA</t>
  </si>
  <si>
    <t>Santiago</t>
  </si>
  <si>
    <t>Sao Paulo</t>
  </si>
  <si>
    <t>Shanghai</t>
  </si>
  <si>
    <t>South Africa</t>
  </si>
  <si>
    <t>Tucson</t>
  </si>
  <si>
    <t>Warren, NJ</t>
  </si>
  <si>
    <t>Report Name:</t>
  </si>
  <si>
    <t>Preview</t>
  </si>
  <si>
    <t>Custom Report:</t>
  </si>
  <si>
    <t>Emissions</t>
  </si>
  <si>
    <t>Client:</t>
  </si>
  <si>
    <t>Vantage Specialty Chemicals</t>
  </si>
  <si>
    <t>Level:</t>
  </si>
  <si>
    <t>Site</t>
  </si>
  <si>
    <t>Date Range:</t>
  </si>
  <si>
    <t>1/1/2023 to 12/31/2023</t>
  </si>
  <si>
    <t>CarbonMaps:</t>
  </si>
  <si>
    <t>Primary: Vantage Specialty Chemical Market-Based Carbon Map (Market-based), Secondary: Vantage Specialty Chemicals Location-Based CM (Location-based)</t>
  </si>
  <si>
    <t>Month</t>
  </si>
  <si>
    <t>Division</t>
  </si>
  <si>
    <t>Address</t>
  </si>
  <si>
    <t>City</t>
  </si>
  <si>
    <t>State</t>
  </si>
  <si>
    <t>Country</t>
  </si>
  <si>
    <t>Usage</t>
  </si>
  <si>
    <t>Total Cost (USD)</t>
  </si>
  <si>
    <t>Site Reference number</t>
  </si>
  <si>
    <t>Total CO2e Emissions (Market Based) (mtons CO2-e)</t>
  </si>
  <si>
    <t>CO2 Emissions (Primary) (mtons CO2-e)</t>
  </si>
  <si>
    <t>N2O Emissions (Primary) (mtons CO2-e)</t>
  </si>
  <si>
    <t>CH4 Emissions (Primary) (mtons CO2-e)</t>
  </si>
  <si>
    <t>Total CO2e Emissions (Location-Based) (mtons CO2-e)</t>
  </si>
  <si>
    <t>CO2 Emissions (Secondary) (mtons CO2-e)</t>
  </si>
  <si>
    <t>N2O Emissions (Secondary) (mtons CO2-e)</t>
  </si>
  <si>
    <t>CH4 Emissions (Secondary) (mtons CO2-e)</t>
  </si>
  <si>
    <t>Farm</t>
  </si>
  <si>
    <t xml:space="preserve">RUTA 60 Km 12220 - Aimogasta 
</t>
  </si>
  <si>
    <t>La Rioja</t>
  </si>
  <si>
    <t>ARG</t>
  </si>
  <si>
    <t>Argentina</t>
  </si>
  <si>
    <t>Office</t>
  </si>
  <si>
    <t>C/Tanger 86</t>
  </si>
  <si>
    <t>ESP</t>
  </si>
  <si>
    <t>Spain</t>
  </si>
  <si>
    <t/>
  </si>
  <si>
    <t>Warehouse</t>
  </si>
  <si>
    <t>Bodega N41 MODULO 4 ubicada en la Autopista Medellin Km 3.5 Via Bogota-Siberia Lote San Francisco, Etapa II del Centro Empresarial Metropolitano P.H. en el Municipo de Cota</t>
  </si>
  <si>
    <t>Colombia</t>
  </si>
  <si>
    <t>Ing Butty 275, Piso 8, Oficina 104</t>
  </si>
  <si>
    <t>Ciudad Autonoma de Buenos Aires</t>
  </si>
  <si>
    <t>Manufacturing</t>
  </si>
  <si>
    <t>1 North Bell Avenue</t>
  </si>
  <si>
    <t>Carnegie</t>
  </si>
  <si>
    <t>PA</t>
  </si>
  <si>
    <t>USA</t>
  </si>
  <si>
    <t>4650 South Racine Avenue</t>
  </si>
  <si>
    <t>Chicago</t>
  </si>
  <si>
    <t>IL</t>
  </si>
  <si>
    <t>57907 Butterfield Stage Rd</t>
  </si>
  <si>
    <t>AZ</t>
  </si>
  <si>
    <t>1751 Lake Cook Road</t>
  </si>
  <si>
    <t>707 Harco Drive</t>
  </si>
  <si>
    <t>Englewood</t>
  </si>
  <si>
    <t>OH</t>
  </si>
  <si>
    <t xml:space="preserve">16 Law Drive
</t>
  </si>
  <si>
    <t>NJ</t>
  </si>
  <si>
    <t>C/Girona num.34</t>
  </si>
  <si>
    <t>3938 Porett Drive</t>
  </si>
  <si>
    <t>Gurnee</t>
  </si>
  <si>
    <t>Polígono Industrial Verdunes, 7 Bajo Parcela Num, 7</t>
  </si>
  <si>
    <t>Les Borges Blanques</t>
  </si>
  <si>
    <t>Am Haupttor, Gebäude 7302</t>
  </si>
  <si>
    <t>GER</t>
  </si>
  <si>
    <t>Germany</t>
  </si>
  <si>
    <t>1525 West Blancke Street</t>
  </si>
  <si>
    <t>Linden</t>
  </si>
  <si>
    <t>Camino a  la Lumbrera  S/N Edificio Mezquite III, Parque Industrial San Martin Obispo</t>
  </si>
  <si>
    <t>Cuautitlán Izcalli</t>
  </si>
  <si>
    <t>MEX</t>
  </si>
  <si>
    <t>Mexico</t>
  </si>
  <si>
    <t xml:space="preserve">Rhenus Prolog Logistics Ltd, B5 &amp; B6,Arham Logipark,Vill Walshind
</t>
  </si>
  <si>
    <t>Tal Bhiwandi Dist Thane</t>
  </si>
  <si>
    <t>IND</t>
  </si>
  <si>
    <t>India</t>
  </si>
  <si>
    <t>Food</t>
  </si>
  <si>
    <t>563 Napor Blvd</t>
  </si>
  <si>
    <t>Pittsburgh</t>
  </si>
  <si>
    <t xml:space="preserve">Cordillera 331 Modulo D-12, Parque Industrial, Vespucio Oeste, Quilicura, 
</t>
  </si>
  <si>
    <t>Chile</t>
  </si>
  <si>
    <t xml:space="preserve">Travessa Claudio Armando Nº. 171, Bloco 2, Galpao 21, Bairro Assunção, Sao Bernardo do Campo
</t>
  </si>
  <si>
    <t>SP</t>
  </si>
  <si>
    <t>Brazil</t>
  </si>
  <si>
    <t>Room 302, Building B, No 388, North Fu Quan Rd</t>
  </si>
  <si>
    <t>CHN</t>
  </si>
  <si>
    <t>China</t>
  </si>
  <si>
    <t>Unit A, 35 Reedbuck Crescent</t>
  </si>
  <si>
    <t>Midrand</t>
  </si>
  <si>
    <t>ZAF</t>
  </si>
  <si>
    <t xml:space="preserve">2101 E. Beverly Drive
</t>
  </si>
  <si>
    <t>Personal Care</t>
  </si>
  <si>
    <t>150 Mount Bethel Rd, Building 2, Suite 200</t>
  </si>
  <si>
    <t>Warren</t>
  </si>
  <si>
    <t>Cost and Usage</t>
  </si>
  <si>
    <t>Service:</t>
  </si>
  <si>
    <t>Filters:</t>
  </si>
  <si>
    <t>Site Status:Active</t>
  </si>
  <si>
    <t>Units of Measure:</t>
  </si>
  <si>
    <t>Currency:USD, Water:gallons</t>
  </si>
  <si>
    <t>Service Month</t>
  </si>
  <si>
    <t>Total Water Usage (gallons)</t>
  </si>
  <si>
    <t>Unit Cost</t>
  </si>
  <si>
    <t>CarbonMap Details</t>
  </si>
  <si>
    <t>Division/Group - All, Site(s) - All</t>
  </si>
  <si>
    <t>CarbonMap Name - Primary: Vantage Specialty Chemical Market-Based Carbon Map (Market-based),CarbonMap Version -CY 2023</t>
  </si>
  <si>
    <t>Note : all values CO2-e (The emission factors below are displayed as CO2-equivalents. Global Warming Potential (GWP) has been applied to the native pollutant emission factors.)</t>
  </si>
  <si>
    <t>Region/Utility</t>
  </si>
  <si>
    <t>Frequency</t>
  </si>
  <si>
    <t>Units</t>
  </si>
  <si>
    <t>Emission Factor Set</t>
  </si>
  <si>
    <t>Emission Factor Version</t>
  </si>
  <si>
    <t>CO2</t>
  </si>
  <si>
    <t>CH4</t>
  </si>
  <si>
    <t>N2O</t>
  </si>
  <si>
    <t>HFC</t>
  </si>
  <si>
    <t>PFC</t>
  </si>
  <si>
    <t>SF6</t>
  </si>
  <si>
    <t>NF3</t>
  </si>
  <si>
    <t>Comments</t>
  </si>
  <si>
    <t>As of Year</t>
  </si>
  <si>
    <t>Non Regional</t>
  </si>
  <si>
    <t>Monthly</t>
  </si>
  <si>
    <t>grams/liters</t>
  </si>
  <si>
    <t>Department for Environment Food and Rural Affairs (DEFRA)</t>
  </si>
  <si>
    <t>2023 Guideline to DEFRA</t>
  </si>
  <si>
    <t>The 2023 GHG Conversion factors are suitable for all UK based organisations, and international organisations with a UK operations footprint. Expiration Date: 7/31/2024</t>
  </si>
  <si>
    <t>-</t>
  </si>
  <si>
    <t>Manual</t>
  </si>
  <si>
    <t>Manual input from DEFRA Diesel factors 2023</t>
  </si>
  <si>
    <t>Diesel - Ultra Low Sulfur Diesel (ULSD)</t>
  </si>
  <si>
    <t>metric tons/mtons CO2-e</t>
  </si>
  <si>
    <t>1 to 1 EF set</t>
  </si>
  <si>
    <t>1 to 1</t>
  </si>
  <si>
    <t>Where data is provided/loaded as pre-calculated emissions. Therefore 1:1 ratio is applied. Emissions calculation information would be provided by client and/or third-party documentation.</t>
  </si>
  <si>
    <t>Gasoline – 87 octane (regular)</t>
  </si>
  <si>
    <t>Manual entry using DEFRA Gasoline 2023</t>
  </si>
  <si>
    <t>Manual entry using DEFRA gasoline 2023 factors</t>
  </si>
  <si>
    <t>kg/MMBtu</t>
  </si>
  <si>
    <t>US EPA MRR</t>
  </si>
  <si>
    <t>Final Rule (40 CFR 98) - Industrial Sector 2013</t>
  </si>
  <si>
    <t xml:space="preserve">Mandatory Reporting of GHG; Final Rule (40 CFR 98) - Industrial Sector Applicable as of 11/29/2013. </t>
  </si>
  <si>
    <t>metric tons/metric tons</t>
  </si>
  <si>
    <t>R134A emission Factor</t>
  </si>
  <si>
    <t>grams/kWh</t>
  </si>
  <si>
    <t>International Energy Agency (IEA)</t>
  </si>
  <si>
    <t>CO2 Emissions from Fuel Combustion 2023-Year 2021</t>
  </si>
  <si>
    <t>https://www.iea.org/data-and-statistics/data-product/emissions-factors-2023</t>
  </si>
  <si>
    <t>Arizona Public Service</t>
  </si>
  <si>
    <t>lbs/MWh</t>
  </si>
  <si>
    <t>Utility Emission Factors (Research Year)_USE</t>
  </si>
  <si>
    <t>2023 Research (2021 Data)_Approved for Audit</t>
  </si>
  <si>
    <t>Schneider Electric maintains documentation of utility emission factors (in alignment with the WRI Scope 2 GHG criteria) utilizing an internal technology platform.</t>
  </si>
  <si>
    <t>RFC West</t>
  </si>
  <si>
    <t>US Residual Mix (Green-e Energy Emissions Rates)</t>
  </si>
  <si>
    <t>2023 Green-e Residual Mix (2021 certified sales)</t>
  </si>
  <si>
    <t>https://www.green-e.org/2023-residual-mix</t>
  </si>
  <si>
    <t>Exelon (Commonwealth Edison)</t>
  </si>
  <si>
    <t>RFC East</t>
  </si>
  <si>
    <t>RE-DISS Residual European Mix</t>
  </si>
  <si>
    <t>European Residual Mix 2022 v2.0</t>
  </si>
  <si>
    <t>https://www.aib-net.org/facts/european-residual-mix/2022</t>
  </si>
  <si>
    <t>WECC Southwest</t>
  </si>
  <si>
    <t>metric tons/MWh</t>
  </si>
  <si>
    <t>México - Secretariat of Natural Resources and Environment (SEMARNAT)</t>
  </si>
  <si>
    <t>EF - Stationary Combustion Sources (2023)</t>
  </si>
  <si>
    <t xml:space="preserve">In this version is included the fuels used for stationary combustion sources also the emissions factors for Electric Power. </t>
  </si>
  <si>
    <t>kg/MWh</t>
  </si>
  <si>
    <t>Brazilian GHG Protocol</t>
  </si>
  <si>
    <t>Fatores de Emissão - 2023</t>
  </si>
  <si>
    <t>EF from Ferramenta_ghg_Protocol_v2024.0.2.xls_x000D_
(Air travel without 8% factor) https://eaesp.fgv.br/centros/centro-estudos-sustentabilidade/projetos/programa-brasileiro-ghg-protocol</t>
  </si>
  <si>
    <t>kg/metric tons</t>
  </si>
  <si>
    <t>CarbonMap Name - Secondary: Vantage Specialty Chemicals Location-Based CM (Location-based),CarbonMap Version -CY 2023</t>
  </si>
  <si>
    <t>Manual Input of DEFRA Diesel EF</t>
  </si>
  <si>
    <t>Manual Input from DEFRA Gasoline EFs 2023</t>
  </si>
  <si>
    <t>Manual input from DEFRA Gasoline EF 2023</t>
  </si>
  <si>
    <t>US EPA eGRID</t>
  </si>
  <si>
    <t>eGRID 2023 (w/2021 Data)</t>
  </si>
  <si>
    <t>Original Release 01/30/2023</t>
  </si>
  <si>
    <t>Manual input of DEFRA Waste emission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</si>
</sst>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10409]mmm\ yyyy"/>
    <numFmt numFmtId="165" formatCode="[$-10409]#,##0;\(#,##0\)"/>
    <numFmt numFmtId="166" formatCode="[$-10409]#,##0.000"/>
    <numFmt numFmtId="167" formatCode="[$-10409]&quot;$&quot;#,##0;\(&quot;$&quot;#,##0\)"/>
    <numFmt numFmtId="168" formatCode="_(* #,##0_);_(* \(#,##0\);_(* &quot;-&quot;??_);_(@_)"/>
    <numFmt numFmtId="169" formatCode="[$-10409]&quot;$&quot;#,##0.000;\(&quot;$&quot;#,##0.000\)"/>
  </numFmts>
  <fonts count="19" x14ac:knownFonts="1">
    <font>
      <sz val="10"/>
      <name val="Arial"/>
    </font>
    <font>
      <sz val="10"/>
      <name val="Arial"/>
      <family val="2"/>
    </font>
    <font>
      <sz val="9"/>
      <color indexed="8"/>
      <name val="Arial"/>
      <family val="2"/>
    </font>
    <font>
      <u/>
      <sz val="10"/>
      <color indexed="8"/>
      <name val="Arial"/>
      <family val="2"/>
    </font>
    <font>
      <sz val="9"/>
      <color indexed="11"/>
      <name val="Arial"/>
      <family val="2"/>
    </font>
    <font>
      <sz val="8"/>
      <color indexed="8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Arial"/>
      <family val="2"/>
    </font>
    <font>
      <sz val="8"/>
      <color rgb="FF000000"/>
      <name val="Arial"/>
      <family val="2"/>
    </font>
    <font>
      <sz val="10"/>
      <color theme="9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2" borderId="0" xfId="0" applyFont="1" applyFill="1" applyAlignment="1" applyProtection="1">
      <alignment vertical="top" wrapText="1" readingOrder="1"/>
      <protection locked="0"/>
    </xf>
    <xf numFmtId="0" fontId="4" fillId="3" borderId="0" xfId="0" applyFont="1" applyFill="1" applyAlignment="1" applyProtection="1">
      <alignment horizontal="center" vertical="top" wrapText="1" readingOrder="1"/>
      <protection locked="0"/>
    </xf>
    <xf numFmtId="164" fontId="5" fillId="4" borderId="1" xfId="0" applyNumberFormat="1" applyFont="1" applyFill="1" applyBorder="1" applyAlignment="1" applyProtection="1">
      <alignment horizontal="left" vertical="top" wrapText="1" readingOrder="1"/>
      <protection locked="0"/>
    </xf>
    <xf numFmtId="0" fontId="5" fillId="4" borderId="1" xfId="0" applyFont="1" applyFill="1" applyBorder="1" applyAlignment="1" applyProtection="1">
      <alignment horizontal="left" vertical="top" wrapText="1" readingOrder="1"/>
      <protection locked="0"/>
    </xf>
    <xf numFmtId="165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5" fillId="4" borderId="1" xfId="0" applyFont="1" applyFill="1" applyBorder="1" applyAlignment="1" applyProtection="1">
      <alignment horizontal="right" vertical="top" wrapText="1" readingOrder="1"/>
      <protection locked="0"/>
    </xf>
    <xf numFmtId="167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9" fillId="0" borderId="2" xfId="0" applyFont="1" applyBorder="1"/>
    <xf numFmtId="168" fontId="9" fillId="0" borderId="2" xfId="1" applyNumberFormat="1" applyFont="1" applyBorder="1"/>
    <xf numFmtId="168" fontId="9" fillId="0" borderId="0" xfId="1" applyNumberFormat="1" applyFont="1" applyBorder="1"/>
    <xf numFmtId="0" fontId="11" fillId="5" borderId="2" xfId="0" applyFont="1" applyFill="1" applyBorder="1"/>
    <xf numFmtId="43" fontId="11" fillId="5" borderId="2" xfId="0" applyNumberFormat="1" applyFont="1" applyFill="1" applyBorder="1"/>
    <xf numFmtId="43" fontId="11" fillId="0" borderId="0" xfId="0" applyNumberFormat="1" applyFont="1"/>
    <xf numFmtId="0" fontId="12" fillId="0" borderId="0" xfId="0" applyFont="1"/>
    <xf numFmtId="0" fontId="12" fillId="0" borderId="2" xfId="0" applyFont="1" applyBorder="1"/>
    <xf numFmtId="168" fontId="12" fillId="0" borderId="2" xfId="0" applyNumberFormat="1" applyFont="1" applyBorder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6" borderId="2" xfId="0" applyFont="1" applyFill="1" applyBorder="1"/>
    <xf numFmtId="0" fontId="11" fillId="6" borderId="2" xfId="0" applyFont="1" applyFill="1" applyBorder="1" applyAlignment="1">
      <alignment horizontal="center" vertical="center"/>
    </xf>
    <xf numFmtId="0" fontId="13" fillId="7" borderId="6" xfId="0" applyFont="1" applyFill="1" applyBorder="1"/>
    <xf numFmtId="168" fontId="11" fillId="5" borderId="2" xfId="0" applyNumberFormat="1" applyFont="1" applyFill="1" applyBorder="1"/>
    <xf numFmtId="43" fontId="9" fillId="0" borderId="2" xfId="1" applyFont="1" applyBorder="1"/>
    <xf numFmtId="169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43" fontId="0" fillId="0" borderId="0" xfId="0" applyNumberFormat="1"/>
    <xf numFmtId="0" fontId="14" fillId="0" borderId="0" xfId="0" applyFont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16" fillId="0" borderId="0" xfId="0" applyFont="1"/>
    <xf numFmtId="164" fontId="17" fillId="9" borderId="7" xfId="0" applyNumberFormat="1" applyFont="1" applyFill="1" applyBorder="1" applyAlignment="1">
      <alignment horizontal="left" vertical="top" wrapText="1" readingOrder="1"/>
    </xf>
    <xf numFmtId="0" fontId="17" fillId="9" borderId="7" xfId="0" applyFont="1" applyFill="1" applyBorder="1" applyAlignment="1">
      <alignment horizontal="left" vertical="top" wrapText="1" readingOrder="1"/>
    </xf>
    <xf numFmtId="165" fontId="17" fillId="9" borderId="7" xfId="0" applyNumberFormat="1" applyFont="1" applyFill="1" applyBorder="1" applyAlignment="1">
      <alignment horizontal="right" vertical="top" wrapText="1" readingOrder="1"/>
    </xf>
    <xf numFmtId="0" fontId="17" fillId="9" borderId="7" xfId="0" applyFont="1" applyFill="1" applyBorder="1" applyAlignment="1">
      <alignment horizontal="right" vertical="top" wrapText="1" readingOrder="1"/>
    </xf>
    <xf numFmtId="166" fontId="17" fillId="9" borderId="7" xfId="0" applyNumberFormat="1" applyFont="1" applyFill="1" applyBorder="1" applyAlignment="1">
      <alignment horizontal="right" vertical="top" wrapText="1" readingOrder="1"/>
    </xf>
    <xf numFmtId="0" fontId="8" fillId="0" borderId="0" xfId="0" applyFont="1"/>
    <xf numFmtId="167" fontId="17" fillId="9" borderId="7" xfId="0" applyNumberFormat="1" applyFont="1" applyFill="1" applyBorder="1" applyAlignment="1">
      <alignment horizontal="right" vertical="top" wrapText="1" readingOrder="1"/>
    </xf>
    <xf numFmtId="0" fontId="18" fillId="0" borderId="0" xfId="0" applyFont="1"/>
    <xf numFmtId="166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right" vertical="top" wrapText="1"/>
    </xf>
    <xf numFmtId="0" fontId="15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12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auto="1"/>
      </font>
    </dxf>
    <dxf>
      <font>
        <color theme="9" tint="-0.249977111117893"/>
      </font>
    </dxf>
    <dxf>
      <numFmt numFmtId="35" formatCode="_(* #,##0.00_);_(* \(#,##0.00\);_(* &quot;-&quot;??_);_(@_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A171B"/>
      <rgbColor rgb="0099999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Market-based (mtons CO2e)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Overview!$C$11</c:f>
              <c:strCache>
                <c:ptCount val="1"/>
                <c:pt idx="0">
                  <c:v>Market-based (mtons CO2e)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CD6-41DB-ACB8-2DE81E5859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D6-41DB-ACB8-2DE81E5859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D6-41DB-ACB8-2DE81E58599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Overview!$B$12:$B$14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Overview!$C$12:$C$14</c:f>
              <c:numCache>
                <c:formatCode>_(* #,##0.00_);_(* \(#,##0.00\);_(* "-"??_);_(@_)</c:formatCode>
                <c:ptCount val="3"/>
                <c:pt idx="0">
                  <c:v>57269.823000000011</c:v>
                </c:pt>
                <c:pt idx="1">
                  <c:v>31315.117000000017</c:v>
                </c:pt>
                <c:pt idx="2">
                  <c:v>1492.3700000000006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6-41DB-ACB8-2DE81E585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Market-based (mtons CO2e) by Source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Overview!$B$20:$C$39</c:f>
              <c:multiLvlStrCache>
                <c:ptCount val="20"/>
                <c:lvl>
                  <c:pt idx="0">
                    <c:v>Diesel</c:v>
                  </c:pt>
                  <c:pt idx="1">
                    <c:v>Diesel - Clear Diesel</c:v>
                  </c:pt>
                  <c:pt idx="2">
                    <c:v>Dry Ice</c:v>
                  </c:pt>
                  <c:pt idx="3">
                    <c:v>Gas Oil</c:v>
                  </c:pt>
                  <c:pt idx="4">
                    <c:v>Gasoline</c:v>
                  </c:pt>
                  <c:pt idx="5">
                    <c:v>Gasoline - 87 octane (regular)</c:v>
                  </c:pt>
                  <c:pt idx="6">
                    <c:v>Gasoline - 95 octane (premium)</c:v>
                  </c:pt>
                  <c:pt idx="7">
                    <c:v>Liquefied Petroleum Gas (LPG)</c:v>
                  </c:pt>
                  <c:pt idx="8">
                    <c:v>Natural Gas</c:v>
                  </c:pt>
                  <c:pt idx="9">
                    <c:v>Propane</c:v>
                  </c:pt>
                  <c:pt idx="10">
                    <c:v>Fertilizer</c:v>
                  </c:pt>
                  <c:pt idx="11">
                    <c:v>Refrigerant</c:v>
                  </c:pt>
                  <c:pt idx="12">
                    <c:v>Electric Power</c:v>
                  </c:pt>
                  <c:pt idx="13">
                    <c:v>Steam</c:v>
                  </c:pt>
                  <c:pt idx="14">
                    <c:v>Hazardous Waste</c:v>
                  </c:pt>
                  <c:pt idx="15">
                    <c:v>Hazardous Waste - Recycled</c:v>
                  </c:pt>
                  <c:pt idx="16">
                    <c:v>Non-Hazardous Waste</c:v>
                  </c:pt>
                  <c:pt idx="17">
                    <c:v>Non-Hazardous Waste - Recycling</c:v>
                  </c:pt>
                  <c:pt idx="18">
                    <c:v>Solid Waste</c:v>
                  </c:pt>
                  <c:pt idx="19">
                    <c:v>Waste</c:v>
                  </c:pt>
                </c:lvl>
                <c:lvl>
                  <c:pt idx="0">
                    <c:v>Scope 1</c:v>
                  </c:pt>
                  <c:pt idx="12">
                    <c:v>Scope 2</c:v>
                  </c:pt>
                  <c:pt idx="14">
                    <c:v>Scope 3</c:v>
                  </c:pt>
                </c:lvl>
              </c:multiLvlStrCache>
            </c:multiLvlStrRef>
          </c:cat>
          <c:val>
            <c:numRef>
              <c:f>Overview!$D$20:$D$39</c:f>
              <c:numCache>
                <c:formatCode>_(* #,##0_);_(* \(#,##0\);_(* "-"??_);_(@_)</c:formatCode>
                <c:ptCount val="20"/>
                <c:pt idx="0">
                  <c:v>246.21200000000002</c:v>
                </c:pt>
                <c:pt idx="1">
                  <c:v>34.131999999999998</c:v>
                </c:pt>
                <c:pt idx="2">
                  <c:v>42.156000000000006</c:v>
                </c:pt>
                <c:pt idx="3">
                  <c:v>1.946</c:v>
                </c:pt>
                <c:pt idx="4">
                  <c:v>20.708000000000002</c:v>
                </c:pt>
                <c:pt idx="5">
                  <c:v>112.84700000000001</c:v>
                </c:pt>
                <c:pt idx="6">
                  <c:v>114.70200000000003</c:v>
                </c:pt>
                <c:pt idx="7">
                  <c:v>3.4279999999999999</c:v>
                </c:pt>
                <c:pt idx="8">
                  <c:v>56515.751000000011</c:v>
                </c:pt>
                <c:pt idx="9">
                  <c:v>11.957000000000003</c:v>
                </c:pt>
                <c:pt idx="10">
                  <c:v>2.3519999999999999</c:v>
                </c:pt>
                <c:pt idx="11">
                  <c:v>163.63199999999992</c:v>
                </c:pt>
                <c:pt idx="12">
                  <c:v>26570.229000000018</c:v>
                </c:pt>
                <c:pt idx="13">
                  <c:v>4744.8879999999999</c:v>
                </c:pt>
                <c:pt idx="14">
                  <c:v>115.996</c:v>
                </c:pt>
                <c:pt idx="15">
                  <c:v>2.4000000000000007E-2</c:v>
                </c:pt>
                <c:pt idx="16">
                  <c:v>995.2100000000006</c:v>
                </c:pt>
                <c:pt idx="17">
                  <c:v>2.0239999999999996</c:v>
                </c:pt>
                <c:pt idx="18">
                  <c:v>0</c:v>
                </c:pt>
                <c:pt idx="19">
                  <c:v>379.11600000000004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6-49E0-903F-38EFA918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249824"/>
        <c:axId val="1"/>
      </c:barChart>
      <c:catAx>
        <c:axId val="19132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249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99060</xdr:rowOff>
    </xdr:from>
    <xdr:to>
      <xdr:col>1</xdr:col>
      <xdr:colOff>1569720</xdr:colOff>
      <xdr:row>6</xdr:row>
      <xdr:rowOff>30480</xdr:rowOff>
    </xdr:to>
    <xdr:pic>
      <xdr:nvPicPr>
        <xdr:cNvPr id="3178" name="Picture 1">
          <a:extLst>
            <a:ext uri="{FF2B5EF4-FFF2-40B4-BE49-F238E27FC236}">
              <a16:creationId xmlns:a16="http://schemas.microsoft.com/office/drawing/2014/main" id="{66F64E0B-E9D5-41FD-AFCF-024F2AB0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"/>
          <a:ext cx="156972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297180</xdr:colOff>
      <xdr:row>4</xdr:row>
      <xdr:rowOff>106680</xdr:rowOff>
    </xdr:from>
    <xdr:to>
      <xdr:col>13</xdr:col>
      <xdr:colOff>678180</xdr:colOff>
      <xdr:row>20</xdr:row>
      <xdr:rowOff>7620</xdr:rowOff>
    </xdr:to>
    <xdr:graphicFrame macro="">
      <xdr:nvGraphicFramePr>
        <xdr:cNvPr id="3179" name="Chart 1">
          <a:extLst>
            <a:ext uri="{FF2B5EF4-FFF2-40B4-BE49-F238E27FC236}">
              <a16:creationId xmlns:a16="http://schemas.microsoft.com/office/drawing/2014/main" id="{F1727793-6D23-A6EC-4ACD-1136C2745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312420</xdr:colOff>
      <xdr:row>21</xdr:row>
      <xdr:rowOff>45720</xdr:rowOff>
    </xdr:from>
    <xdr:to>
      <xdr:col>16</xdr:col>
      <xdr:colOff>533400</xdr:colOff>
      <xdr:row>49</xdr:row>
      <xdr:rowOff>167640</xdr:rowOff>
    </xdr:to>
    <xdr:graphicFrame macro="">
      <xdr:nvGraphicFramePr>
        <xdr:cNvPr id="3180" name="Chart 9">
          <a:extLst>
            <a:ext uri="{FF2B5EF4-FFF2-40B4-BE49-F238E27FC236}">
              <a16:creationId xmlns:a16="http://schemas.microsoft.com/office/drawing/2014/main" id="{3FBDECFF-A1EA-067E-86EB-FE79E3A0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1882140</xdr:colOff>
      <xdr:row>0</xdr:row>
      <xdr:rowOff>182880</xdr:rowOff>
    </xdr:from>
    <xdr:to>
      <xdr:col>4</xdr:col>
      <xdr:colOff>1508760</xdr:colOff>
      <xdr:row>5</xdr:row>
      <xdr:rowOff>99060</xdr:rowOff>
    </xdr:to>
    <xdr:pic>
      <xdr:nvPicPr>
        <xdr:cNvPr id="3181" name="Picture 1" descr="Vantage Expands its Leadership in Personal Care with the Acquisition of JEEN">
          <a:extLst>
            <a:ext uri="{FF2B5EF4-FFF2-40B4-BE49-F238E27FC236}">
              <a16:creationId xmlns:a16="http://schemas.microsoft.com/office/drawing/2014/main" id="{1ACE6E2C-DAB1-4DEF-F656-871A878B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167640"/>
          <a:ext cx="15087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899160</xdr:rowOff>
    </xdr:to>
    <xdr:pic>
      <xdr:nvPicPr>
        <xdr:cNvPr id="1121" name="Picture 0">
          <a:extLst>
            <a:ext uri="{FF2B5EF4-FFF2-40B4-BE49-F238E27FC236}">
              <a16:creationId xmlns:a16="http://schemas.microsoft.com/office/drawing/2014/main" id="{4DAE7334-DDEA-DB6B-4A97-3696ABBB5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899160</xdr:rowOff>
    </xdr:to>
    <xdr:pic>
      <xdr:nvPicPr>
        <xdr:cNvPr id="1122" name="Picture 0">
          <a:extLst>
            <a:ext uri="{FF2B5EF4-FFF2-40B4-BE49-F238E27FC236}">
              <a16:creationId xmlns:a16="http://schemas.microsoft.com/office/drawing/2014/main" id="{E4D36053-10B6-4FB3-9A6F-101A03A4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716280</xdr:rowOff>
    </xdr:to>
    <xdr:pic>
      <xdr:nvPicPr>
        <xdr:cNvPr id="9242" name="Picture 0">
          <a:extLst>
            <a:ext uri="{FF2B5EF4-FFF2-40B4-BE49-F238E27FC236}">
              <a16:creationId xmlns:a16="http://schemas.microsoft.com/office/drawing/2014/main" id="{0689DAF7-2EE2-BD45-1B6A-FE8F2D2F1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523.665433101851" createdVersion="1" refreshedVersion="8" recordCount="288" upgradeOnRefresh="1" xr:uid="{00000000-000A-0000-FFFF-FFFFFC010000}">
  <cacheSource type="worksheet">
    <worksheetSource ref="A12:F300" sheet="RA- Water Report"/>
  </cacheSource>
  <cacheFields count="6">
    <cacheField name="Service Month" numFmtId="164">
      <sharedItems containsSemiMixedTypes="0" containsNonDate="0" containsDate="1" containsString="0" minDate="2023-01-01T00:00:00" maxDate="2023-12-02T00:00:00"/>
    </cacheField>
    <cacheField name="Site Name" numFmtId="0">
      <sharedItems count="24">
        <s v="Agrinsa"/>
        <s v="Barcelona"/>
        <s v="Bogota"/>
        <s v="Buenos Aires"/>
        <s v="Carnegie, PA"/>
        <s v="Chicago, IL"/>
        <s v="Dateland"/>
        <s v="Deerfield"/>
        <s v="Englewood, OH"/>
        <s v="Fairfield"/>
        <s v="Granollers"/>
        <s v="Gurnee, IL"/>
        <s v="Les Borges"/>
        <s v="Leuna"/>
        <s v="Linden, NJ"/>
        <s v="Mexico City"/>
        <s v="Mumbai"/>
        <s v="Pittsburgh, PA"/>
        <s v="Santiago"/>
        <s v="Sao Paulo"/>
        <s v="Shanghai"/>
        <s v="South Africa"/>
        <s v="Tucson"/>
        <s v="Warren, NJ"/>
      </sharedItems>
    </cacheField>
    <cacheField name="Total Cost (USD)" numFmtId="0">
      <sharedItems containsString="0" containsBlank="1" containsNumber="1" minValue="6.943066" maxValue="92651.13"/>
    </cacheField>
    <cacheField name="Total Water Usage (gallons)" numFmtId="0">
      <sharedItems containsString="0" containsBlank="1" containsNumber="1" minValue="0" maxValue="1600316377"/>
    </cacheField>
    <cacheField name="Unit Cost" numFmtId="0">
      <sharedItems containsString="0" containsBlank="1" containsNumber="1" minValue="3.1375309999999998E-4" maxValue="3.33926498E-2"/>
    </cacheField>
    <cacheField name="Year" numFmtId="0">
      <sharedItems containsSemiMixedTypes="0" containsString="0" containsNumber="1" containsInteger="1" minValue="2023" maxValue="2023" count="1"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524.566387384257" createdVersion="8" refreshedVersion="8" recordCount="1528" xr:uid="{00000000-000A-0000-FFFF-FFFF5D020000}">
  <cacheSource type="worksheet">
    <worksheetSource ref="A11:V1539" sheet="RA - Emissions Report"/>
  </cacheSource>
  <cacheFields count="22">
    <cacheField name="Month" numFmtId="164">
      <sharedItems containsSemiMixedTypes="0" containsNonDate="0" containsDate="1" containsString="0" minDate="2022-01-01T00:00:00" maxDate="2023-12-02T00:00:00"/>
    </cacheField>
    <cacheField name="Source" numFmtId="0">
      <sharedItems count="20">
        <s v="Diesel"/>
        <s v="Fertilizer"/>
        <s v="Gasoline"/>
        <s v="Gasoline - 95 octane (premium)"/>
        <s v="Electric Power"/>
        <s v="Gas Oil"/>
        <s v="Gasoline - 87 octane (regular)"/>
        <s v="Liquefied Petroleum Gas (LPG)"/>
        <s v="Natural Gas"/>
        <s v="Propane"/>
        <s v="Non-Hazardous Waste"/>
        <s v="Hazardous Waste"/>
        <s v="Solid Waste"/>
        <s v="Dry Ice"/>
        <s v="Diesel - Clear Diesel"/>
        <s v="Waste"/>
        <s v="Hazardous Waste - Recycled"/>
        <s v="Non-Hazardous Waste - Recycling"/>
        <s v="Refrigerant"/>
        <s v="Steam"/>
      </sharedItems>
    </cacheField>
    <cacheField name="Division" numFmtId="0">
      <sharedItems/>
    </cacheField>
    <cacheField name="Site Name" numFmtId="0">
      <sharedItems count="24">
        <s v="Agrinsa"/>
        <s v="Barcelona"/>
        <s v="Bogota"/>
        <s v="Buenos Aires"/>
        <s v="Carnegie, PA"/>
        <s v="Chicago, IL"/>
        <s v="Dateland"/>
        <s v="Deerfield"/>
        <s v="Englewood, OH"/>
        <s v="Fairfield"/>
        <s v="Granollers"/>
        <s v="Gurnee, IL"/>
        <s v="Les Borges"/>
        <s v="Leuna"/>
        <s v="Linden, NJ"/>
        <s v="Mexico City"/>
        <s v="Mumbai"/>
        <s v="Pittsburgh, PA"/>
        <s v="Santiago"/>
        <s v="Sao Paulo"/>
        <s v="Shanghai"/>
        <s v="South Africa"/>
        <s v="Tucson"/>
        <s v="Warren, NJ"/>
      </sharedItems>
    </cacheField>
    <cacheField name="Scope" numFmtId="0">
      <sharedItems count="3">
        <s v="Scope 1"/>
        <s v="Scope 2"/>
        <s v="Scope 3"/>
      </sharedItems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UOM" numFmtId="0">
      <sharedItems count="5">
        <s v="MWh"/>
        <s v="mtons CO2-e"/>
        <s v="gallons"/>
        <s v="metric tons"/>
        <s v="tons (US)"/>
      </sharedItems>
    </cacheField>
    <cacheField name="Usage" numFmtId="165">
      <sharedItems containsSemiMixedTypes="0" containsString="0" containsNumber="1" minValue="0" maxValue="28985.297398999999"/>
    </cacheField>
    <cacheField name="Total Cost (USD)" numFmtId="0">
      <sharedItems containsString="0" containsBlank="1" containsNumber="1" minValue="0" maxValue="1076303.79"/>
    </cacheField>
    <cacheField name="Site Reference number" numFmtId="0">
      <sharedItems containsBlank="1"/>
    </cacheField>
    <cacheField name="Total CO2e Emissions (Market Based) (mtons CO2-e)" numFmtId="166">
      <sharedItems containsSemiMixedTypes="0" containsString="0" containsNumber="1" minValue="0" maxValue="5253.384"/>
    </cacheField>
    <cacheField name="CO2 Emissions (Primary) (mtons CO2-e)" numFmtId="0">
      <sharedItems containsString="0" containsBlank="1" containsNumber="1" minValue="0" maxValue="5247.7369360000002"/>
    </cacheField>
    <cacheField name="N2O Emissions (Primary) (mtons CO2-e)" numFmtId="0">
      <sharedItems containsString="0" containsBlank="1" containsNumber="1" minValue="0" maxValue="2.7000229999999998"/>
    </cacheField>
    <cacheField name="CH4 Emissions (Primary) (mtons CO2-e)" numFmtId="0">
      <sharedItems containsString="0" containsBlank="1" containsNumber="1" minValue="0" maxValue="3.5890430000000002"/>
    </cacheField>
    <cacheField name="Total CO2e Emissions (Location-Based) (mtons CO2-e)" numFmtId="0">
      <sharedItems containsMixedTypes="1" containsNumber="1" minValue="0" maxValue="5253.384"/>
    </cacheField>
    <cacheField name="CO2 Emissions (Secondary) (mtons CO2-e)" numFmtId="0">
      <sharedItems containsString="0" containsBlank="1" containsNumber="1" minValue="0" maxValue="5247.7369360000002"/>
    </cacheField>
    <cacheField name="N2O Emissions (Secondary) (mtons CO2-e)" numFmtId="0">
      <sharedItems containsString="0" containsBlank="1" containsNumber="1" minValue="0" maxValue="5.4064360000000002"/>
    </cacheField>
    <cacheField name="CH4 Emissions (Secondary) (mtons CO2-e)" numFmtId="0">
      <sharedItems containsString="0" containsBlank="1" containsNumber="1" minValue="0" maxValue="3.7492830000000001"/>
    </cacheField>
    <cacheField name="Year" numFmtId="0">
      <sharedItems containsSemiMixedTypes="0" containsString="0" containsNumber="1" containsInteger="1" minValue="2022" maxValue="2023" count="2">
        <n v="2023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8">
  <r>
    <d v="2023-01-01T00:00:00"/>
    <x v="0"/>
    <n v="80091.850000000006"/>
    <n v="222084293.06247401"/>
    <n v="3.606371E-4"/>
    <x v="0"/>
  </r>
  <r>
    <d v="2023-01-01T00:00:00"/>
    <x v="1"/>
    <m/>
    <m/>
    <m/>
    <x v="0"/>
  </r>
  <r>
    <d v="2023-01-01T00:00:00"/>
    <x v="2"/>
    <m/>
    <m/>
    <m/>
    <x v="0"/>
  </r>
  <r>
    <d v="2023-01-01T00:00:00"/>
    <x v="3"/>
    <m/>
    <m/>
    <m/>
    <x v="0"/>
  </r>
  <r>
    <d v="2023-01-01T00:00:00"/>
    <x v="4"/>
    <m/>
    <n v="171500"/>
    <m/>
    <x v="0"/>
  </r>
  <r>
    <d v="2023-01-01T00:00:00"/>
    <x v="5"/>
    <m/>
    <m/>
    <m/>
    <x v="0"/>
  </r>
  <r>
    <d v="2023-01-01T00:00:00"/>
    <x v="6"/>
    <m/>
    <m/>
    <m/>
    <x v="0"/>
  </r>
  <r>
    <d v="2023-01-01T00:00:00"/>
    <x v="7"/>
    <m/>
    <m/>
    <m/>
    <x v="0"/>
  </r>
  <r>
    <d v="2023-01-01T00:00:00"/>
    <x v="8"/>
    <n v="538.89499999999998"/>
    <n v="95050"/>
    <n v="5.6695948999999999E-3"/>
    <x v="0"/>
  </r>
  <r>
    <d v="2023-01-01T00:00:00"/>
    <x v="9"/>
    <m/>
    <m/>
    <m/>
    <x v="0"/>
  </r>
  <r>
    <d v="2023-01-01T00:00:00"/>
    <x v="10"/>
    <m/>
    <m/>
    <m/>
    <x v="0"/>
  </r>
  <r>
    <d v="2023-01-01T00:00:00"/>
    <x v="11"/>
    <m/>
    <m/>
    <m/>
    <x v="0"/>
  </r>
  <r>
    <d v="2023-01-01T00:00:00"/>
    <x v="12"/>
    <m/>
    <n v="0"/>
    <m/>
    <x v="0"/>
  </r>
  <r>
    <d v="2023-01-01T00:00:00"/>
    <x v="13"/>
    <m/>
    <m/>
    <m/>
    <x v="0"/>
  </r>
  <r>
    <d v="2023-01-01T00:00:00"/>
    <x v="14"/>
    <m/>
    <n v="4000"/>
    <m/>
    <x v="0"/>
  </r>
  <r>
    <d v="2023-01-01T00:00:00"/>
    <x v="15"/>
    <m/>
    <m/>
    <m/>
    <x v="0"/>
  </r>
  <r>
    <d v="2023-01-01T00:00:00"/>
    <x v="16"/>
    <m/>
    <m/>
    <m/>
    <x v="0"/>
  </r>
  <r>
    <d v="2023-01-01T00:00:00"/>
    <x v="17"/>
    <m/>
    <m/>
    <m/>
    <x v="0"/>
  </r>
  <r>
    <d v="2023-01-01T00:00:00"/>
    <x v="18"/>
    <m/>
    <m/>
    <m/>
    <x v="0"/>
  </r>
  <r>
    <d v="2023-01-01T00:00:00"/>
    <x v="19"/>
    <m/>
    <n v="264.17205200000001"/>
    <m/>
    <x v="0"/>
  </r>
  <r>
    <d v="2023-01-01T00:00:00"/>
    <x v="20"/>
    <n v="10.667510999999999"/>
    <n v="3170.0646280000001"/>
    <n v="3.3650768000000001E-3"/>
    <x v="0"/>
  </r>
  <r>
    <d v="2023-01-01T00:00:00"/>
    <x v="21"/>
    <m/>
    <m/>
    <m/>
    <x v="0"/>
  </r>
  <r>
    <d v="2023-01-01T00:00:00"/>
    <x v="22"/>
    <m/>
    <n v="1496.103891"/>
    <m/>
    <x v="0"/>
  </r>
  <r>
    <d v="2023-01-01T00:00:00"/>
    <x v="23"/>
    <m/>
    <m/>
    <m/>
    <x v="0"/>
  </r>
  <r>
    <d v="2023-02-01T00:00:00"/>
    <x v="0"/>
    <n v="81587.75"/>
    <n v="186079861.37129799"/>
    <n v="4.3845549999999998E-4"/>
    <x v="0"/>
  </r>
  <r>
    <d v="2023-02-01T00:00:00"/>
    <x v="1"/>
    <m/>
    <m/>
    <m/>
    <x v="0"/>
  </r>
  <r>
    <d v="2023-02-01T00:00:00"/>
    <x v="2"/>
    <m/>
    <m/>
    <m/>
    <x v="0"/>
  </r>
  <r>
    <d v="2023-02-01T00:00:00"/>
    <x v="3"/>
    <m/>
    <m/>
    <m/>
    <x v="0"/>
  </r>
  <r>
    <d v="2023-02-01T00:00:00"/>
    <x v="4"/>
    <m/>
    <n v="171000"/>
    <m/>
    <x v="0"/>
  </r>
  <r>
    <d v="2023-02-01T00:00:00"/>
    <x v="5"/>
    <m/>
    <m/>
    <m/>
    <x v="0"/>
  </r>
  <r>
    <d v="2023-02-01T00:00:00"/>
    <x v="6"/>
    <m/>
    <m/>
    <m/>
    <x v="0"/>
  </r>
  <r>
    <d v="2023-02-01T00:00:00"/>
    <x v="7"/>
    <m/>
    <m/>
    <m/>
    <x v="0"/>
  </r>
  <r>
    <d v="2023-02-01T00:00:00"/>
    <x v="8"/>
    <n v="538.89499999999998"/>
    <n v="95050"/>
    <n v="5.6695948999999999E-3"/>
    <x v="0"/>
  </r>
  <r>
    <d v="2023-02-01T00:00:00"/>
    <x v="9"/>
    <m/>
    <m/>
    <m/>
    <x v="0"/>
  </r>
  <r>
    <d v="2023-02-01T00:00:00"/>
    <x v="10"/>
    <m/>
    <m/>
    <m/>
    <x v="0"/>
  </r>
  <r>
    <d v="2023-02-01T00:00:00"/>
    <x v="11"/>
    <n v="3280.68"/>
    <n v="624500"/>
    <n v="5.2532906000000001E-3"/>
    <x v="0"/>
  </r>
  <r>
    <d v="2023-02-01T00:00:00"/>
    <x v="12"/>
    <m/>
    <n v="0"/>
    <m/>
    <x v="0"/>
  </r>
  <r>
    <d v="2023-02-01T00:00:00"/>
    <x v="13"/>
    <m/>
    <m/>
    <m/>
    <x v="0"/>
  </r>
  <r>
    <d v="2023-02-01T00:00:00"/>
    <x v="14"/>
    <m/>
    <m/>
    <m/>
    <x v="0"/>
  </r>
  <r>
    <d v="2023-02-01T00:00:00"/>
    <x v="15"/>
    <m/>
    <m/>
    <m/>
    <x v="0"/>
  </r>
  <r>
    <d v="2023-02-01T00:00:00"/>
    <x v="16"/>
    <m/>
    <m/>
    <m/>
    <x v="0"/>
  </r>
  <r>
    <d v="2023-02-01T00:00:00"/>
    <x v="17"/>
    <m/>
    <m/>
    <m/>
    <x v="0"/>
  </r>
  <r>
    <d v="2023-02-01T00:00:00"/>
    <x v="18"/>
    <m/>
    <m/>
    <m/>
    <x v="0"/>
  </r>
  <r>
    <d v="2023-02-01T00:00:00"/>
    <x v="19"/>
    <m/>
    <n v="792.51615700000002"/>
    <m/>
    <x v="0"/>
  </r>
  <r>
    <d v="2023-02-01T00:00:00"/>
    <x v="20"/>
    <n v="6.943066"/>
    <n v="2113.3764190000002"/>
    <n v="3.2852953999999998E-3"/>
    <x v="0"/>
  </r>
  <r>
    <d v="2023-02-01T00:00:00"/>
    <x v="21"/>
    <m/>
    <m/>
    <m/>
    <x v="0"/>
  </r>
  <r>
    <d v="2023-02-01T00:00:00"/>
    <x v="22"/>
    <m/>
    <n v="2244.1558369999998"/>
    <m/>
    <x v="0"/>
  </r>
  <r>
    <d v="2023-02-01T00:00:00"/>
    <x v="23"/>
    <m/>
    <m/>
    <m/>
    <x v="0"/>
  </r>
  <r>
    <d v="2023-03-01T00:00:00"/>
    <x v="0"/>
    <n v="92651.13"/>
    <n v="135232817.24955899"/>
    <n v="6.8512309999999997E-4"/>
    <x v="0"/>
  </r>
  <r>
    <d v="2023-03-01T00:00:00"/>
    <x v="1"/>
    <m/>
    <m/>
    <m/>
    <x v="0"/>
  </r>
  <r>
    <d v="2023-03-01T00:00:00"/>
    <x v="2"/>
    <m/>
    <m/>
    <m/>
    <x v="0"/>
  </r>
  <r>
    <d v="2023-03-01T00:00:00"/>
    <x v="3"/>
    <m/>
    <m/>
    <m/>
    <x v="0"/>
  </r>
  <r>
    <d v="2023-03-01T00:00:00"/>
    <x v="4"/>
    <m/>
    <n v="129500"/>
    <m/>
    <x v="0"/>
  </r>
  <r>
    <d v="2023-03-01T00:00:00"/>
    <x v="5"/>
    <m/>
    <m/>
    <m/>
    <x v="0"/>
  </r>
  <r>
    <d v="2023-03-01T00:00:00"/>
    <x v="6"/>
    <m/>
    <m/>
    <m/>
    <x v="0"/>
  </r>
  <r>
    <d v="2023-03-01T00:00:00"/>
    <x v="7"/>
    <m/>
    <m/>
    <m/>
    <x v="0"/>
  </r>
  <r>
    <d v="2023-03-01T00:00:00"/>
    <x v="8"/>
    <n v="466.60500000000002"/>
    <n v="82300"/>
    <n v="5.6695625000000001E-3"/>
    <x v="0"/>
  </r>
  <r>
    <d v="2023-03-01T00:00:00"/>
    <x v="9"/>
    <m/>
    <m/>
    <m/>
    <x v="0"/>
  </r>
  <r>
    <d v="2023-03-01T00:00:00"/>
    <x v="10"/>
    <m/>
    <m/>
    <m/>
    <x v="0"/>
  </r>
  <r>
    <d v="2023-03-01T00:00:00"/>
    <x v="11"/>
    <n v="3280.68"/>
    <n v="624500"/>
    <n v="5.2532906000000001E-3"/>
    <x v="0"/>
  </r>
  <r>
    <d v="2023-03-01T00:00:00"/>
    <x v="12"/>
    <m/>
    <n v="47022.625319999999"/>
    <m/>
    <x v="0"/>
  </r>
  <r>
    <d v="2023-03-01T00:00:00"/>
    <x v="13"/>
    <m/>
    <m/>
    <m/>
    <x v="0"/>
  </r>
  <r>
    <d v="2023-03-01T00:00:00"/>
    <x v="14"/>
    <m/>
    <m/>
    <m/>
    <x v="0"/>
  </r>
  <r>
    <d v="2023-03-01T00:00:00"/>
    <x v="15"/>
    <m/>
    <m/>
    <m/>
    <x v="0"/>
  </r>
  <r>
    <d v="2023-03-01T00:00:00"/>
    <x v="16"/>
    <m/>
    <m/>
    <m/>
    <x v="0"/>
  </r>
  <r>
    <d v="2023-03-01T00:00:00"/>
    <x v="17"/>
    <m/>
    <m/>
    <m/>
    <x v="0"/>
  </r>
  <r>
    <d v="2023-03-01T00:00:00"/>
    <x v="18"/>
    <m/>
    <m/>
    <m/>
    <x v="0"/>
  </r>
  <r>
    <d v="2023-03-01T00:00:00"/>
    <x v="19"/>
    <m/>
    <n v="792.51615700000002"/>
    <m/>
    <x v="0"/>
  </r>
  <r>
    <d v="2023-03-01T00:00:00"/>
    <x v="20"/>
    <n v="13.018248"/>
    <n v="3962.5807850000001"/>
    <n v="3.2852952000000002E-3"/>
    <x v="0"/>
  </r>
  <r>
    <d v="2023-03-01T00:00:00"/>
    <x v="21"/>
    <m/>
    <m/>
    <m/>
    <x v="0"/>
  </r>
  <r>
    <d v="2023-03-01T00:00:00"/>
    <x v="22"/>
    <m/>
    <n v="2244.1558369999998"/>
    <m/>
    <x v="0"/>
  </r>
  <r>
    <d v="2023-03-01T00:00:00"/>
    <x v="23"/>
    <m/>
    <m/>
    <m/>
    <x v="0"/>
  </r>
  <r>
    <d v="2023-04-01T00:00:00"/>
    <x v="0"/>
    <n v="73349.59"/>
    <n v="79283078.598879993"/>
    <n v="9.2516069999999998E-4"/>
    <x v="0"/>
  </r>
  <r>
    <d v="2023-04-01T00:00:00"/>
    <x v="1"/>
    <m/>
    <m/>
    <m/>
    <x v="0"/>
  </r>
  <r>
    <d v="2023-04-01T00:00:00"/>
    <x v="2"/>
    <m/>
    <m/>
    <m/>
    <x v="0"/>
  </r>
  <r>
    <d v="2023-04-01T00:00:00"/>
    <x v="3"/>
    <m/>
    <m/>
    <m/>
    <x v="0"/>
  </r>
  <r>
    <d v="2023-04-01T00:00:00"/>
    <x v="4"/>
    <m/>
    <n v="171000"/>
    <m/>
    <x v="0"/>
  </r>
  <r>
    <d v="2023-04-01T00:00:00"/>
    <x v="5"/>
    <m/>
    <m/>
    <m/>
    <x v="0"/>
  </r>
  <r>
    <d v="2023-04-01T00:00:00"/>
    <x v="6"/>
    <m/>
    <m/>
    <m/>
    <x v="0"/>
  </r>
  <r>
    <d v="2023-04-01T00:00:00"/>
    <x v="7"/>
    <m/>
    <m/>
    <m/>
    <x v="0"/>
  </r>
  <r>
    <d v="2023-04-01T00:00:00"/>
    <x v="8"/>
    <n v="466.60500000000002"/>
    <n v="82300"/>
    <n v="5.6695625000000001E-3"/>
    <x v="0"/>
  </r>
  <r>
    <d v="2023-04-01T00:00:00"/>
    <x v="9"/>
    <m/>
    <m/>
    <m/>
    <x v="0"/>
  </r>
  <r>
    <d v="2023-04-01T00:00:00"/>
    <x v="10"/>
    <m/>
    <m/>
    <m/>
    <x v="0"/>
  </r>
  <r>
    <d v="2023-04-01T00:00:00"/>
    <x v="11"/>
    <n v="16487.91"/>
    <n v="3129500"/>
    <n v="5.2685444000000001E-3"/>
    <x v="0"/>
  </r>
  <r>
    <d v="2023-04-01T00:00:00"/>
    <x v="12"/>
    <m/>
    <n v="0"/>
    <m/>
    <x v="0"/>
  </r>
  <r>
    <d v="2023-04-01T00:00:00"/>
    <x v="13"/>
    <m/>
    <m/>
    <m/>
    <x v="0"/>
  </r>
  <r>
    <d v="2023-04-01T00:00:00"/>
    <x v="14"/>
    <m/>
    <m/>
    <m/>
    <x v="0"/>
  </r>
  <r>
    <d v="2023-04-01T00:00:00"/>
    <x v="15"/>
    <m/>
    <m/>
    <m/>
    <x v="0"/>
  </r>
  <r>
    <d v="2023-04-01T00:00:00"/>
    <x v="16"/>
    <m/>
    <m/>
    <m/>
    <x v="0"/>
  </r>
  <r>
    <d v="2023-04-01T00:00:00"/>
    <x v="17"/>
    <m/>
    <m/>
    <m/>
    <x v="0"/>
  </r>
  <r>
    <d v="2023-04-01T00:00:00"/>
    <x v="18"/>
    <m/>
    <m/>
    <m/>
    <x v="0"/>
  </r>
  <r>
    <d v="2023-04-01T00:00:00"/>
    <x v="19"/>
    <m/>
    <n v="1056.6882089999999"/>
    <m/>
    <x v="0"/>
  </r>
  <r>
    <d v="2023-04-01T00:00:00"/>
    <x v="20"/>
    <n v="11.284382000000001"/>
    <n v="3434.2366809999999"/>
    <n v="3.2858485999999998E-3"/>
    <x v="0"/>
  </r>
  <r>
    <d v="2023-04-01T00:00:00"/>
    <x v="21"/>
    <m/>
    <m/>
    <m/>
    <x v="0"/>
  </r>
  <r>
    <d v="2023-04-01T00:00:00"/>
    <x v="22"/>
    <m/>
    <n v="2244.1558369999998"/>
    <m/>
    <x v="0"/>
  </r>
  <r>
    <d v="2023-04-01T00:00:00"/>
    <x v="23"/>
    <m/>
    <m/>
    <m/>
    <x v="0"/>
  </r>
  <r>
    <d v="2023-05-01T00:00:00"/>
    <x v="0"/>
    <n v="77313.64"/>
    <n v="0"/>
    <m/>
    <x v="0"/>
  </r>
  <r>
    <d v="2023-05-01T00:00:00"/>
    <x v="1"/>
    <m/>
    <m/>
    <m/>
    <x v="0"/>
  </r>
  <r>
    <d v="2023-05-01T00:00:00"/>
    <x v="2"/>
    <m/>
    <m/>
    <m/>
    <x v="0"/>
  </r>
  <r>
    <d v="2023-05-01T00:00:00"/>
    <x v="3"/>
    <m/>
    <m/>
    <m/>
    <x v="0"/>
  </r>
  <r>
    <d v="2023-05-01T00:00:00"/>
    <x v="4"/>
    <m/>
    <n v="115000"/>
    <m/>
    <x v="0"/>
  </r>
  <r>
    <d v="2023-05-01T00:00:00"/>
    <x v="5"/>
    <m/>
    <m/>
    <m/>
    <x v="0"/>
  </r>
  <r>
    <d v="2023-05-01T00:00:00"/>
    <x v="6"/>
    <m/>
    <m/>
    <m/>
    <x v="0"/>
  </r>
  <r>
    <d v="2023-05-01T00:00:00"/>
    <x v="7"/>
    <m/>
    <m/>
    <m/>
    <x v="0"/>
  </r>
  <r>
    <d v="2023-05-01T00:00:00"/>
    <x v="8"/>
    <n v="487.01499999999999"/>
    <n v="85900"/>
    <n v="5.6695575999999998E-3"/>
    <x v="0"/>
  </r>
  <r>
    <d v="2023-05-01T00:00:00"/>
    <x v="9"/>
    <m/>
    <m/>
    <m/>
    <x v="0"/>
  </r>
  <r>
    <d v="2023-05-01T00:00:00"/>
    <x v="10"/>
    <m/>
    <m/>
    <m/>
    <x v="0"/>
  </r>
  <r>
    <d v="2023-05-01T00:00:00"/>
    <x v="11"/>
    <n v="16487.91"/>
    <n v="3129500"/>
    <n v="5.2685444000000001E-3"/>
    <x v="0"/>
  </r>
  <r>
    <d v="2023-05-01T00:00:00"/>
    <x v="12"/>
    <m/>
    <n v="0"/>
    <m/>
    <x v="0"/>
  </r>
  <r>
    <d v="2023-05-01T00:00:00"/>
    <x v="13"/>
    <m/>
    <m/>
    <m/>
    <x v="0"/>
  </r>
  <r>
    <d v="2023-05-01T00:00:00"/>
    <x v="14"/>
    <m/>
    <m/>
    <m/>
    <x v="0"/>
  </r>
  <r>
    <d v="2023-05-01T00:00:00"/>
    <x v="15"/>
    <m/>
    <m/>
    <m/>
    <x v="0"/>
  </r>
  <r>
    <d v="2023-05-01T00:00:00"/>
    <x v="16"/>
    <m/>
    <m/>
    <m/>
    <x v="0"/>
  </r>
  <r>
    <d v="2023-05-01T00:00:00"/>
    <x v="17"/>
    <m/>
    <m/>
    <m/>
    <x v="0"/>
  </r>
  <r>
    <d v="2023-05-01T00:00:00"/>
    <x v="18"/>
    <m/>
    <m/>
    <m/>
    <x v="0"/>
  </r>
  <r>
    <d v="2023-05-01T00:00:00"/>
    <x v="19"/>
    <m/>
    <n v="792.51615700000002"/>
    <m/>
    <x v="0"/>
  </r>
  <r>
    <d v="2023-05-01T00:00:00"/>
    <x v="20"/>
    <n v="16.059522000000001"/>
    <n v="5019.2689950000004"/>
    <n v="3.1995738000000001E-3"/>
    <x v="0"/>
  </r>
  <r>
    <d v="2023-05-01T00:00:00"/>
    <x v="21"/>
    <m/>
    <m/>
    <m/>
    <x v="0"/>
  </r>
  <r>
    <d v="2023-05-01T00:00:00"/>
    <x v="22"/>
    <m/>
    <n v="12716.883075"/>
    <m/>
    <x v="0"/>
  </r>
  <r>
    <d v="2023-05-01T00:00:00"/>
    <x v="23"/>
    <m/>
    <m/>
    <m/>
    <x v="0"/>
  </r>
  <r>
    <d v="2023-06-01T00:00:00"/>
    <x v="0"/>
    <n v="80195.509999999995"/>
    <n v="0"/>
    <m/>
    <x v="0"/>
  </r>
  <r>
    <d v="2023-06-01T00:00:00"/>
    <x v="1"/>
    <m/>
    <m/>
    <m/>
    <x v="0"/>
  </r>
  <r>
    <d v="2023-06-01T00:00:00"/>
    <x v="2"/>
    <m/>
    <m/>
    <m/>
    <x v="0"/>
  </r>
  <r>
    <d v="2023-06-01T00:00:00"/>
    <x v="3"/>
    <m/>
    <m/>
    <m/>
    <x v="0"/>
  </r>
  <r>
    <d v="2023-06-01T00:00:00"/>
    <x v="4"/>
    <m/>
    <n v="161500"/>
    <m/>
    <x v="0"/>
  </r>
  <r>
    <d v="2023-06-01T00:00:00"/>
    <x v="5"/>
    <m/>
    <m/>
    <m/>
    <x v="0"/>
  </r>
  <r>
    <d v="2023-06-01T00:00:00"/>
    <x v="6"/>
    <m/>
    <m/>
    <m/>
    <x v="0"/>
  </r>
  <r>
    <d v="2023-06-01T00:00:00"/>
    <x v="7"/>
    <m/>
    <m/>
    <m/>
    <x v="0"/>
  </r>
  <r>
    <d v="2023-06-01T00:00:00"/>
    <x v="8"/>
    <n v="487.01499999999999"/>
    <n v="85900"/>
    <n v="5.6695575999999998E-3"/>
    <x v="0"/>
  </r>
  <r>
    <d v="2023-06-01T00:00:00"/>
    <x v="9"/>
    <m/>
    <m/>
    <m/>
    <x v="0"/>
  </r>
  <r>
    <d v="2023-06-01T00:00:00"/>
    <x v="10"/>
    <m/>
    <m/>
    <m/>
    <x v="0"/>
  </r>
  <r>
    <d v="2023-06-01T00:00:00"/>
    <x v="11"/>
    <n v="20130.505000000001"/>
    <n v="3751500"/>
    <n v="5.3659882000000004E-3"/>
    <x v="0"/>
  </r>
  <r>
    <d v="2023-06-01T00:00:00"/>
    <x v="12"/>
    <m/>
    <n v="58117.851519000003"/>
    <m/>
    <x v="0"/>
  </r>
  <r>
    <d v="2023-06-01T00:00:00"/>
    <x v="13"/>
    <m/>
    <m/>
    <m/>
    <x v="0"/>
  </r>
  <r>
    <d v="2023-06-01T00:00:00"/>
    <x v="14"/>
    <m/>
    <m/>
    <m/>
    <x v="0"/>
  </r>
  <r>
    <d v="2023-06-01T00:00:00"/>
    <x v="15"/>
    <m/>
    <m/>
    <m/>
    <x v="0"/>
  </r>
  <r>
    <d v="2023-06-01T00:00:00"/>
    <x v="16"/>
    <m/>
    <m/>
    <m/>
    <x v="0"/>
  </r>
  <r>
    <d v="2023-06-01T00:00:00"/>
    <x v="17"/>
    <m/>
    <m/>
    <m/>
    <x v="0"/>
  </r>
  <r>
    <d v="2023-06-01T00:00:00"/>
    <x v="18"/>
    <m/>
    <m/>
    <m/>
    <x v="0"/>
  </r>
  <r>
    <d v="2023-06-01T00:00:00"/>
    <x v="19"/>
    <m/>
    <n v="792.51615700000002"/>
    <m/>
    <x v="0"/>
  </r>
  <r>
    <d v="2023-06-01T00:00:00"/>
    <x v="20"/>
    <n v="10.753614000000001"/>
    <n v="3434.2366809999999"/>
    <n v="3.1312966999999998E-3"/>
    <x v="0"/>
  </r>
  <r>
    <d v="2023-06-01T00:00:00"/>
    <x v="21"/>
    <m/>
    <m/>
    <m/>
    <x v="0"/>
  </r>
  <r>
    <d v="2023-06-01T00:00:00"/>
    <x v="22"/>
    <m/>
    <n v="22441.558367000001"/>
    <m/>
    <x v="0"/>
  </r>
  <r>
    <d v="2023-06-01T00:00:00"/>
    <x v="23"/>
    <m/>
    <m/>
    <m/>
    <x v="0"/>
  </r>
  <r>
    <d v="2023-07-01T00:00:00"/>
    <x v="0"/>
    <n v="77405.279999999999"/>
    <n v="142696073.98675498"/>
    <n v="5.4244850000000002E-4"/>
    <x v="0"/>
  </r>
  <r>
    <d v="2023-07-01T00:00:00"/>
    <x v="1"/>
    <m/>
    <m/>
    <m/>
    <x v="0"/>
  </r>
  <r>
    <d v="2023-07-01T00:00:00"/>
    <x v="2"/>
    <m/>
    <m/>
    <m/>
    <x v="0"/>
  </r>
  <r>
    <d v="2023-07-01T00:00:00"/>
    <x v="3"/>
    <m/>
    <m/>
    <m/>
    <x v="0"/>
  </r>
  <r>
    <d v="2023-07-01T00:00:00"/>
    <x v="4"/>
    <m/>
    <n v="148500"/>
    <m/>
    <x v="0"/>
  </r>
  <r>
    <d v="2023-07-01T00:00:00"/>
    <x v="5"/>
    <m/>
    <m/>
    <m/>
    <x v="0"/>
  </r>
  <r>
    <d v="2023-07-01T00:00:00"/>
    <x v="6"/>
    <m/>
    <m/>
    <m/>
    <x v="0"/>
  </r>
  <r>
    <d v="2023-07-01T00:00:00"/>
    <x v="7"/>
    <m/>
    <m/>
    <m/>
    <x v="0"/>
  </r>
  <r>
    <d v="2023-07-01T00:00:00"/>
    <x v="8"/>
    <n v="407.92"/>
    <n v="71950"/>
    <n v="5.6694926999999997E-3"/>
    <x v="0"/>
  </r>
  <r>
    <d v="2023-07-01T00:00:00"/>
    <x v="9"/>
    <m/>
    <m/>
    <m/>
    <x v="0"/>
  </r>
  <r>
    <d v="2023-07-01T00:00:00"/>
    <x v="10"/>
    <m/>
    <m/>
    <m/>
    <x v="0"/>
  </r>
  <r>
    <d v="2023-07-01T00:00:00"/>
    <x v="11"/>
    <n v="20130.505000000001"/>
    <n v="3751500"/>
    <n v="5.3659882000000004E-3"/>
    <x v="0"/>
  </r>
  <r>
    <d v="2023-07-01T00:00:00"/>
    <x v="12"/>
    <n v="372.95838400000002"/>
    <n v="48959.886156"/>
    <n v="7.6176317000000004E-3"/>
    <x v="0"/>
  </r>
  <r>
    <d v="2023-07-01T00:00:00"/>
    <x v="13"/>
    <m/>
    <m/>
    <m/>
    <x v="0"/>
  </r>
  <r>
    <d v="2023-07-01T00:00:00"/>
    <x v="14"/>
    <m/>
    <m/>
    <m/>
    <x v="0"/>
  </r>
  <r>
    <d v="2023-07-01T00:00:00"/>
    <x v="15"/>
    <m/>
    <m/>
    <m/>
    <x v="0"/>
  </r>
  <r>
    <d v="2023-07-01T00:00:00"/>
    <x v="16"/>
    <m/>
    <m/>
    <m/>
    <x v="0"/>
  </r>
  <r>
    <d v="2023-07-01T00:00:00"/>
    <x v="17"/>
    <m/>
    <m/>
    <m/>
    <x v="0"/>
  </r>
  <r>
    <d v="2023-07-01T00:00:00"/>
    <x v="18"/>
    <m/>
    <m/>
    <m/>
    <x v="0"/>
  </r>
  <r>
    <d v="2023-07-01T00:00:00"/>
    <x v="19"/>
    <m/>
    <n v="792.51615700000002"/>
    <m/>
    <x v="0"/>
  </r>
  <r>
    <d v="2023-07-01T00:00:00"/>
    <x v="20"/>
    <n v="12.573743"/>
    <n v="3962.5807850000001"/>
    <n v="3.1731196000000001E-3"/>
    <x v="0"/>
  </r>
  <r>
    <d v="2023-07-01T00:00:00"/>
    <x v="21"/>
    <m/>
    <m/>
    <m/>
    <x v="0"/>
  </r>
  <r>
    <d v="2023-07-01T00:00:00"/>
    <x v="22"/>
    <m/>
    <n v="30670.129767999999"/>
    <m/>
    <x v="0"/>
  </r>
  <r>
    <d v="2023-07-01T00:00:00"/>
    <x v="23"/>
    <m/>
    <m/>
    <m/>
    <x v="0"/>
  </r>
  <r>
    <d v="2023-08-01T00:00:00"/>
    <x v="0"/>
    <n v="81407.22"/>
    <n v="251341796.953628"/>
    <n v="3.2389039999999999E-4"/>
    <x v="0"/>
  </r>
  <r>
    <d v="2023-08-01T00:00:00"/>
    <x v="1"/>
    <m/>
    <m/>
    <m/>
    <x v="0"/>
  </r>
  <r>
    <d v="2023-08-01T00:00:00"/>
    <x v="2"/>
    <m/>
    <m/>
    <m/>
    <x v="0"/>
  </r>
  <r>
    <d v="2023-08-01T00:00:00"/>
    <x v="3"/>
    <m/>
    <m/>
    <m/>
    <x v="0"/>
  </r>
  <r>
    <d v="2023-08-01T00:00:00"/>
    <x v="4"/>
    <m/>
    <n v="226000"/>
    <m/>
    <x v="0"/>
  </r>
  <r>
    <d v="2023-08-01T00:00:00"/>
    <x v="5"/>
    <m/>
    <m/>
    <m/>
    <x v="0"/>
  </r>
  <r>
    <d v="2023-08-01T00:00:00"/>
    <x v="6"/>
    <m/>
    <m/>
    <m/>
    <x v="0"/>
  </r>
  <r>
    <d v="2023-08-01T00:00:00"/>
    <x v="7"/>
    <m/>
    <m/>
    <m/>
    <x v="0"/>
  </r>
  <r>
    <d v="2023-08-01T00:00:00"/>
    <x v="8"/>
    <n v="407.92"/>
    <n v="71950"/>
    <n v="5.6694926999999997E-3"/>
    <x v="0"/>
  </r>
  <r>
    <d v="2023-08-01T00:00:00"/>
    <x v="9"/>
    <m/>
    <m/>
    <m/>
    <x v="0"/>
  </r>
  <r>
    <d v="2023-08-01T00:00:00"/>
    <x v="10"/>
    <m/>
    <m/>
    <m/>
    <x v="0"/>
  </r>
  <r>
    <d v="2023-08-01T00:00:00"/>
    <x v="11"/>
    <n v="25758.865000000002"/>
    <n v="4805500"/>
    <n v="5.3602881999999996E-3"/>
    <x v="0"/>
  </r>
  <r>
    <d v="2023-08-01T00:00:00"/>
    <x v="12"/>
    <n v="368.08299899999997"/>
    <n v="48959.886156"/>
    <n v="7.5180524999999996E-3"/>
    <x v="0"/>
  </r>
  <r>
    <d v="2023-08-01T00:00:00"/>
    <x v="13"/>
    <m/>
    <m/>
    <m/>
    <x v="0"/>
  </r>
  <r>
    <d v="2023-08-01T00:00:00"/>
    <x v="14"/>
    <m/>
    <m/>
    <m/>
    <x v="0"/>
  </r>
  <r>
    <d v="2023-08-01T00:00:00"/>
    <x v="15"/>
    <m/>
    <m/>
    <m/>
    <x v="0"/>
  </r>
  <r>
    <d v="2023-08-01T00:00:00"/>
    <x v="16"/>
    <m/>
    <m/>
    <m/>
    <x v="0"/>
  </r>
  <r>
    <d v="2023-08-01T00:00:00"/>
    <x v="17"/>
    <m/>
    <m/>
    <m/>
    <x v="0"/>
  </r>
  <r>
    <d v="2023-08-01T00:00:00"/>
    <x v="18"/>
    <m/>
    <m/>
    <m/>
    <x v="0"/>
  </r>
  <r>
    <d v="2023-08-01T00:00:00"/>
    <x v="19"/>
    <m/>
    <n v="792.51615700000002"/>
    <m/>
    <x v="0"/>
  </r>
  <r>
    <d v="2023-08-01T00:00:00"/>
    <x v="20"/>
    <n v="14.038565999999999"/>
    <n v="4490.9248900000002"/>
    <n v="3.1259854000000001E-3"/>
    <x v="0"/>
  </r>
  <r>
    <d v="2023-08-01T00:00:00"/>
    <x v="21"/>
    <m/>
    <m/>
    <m/>
    <x v="0"/>
  </r>
  <r>
    <d v="2023-08-01T00:00:00"/>
    <x v="22"/>
    <m/>
    <n v="32166.233659000001"/>
    <m/>
    <x v="0"/>
  </r>
  <r>
    <d v="2023-08-01T00:00:00"/>
    <x v="23"/>
    <m/>
    <m/>
    <m/>
    <x v="0"/>
  </r>
  <r>
    <d v="2023-09-01T00:00:00"/>
    <x v="0"/>
    <n v="76951.47"/>
    <n v="245261163.904064"/>
    <n v="3.1375309999999998E-4"/>
    <x v="0"/>
  </r>
  <r>
    <d v="2023-09-01T00:00:00"/>
    <x v="1"/>
    <m/>
    <m/>
    <m/>
    <x v="0"/>
  </r>
  <r>
    <d v="2023-09-01T00:00:00"/>
    <x v="2"/>
    <m/>
    <m/>
    <m/>
    <x v="0"/>
  </r>
  <r>
    <d v="2023-09-01T00:00:00"/>
    <x v="3"/>
    <m/>
    <m/>
    <m/>
    <x v="0"/>
  </r>
  <r>
    <d v="2023-09-01T00:00:00"/>
    <x v="4"/>
    <m/>
    <n v="266000"/>
    <m/>
    <x v="0"/>
  </r>
  <r>
    <d v="2023-09-01T00:00:00"/>
    <x v="5"/>
    <m/>
    <m/>
    <m/>
    <x v="0"/>
  </r>
  <r>
    <d v="2023-09-01T00:00:00"/>
    <x v="6"/>
    <m/>
    <m/>
    <m/>
    <x v="0"/>
  </r>
  <r>
    <d v="2023-09-01T00:00:00"/>
    <x v="7"/>
    <m/>
    <m/>
    <m/>
    <x v="0"/>
  </r>
  <r>
    <d v="2023-09-01T00:00:00"/>
    <x v="8"/>
    <n v="750.95500000000004"/>
    <n v="132450"/>
    <n v="5.6697244000000003E-3"/>
    <x v="0"/>
  </r>
  <r>
    <d v="2023-09-01T00:00:00"/>
    <x v="9"/>
    <m/>
    <m/>
    <m/>
    <x v="0"/>
  </r>
  <r>
    <d v="2023-09-01T00:00:00"/>
    <x v="10"/>
    <m/>
    <m/>
    <m/>
    <x v="0"/>
  </r>
  <r>
    <d v="2023-09-01T00:00:00"/>
    <x v="11"/>
    <n v="25758.865000000002"/>
    <n v="4805500"/>
    <n v="5.3602881999999996E-3"/>
    <x v="0"/>
  </r>
  <r>
    <d v="2023-09-01T00:00:00"/>
    <x v="12"/>
    <n v="368.08299899999997"/>
    <n v="48959.886156"/>
    <n v="7.5180524999999996E-3"/>
    <x v="0"/>
  </r>
  <r>
    <d v="2023-09-01T00:00:00"/>
    <x v="13"/>
    <m/>
    <m/>
    <m/>
    <x v="0"/>
  </r>
  <r>
    <d v="2023-09-01T00:00:00"/>
    <x v="14"/>
    <m/>
    <m/>
    <m/>
    <x v="0"/>
  </r>
  <r>
    <d v="2023-09-01T00:00:00"/>
    <x v="15"/>
    <m/>
    <m/>
    <m/>
    <x v="0"/>
  </r>
  <r>
    <d v="2023-09-01T00:00:00"/>
    <x v="16"/>
    <m/>
    <m/>
    <m/>
    <x v="0"/>
  </r>
  <r>
    <d v="2023-09-01T00:00:00"/>
    <x v="17"/>
    <m/>
    <m/>
    <m/>
    <x v="0"/>
  </r>
  <r>
    <d v="2023-09-01T00:00:00"/>
    <x v="18"/>
    <m/>
    <m/>
    <m/>
    <x v="0"/>
  </r>
  <r>
    <d v="2023-09-01T00:00:00"/>
    <x v="19"/>
    <m/>
    <n v="792.51615700000002"/>
    <m/>
    <x v="0"/>
  </r>
  <r>
    <d v="2023-09-01T00:00:00"/>
    <x v="20"/>
    <n v="9.0837780000000006"/>
    <n v="2905.8925760000002"/>
    <n v="3.1259854000000001E-3"/>
    <x v="0"/>
  </r>
  <r>
    <d v="2023-09-01T00:00:00"/>
    <x v="21"/>
    <n v="114.3015"/>
    <n v="8741.4532130000007"/>
    <n v="1.30758006E-2"/>
    <x v="0"/>
  </r>
  <r>
    <d v="2023-09-01T00:00:00"/>
    <x v="22"/>
    <m/>
    <n v="21693.506420999998"/>
    <m/>
    <x v="0"/>
  </r>
  <r>
    <d v="2023-09-01T00:00:00"/>
    <x v="23"/>
    <m/>
    <m/>
    <m/>
    <x v="0"/>
  </r>
  <r>
    <d v="2023-10-01T00:00:00"/>
    <x v="0"/>
    <m/>
    <n v="249508812.751136"/>
    <m/>
    <x v="0"/>
  </r>
  <r>
    <d v="2023-10-01T00:00:00"/>
    <x v="1"/>
    <m/>
    <m/>
    <m/>
    <x v="0"/>
  </r>
  <r>
    <d v="2023-10-01T00:00:00"/>
    <x v="2"/>
    <m/>
    <m/>
    <m/>
    <x v="0"/>
  </r>
  <r>
    <d v="2023-10-01T00:00:00"/>
    <x v="3"/>
    <m/>
    <m/>
    <m/>
    <x v="0"/>
  </r>
  <r>
    <d v="2023-10-01T00:00:00"/>
    <x v="4"/>
    <m/>
    <n v="197000"/>
    <m/>
    <x v="0"/>
  </r>
  <r>
    <d v="2023-10-01T00:00:00"/>
    <x v="5"/>
    <m/>
    <m/>
    <m/>
    <x v="0"/>
  </r>
  <r>
    <d v="2023-10-01T00:00:00"/>
    <x v="6"/>
    <m/>
    <m/>
    <m/>
    <x v="0"/>
  </r>
  <r>
    <d v="2023-10-01T00:00:00"/>
    <x v="7"/>
    <m/>
    <m/>
    <m/>
    <x v="0"/>
  </r>
  <r>
    <d v="2023-10-01T00:00:00"/>
    <x v="8"/>
    <n v="750.95500000000004"/>
    <n v="132450"/>
    <n v="5.6697244000000003E-3"/>
    <x v="0"/>
  </r>
  <r>
    <d v="2023-10-01T00:00:00"/>
    <x v="9"/>
    <m/>
    <m/>
    <m/>
    <x v="0"/>
  </r>
  <r>
    <d v="2023-10-01T00:00:00"/>
    <x v="10"/>
    <m/>
    <m/>
    <m/>
    <x v="0"/>
  </r>
  <r>
    <d v="2023-10-01T00:00:00"/>
    <x v="11"/>
    <n v="108.545"/>
    <n v="16000"/>
    <n v="6.7840625000000002E-3"/>
    <x v="0"/>
  </r>
  <r>
    <d v="2023-10-01T00:00:00"/>
    <x v="12"/>
    <m/>
    <n v="0"/>
    <m/>
    <x v="0"/>
  </r>
  <r>
    <d v="2023-10-01T00:00:00"/>
    <x v="13"/>
    <m/>
    <m/>
    <m/>
    <x v="0"/>
  </r>
  <r>
    <d v="2023-10-01T00:00:00"/>
    <x v="14"/>
    <m/>
    <m/>
    <m/>
    <x v="0"/>
  </r>
  <r>
    <d v="2023-10-01T00:00:00"/>
    <x v="15"/>
    <m/>
    <m/>
    <m/>
    <x v="0"/>
  </r>
  <r>
    <d v="2023-10-01T00:00:00"/>
    <x v="16"/>
    <m/>
    <m/>
    <m/>
    <x v="0"/>
  </r>
  <r>
    <d v="2023-10-01T00:00:00"/>
    <x v="17"/>
    <m/>
    <m/>
    <m/>
    <x v="0"/>
  </r>
  <r>
    <d v="2023-10-01T00:00:00"/>
    <x v="18"/>
    <m/>
    <m/>
    <m/>
    <x v="0"/>
  </r>
  <r>
    <d v="2023-10-01T00:00:00"/>
    <x v="19"/>
    <m/>
    <n v="264.17205200000001"/>
    <m/>
    <x v="0"/>
  </r>
  <r>
    <d v="2023-10-01T00:00:00"/>
    <x v="20"/>
    <n v="9.8378399999999999"/>
    <n v="3170.0646280000001"/>
    <n v="3.1033561999999999E-3"/>
    <x v="0"/>
  </r>
  <r>
    <d v="2023-10-01T00:00:00"/>
    <x v="21"/>
    <m/>
    <m/>
    <m/>
    <x v="0"/>
  </r>
  <r>
    <d v="2023-10-01T00:00:00"/>
    <x v="22"/>
    <m/>
    <n v="19449.350585"/>
    <m/>
    <x v="0"/>
  </r>
  <r>
    <d v="2023-10-01T00:00:00"/>
    <x v="23"/>
    <m/>
    <m/>
    <m/>
    <x v="0"/>
  </r>
  <r>
    <d v="2023-11-01T00:00:00"/>
    <x v="0"/>
    <m/>
    <n v="261431135.22890598"/>
    <m/>
    <x v="0"/>
  </r>
  <r>
    <d v="2023-11-01T00:00:00"/>
    <x v="1"/>
    <m/>
    <m/>
    <m/>
    <x v="0"/>
  </r>
  <r>
    <d v="2023-11-01T00:00:00"/>
    <x v="2"/>
    <m/>
    <m/>
    <m/>
    <x v="0"/>
  </r>
  <r>
    <d v="2023-11-01T00:00:00"/>
    <x v="3"/>
    <m/>
    <m/>
    <m/>
    <x v="0"/>
  </r>
  <r>
    <d v="2023-11-01T00:00:00"/>
    <x v="4"/>
    <n v="2671.65"/>
    <n v="210001"/>
    <n v="1.27220822E-2"/>
    <x v="0"/>
  </r>
  <r>
    <d v="2023-11-01T00:00:00"/>
    <x v="5"/>
    <m/>
    <m/>
    <m/>
    <x v="0"/>
  </r>
  <r>
    <d v="2023-11-01T00:00:00"/>
    <x v="6"/>
    <m/>
    <m/>
    <m/>
    <x v="0"/>
  </r>
  <r>
    <d v="2023-11-01T00:00:00"/>
    <x v="7"/>
    <m/>
    <m/>
    <m/>
    <x v="0"/>
  </r>
  <r>
    <d v="2023-11-01T00:00:00"/>
    <x v="8"/>
    <n v="844.23"/>
    <n v="148900"/>
    <n v="5.6697783E-3"/>
    <x v="0"/>
  </r>
  <r>
    <d v="2023-11-01T00:00:00"/>
    <x v="9"/>
    <m/>
    <m/>
    <m/>
    <x v="0"/>
  </r>
  <r>
    <d v="2023-11-01T00:00:00"/>
    <x v="10"/>
    <m/>
    <m/>
    <m/>
    <x v="0"/>
  </r>
  <r>
    <d v="2023-11-01T00:00:00"/>
    <x v="11"/>
    <n v="36745.915000000001"/>
    <n v="6863000"/>
    <n v="5.3542058000000002E-3"/>
    <x v="0"/>
  </r>
  <r>
    <d v="2023-11-01T00:00:00"/>
    <x v="12"/>
    <m/>
    <n v="0"/>
    <m/>
    <x v="0"/>
  </r>
  <r>
    <d v="2023-11-01T00:00:00"/>
    <x v="13"/>
    <m/>
    <m/>
    <m/>
    <x v="0"/>
  </r>
  <r>
    <d v="2023-11-01T00:00:00"/>
    <x v="14"/>
    <m/>
    <m/>
    <m/>
    <x v="0"/>
  </r>
  <r>
    <d v="2023-11-01T00:00:00"/>
    <x v="15"/>
    <m/>
    <m/>
    <m/>
    <x v="0"/>
  </r>
  <r>
    <d v="2023-11-01T00:00:00"/>
    <x v="16"/>
    <m/>
    <m/>
    <m/>
    <x v="0"/>
  </r>
  <r>
    <d v="2023-11-01T00:00:00"/>
    <x v="17"/>
    <m/>
    <m/>
    <m/>
    <x v="0"/>
  </r>
  <r>
    <d v="2023-11-01T00:00:00"/>
    <x v="18"/>
    <m/>
    <m/>
    <m/>
    <x v="0"/>
  </r>
  <r>
    <d v="2023-11-01T00:00:00"/>
    <x v="19"/>
    <m/>
    <n v="264.17205200000001"/>
    <m/>
    <x v="0"/>
  </r>
  <r>
    <d v="2023-11-01T00:00:00"/>
    <x v="20"/>
    <m/>
    <m/>
    <m/>
    <x v="0"/>
  </r>
  <r>
    <d v="2023-11-01T00:00:00"/>
    <x v="21"/>
    <m/>
    <n v="8740.9248680000001"/>
    <m/>
    <x v="0"/>
  </r>
  <r>
    <d v="2023-11-01T00:00:00"/>
    <x v="22"/>
    <n v="149.87662"/>
    <n v="4488.3116730000002"/>
    <n v="3.33926498E-2"/>
    <x v="0"/>
  </r>
  <r>
    <d v="2023-11-01T00:00:00"/>
    <x v="23"/>
    <m/>
    <m/>
    <m/>
    <x v="0"/>
  </r>
  <r>
    <d v="2023-12-01T00:00:00"/>
    <x v="0"/>
    <m/>
    <n v="250895610.35719502"/>
    <m/>
    <x v="0"/>
  </r>
  <r>
    <d v="2023-12-01T00:00:00"/>
    <x v="1"/>
    <m/>
    <m/>
    <m/>
    <x v="0"/>
  </r>
  <r>
    <d v="2023-12-01T00:00:00"/>
    <x v="2"/>
    <m/>
    <m/>
    <m/>
    <x v="0"/>
  </r>
  <r>
    <d v="2023-12-01T00:00:00"/>
    <x v="3"/>
    <m/>
    <m/>
    <m/>
    <x v="0"/>
  </r>
  <r>
    <d v="2023-12-01T00:00:00"/>
    <x v="4"/>
    <m/>
    <n v="174000"/>
    <m/>
    <x v="0"/>
  </r>
  <r>
    <d v="2023-12-01T00:00:00"/>
    <x v="5"/>
    <m/>
    <n v="148469047"/>
    <m/>
    <x v="0"/>
  </r>
  <r>
    <d v="2023-12-01T00:00:00"/>
    <x v="6"/>
    <m/>
    <n v="1600316377"/>
    <m/>
    <x v="0"/>
  </r>
  <r>
    <d v="2023-12-01T00:00:00"/>
    <x v="7"/>
    <m/>
    <m/>
    <m/>
    <x v="0"/>
  </r>
  <r>
    <d v="2023-12-01T00:00:00"/>
    <x v="8"/>
    <n v="844.23"/>
    <n v="148900"/>
    <n v="5.6697783E-3"/>
    <x v="0"/>
  </r>
  <r>
    <d v="2023-12-01T00:00:00"/>
    <x v="9"/>
    <m/>
    <m/>
    <m/>
    <x v="0"/>
  </r>
  <r>
    <d v="2023-12-01T00:00:00"/>
    <x v="10"/>
    <m/>
    <m/>
    <m/>
    <x v="0"/>
  </r>
  <r>
    <d v="2023-12-01T00:00:00"/>
    <x v="11"/>
    <n v="26479.764999999999"/>
    <n v="4940500"/>
    <n v="5.3597337999999996E-3"/>
    <x v="0"/>
  </r>
  <r>
    <d v="2023-12-01T00:00:00"/>
    <x v="12"/>
    <m/>
    <n v="198657.38337299999"/>
    <m/>
    <x v="0"/>
  </r>
  <r>
    <d v="2023-12-01T00:00:00"/>
    <x v="13"/>
    <n v="1017.265698"/>
    <n v="31964.818335"/>
    <n v="3.1824541800000002E-2"/>
    <x v="0"/>
  </r>
  <r>
    <d v="2023-12-01T00:00:00"/>
    <x v="14"/>
    <m/>
    <m/>
    <m/>
    <x v="0"/>
  </r>
  <r>
    <d v="2023-12-01T00:00:00"/>
    <x v="15"/>
    <m/>
    <m/>
    <m/>
    <x v="0"/>
  </r>
  <r>
    <d v="2023-12-01T00:00:00"/>
    <x v="16"/>
    <m/>
    <m/>
    <m/>
    <x v="0"/>
  </r>
  <r>
    <d v="2023-12-01T00:00:00"/>
    <x v="17"/>
    <m/>
    <m/>
    <m/>
    <x v="0"/>
  </r>
  <r>
    <d v="2023-12-01T00:00:00"/>
    <x v="18"/>
    <m/>
    <m/>
    <m/>
    <x v="0"/>
  </r>
  <r>
    <d v="2023-12-01T00:00:00"/>
    <x v="19"/>
    <n v="14.610149"/>
    <n v="0"/>
    <m/>
    <x v="0"/>
  </r>
  <r>
    <d v="2023-12-01T00:00:00"/>
    <x v="20"/>
    <m/>
    <m/>
    <m/>
    <x v="0"/>
  </r>
  <r>
    <d v="2023-12-01T00:00:00"/>
    <x v="21"/>
    <m/>
    <m/>
    <m/>
    <x v="0"/>
  </r>
  <r>
    <d v="2023-12-01T00:00:00"/>
    <x v="22"/>
    <m/>
    <n v="1496.103891"/>
    <m/>
    <x v="0"/>
  </r>
  <r>
    <d v="2023-12-01T00:00:00"/>
    <x v="23"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8">
  <r>
    <d v="2023-01-01T00:00:00"/>
    <x v="0"/>
    <s v="Farm"/>
    <x v="0"/>
    <x v="0"/>
    <s v="RUTA 60 Km 12220 - Aimogasta _x000a_"/>
    <s v="La Rioja"/>
    <s v="ARG"/>
    <s v="Argentina"/>
    <x v="0"/>
    <n v="11.528083000000001"/>
    <m/>
    <m/>
    <n v="2.698"/>
    <n v="2.6613639999999998"/>
    <n v="3.6391E-2"/>
    <n v="3.3300000000000002E-4"/>
    <n v="2.698"/>
    <n v="2.6613639999999998"/>
    <n v="3.6391E-2"/>
    <n v="3.3300000000000002E-4"/>
    <x v="0"/>
  </r>
  <r>
    <d v="2023-01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1-01T00:00:00"/>
    <x v="2"/>
    <s v="Farm"/>
    <x v="0"/>
    <x v="0"/>
    <s v="RUTA 60 Km 12220 - Aimogasta _x000a_"/>
    <s v="La Rioja"/>
    <s v="ARG"/>
    <s v="Argentina"/>
    <x v="0"/>
    <n v="3.5121799999999999"/>
    <n v="167.48"/>
    <m/>
    <n v="0.76100000000000001"/>
    <n v="0.75615100000000002"/>
    <n v="2.1949999999999999E-3"/>
    <n v="3.1150000000000001E-3"/>
    <n v="0.76100000000000001"/>
    <n v="0.75615100000000002"/>
    <n v="2.1949999999999999E-3"/>
    <n v="3.1150000000000001E-3"/>
    <x v="0"/>
  </r>
  <r>
    <d v="2023-01-01T00:00:00"/>
    <x v="3"/>
    <s v="Farm"/>
    <x v="0"/>
    <x v="0"/>
    <s v="RUTA 60 Km 12220 - Aimogasta _x000a_"/>
    <s v="La Rioja"/>
    <s v="ARG"/>
    <s v="Argentina"/>
    <x v="2"/>
    <n v="964.76"/>
    <m/>
    <m/>
    <n v="7.6630000000000003"/>
    <n v="7.6091170000000004"/>
    <n v="2.2083999999999999E-2"/>
    <n v="3.1343000000000003E-2"/>
    <n v="7.6630000000000003"/>
    <n v="7.6091170000000004"/>
    <n v="2.2083999999999999E-2"/>
    <n v="3.1343000000000003E-2"/>
    <x v="0"/>
  </r>
  <r>
    <d v="2023-02-01T00:00:00"/>
    <x v="0"/>
    <s v="Farm"/>
    <x v="0"/>
    <x v="0"/>
    <s v="RUTA 60 Km 12220 - Aimogasta _x000a_"/>
    <s v="La Rioja"/>
    <s v="ARG"/>
    <s v="Argentina"/>
    <x v="0"/>
    <n v="8.7450089999999996"/>
    <m/>
    <m/>
    <n v="2.0470000000000002"/>
    <n v="2.018866"/>
    <n v="2.7605999999999999E-2"/>
    <n v="2.52E-4"/>
    <n v="2.0470000000000002"/>
    <n v="2.018866"/>
    <n v="2.7605999999999999E-2"/>
    <n v="2.52E-4"/>
    <x v="0"/>
  </r>
  <r>
    <d v="2023-02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2-01T00:00:00"/>
    <x v="2"/>
    <s v="Farm"/>
    <x v="0"/>
    <x v="0"/>
    <s v="RUTA 60 Km 12220 - Aimogasta _x000a_"/>
    <s v="La Rioja"/>
    <s v="ARG"/>
    <s v="Argentina"/>
    <x v="0"/>
    <n v="3.7195399999999998"/>
    <n v="177.26"/>
    <m/>
    <n v="0.80600000000000005"/>
    <n v="0.80079500000000003"/>
    <n v="2.3240000000000001E-3"/>
    <n v="3.2989999999999998E-3"/>
    <n v="0.80600000000000005"/>
    <n v="0.80079500000000003"/>
    <n v="2.3240000000000001E-3"/>
    <n v="3.2989999999999998E-3"/>
    <x v="0"/>
  </r>
  <r>
    <d v="2023-02-01T00:00:00"/>
    <x v="3"/>
    <s v="Farm"/>
    <x v="0"/>
    <x v="0"/>
    <s v="RUTA 60 Km 12220 - Aimogasta _x000a_"/>
    <s v="La Rioja"/>
    <s v="ARG"/>
    <s v="Argentina"/>
    <x v="2"/>
    <n v="721.55"/>
    <m/>
    <m/>
    <n v="5.7309999999999999"/>
    <n v="5.690906"/>
    <n v="1.6515999999999999E-2"/>
    <n v="2.3442000000000001E-2"/>
    <n v="5.7309999999999999"/>
    <n v="5.690906"/>
    <n v="1.6515999999999999E-2"/>
    <n v="2.3442000000000001E-2"/>
    <x v="0"/>
  </r>
  <r>
    <d v="2023-03-01T00:00:00"/>
    <x v="0"/>
    <s v="Farm"/>
    <x v="0"/>
    <x v="0"/>
    <s v="RUTA 60 Km 12220 - Aimogasta _x000a_"/>
    <s v="La Rioja"/>
    <s v="ARG"/>
    <s v="Argentina"/>
    <x v="0"/>
    <n v="90.954515000000001"/>
    <m/>
    <m/>
    <n v="21.286999999999999"/>
    <n v="20.997689999999999"/>
    <n v="0.28711900000000001"/>
    <n v="2.6250000000000002E-3"/>
    <n v="21.286999999999999"/>
    <n v="20.997689999999999"/>
    <n v="0.28711900000000001"/>
    <n v="2.6250000000000002E-3"/>
    <x v="0"/>
  </r>
  <r>
    <d v="2023-03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3-01T00:00:00"/>
    <x v="2"/>
    <s v="Farm"/>
    <x v="0"/>
    <x v="0"/>
    <s v="RUTA 60 Km 12220 - Aimogasta _x000a_"/>
    <s v="La Rioja"/>
    <s v="ARG"/>
    <s v="Argentina"/>
    <x v="0"/>
    <n v="3.1327600000000002"/>
    <n v="182.48"/>
    <m/>
    <n v="0.67900000000000005"/>
    <n v="0.67446499999999998"/>
    <n v="1.957E-3"/>
    <n v="2.7780000000000001E-3"/>
    <n v="0.67900000000000005"/>
    <n v="0.67446499999999998"/>
    <n v="1.957E-3"/>
    <n v="2.7780000000000001E-3"/>
    <x v="0"/>
  </r>
  <r>
    <d v="2023-03-01T00:00:00"/>
    <x v="3"/>
    <s v="Farm"/>
    <x v="0"/>
    <x v="0"/>
    <s v="RUTA 60 Km 12220 - Aimogasta _x000a_"/>
    <s v="La Rioja"/>
    <s v="ARG"/>
    <s v="Argentina"/>
    <x v="2"/>
    <n v="1017.44"/>
    <m/>
    <m/>
    <n v="8.0809999999999995"/>
    <n v="8.0246069999999996"/>
    <n v="2.3289000000000001E-2"/>
    <n v="3.3055000000000001E-2"/>
    <n v="8.0809999999999995"/>
    <n v="8.0246069999999996"/>
    <n v="2.3289000000000001E-2"/>
    <n v="3.3055000000000001E-2"/>
    <x v="0"/>
  </r>
  <r>
    <d v="2023-04-01T00:00:00"/>
    <x v="0"/>
    <s v="Farm"/>
    <x v="0"/>
    <x v="0"/>
    <s v="RUTA 60 Km 12220 - Aimogasta _x000a_"/>
    <s v="La Rioja"/>
    <s v="ARG"/>
    <s v="Argentina"/>
    <x v="0"/>
    <n v="73.392017999999993"/>
    <m/>
    <m/>
    <n v="17.177"/>
    <n v="16.943225000000002"/>
    <n v="0.231679"/>
    <n v="2.1180000000000001E-3"/>
    <n v="17.177"/>
    <n v="16.943225000000002"/>
    <n v="0.231679"/>
    <n v="2.1180000000000001E-3"/>
    <x v="0"/>
  </r>
  <r>
    <d v="2023-04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4-01T00:00:00"/>
    <x v="2"/>
    <s v="Farm"/>
    <x v="0"/>
    <x v="0"/>
    <s v="RUTA 60 Km 12220 - Aimogasta _x000a_"/>
    <s v="La Rioja"/>
    <s v="ARG"/>
    <s v="Argentina"/>
    <x v="0"/>
    <n v="3.3208600000000001"/>
    <n v="193.9"/>
    <m/>
    <n v="0.72"/>
    <n v="0.71496099999999996"/>
    <n v="2.075E-3"/>
    <n v="2.9450000000000001E-3"/>
    <n v="0.72"/>
    <n v="0.71496099999999996"/>
    <n v="2.075E-3"/>
    <n v="2.9450000000000001E-3"/>
    <x v="0"/>
  </r>
  <r>
    <d v="2023-04-01T00:00:00"/>
    <x v="3"/>
    <s v="Farm"/>
    <x v="0"/>
    <x v="0"/>
    <s v="RUTA 60 Km 12220 - Aimogasta _x000a_"/>
    <s v="La Rioja"/>
    <s v="ARG"/>
    <s v="Argentina"/>
    <x v="2"/>
    <n v="1118.82"/>
    <m/>
    <m/>
    <n v="8.8859999999999992"/>
    <n v="8.8241969999999998"/>
    <n v="2.5610000000000001E-2"/>
    <n v="3.6347999999999998E-2"/>
    <n v="8.8859999999999992"/>
    <n v="8.8241969999999998"/>
    <n v="2.5610000000000001E-2"/>
    <n v="3.6347999999999998E-2"/>
    <x v="0"/>
  </r>
  <r>
    <d v="2023-05-01T00:00:00"/>
    <x v="0"/>
    <s v="Farm"/>
    <x v="0"/>
    <x v="0"/>
    <s v="RUTA 60 Km 12220 - Aimogasta _x000a_"/>
    <s v="La Rioja"/>
    <s v="ARG"/>
    <s v="Argentina"/>
    <x v="0"/>
    <n v="26.547276"/>
    <m/>
    <m/>
    <n v="6.2130000000000001"/>
    <n v="6.1286839999999998"/>
    <n v="8.3803000000000002E-2"/>
    <n v="7.6599999999999997E-4"/>
    <n v="6.2130000000000001"/>
    <n v="6.1286839999999998"/>
    <n v="8.3803000000000002E-2"/>
    <n v="7.6599999999999997E-4"/>
    <x v="0"/>
  </r>
  <r>
    <d v="2023-05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5-01T00:00:00"/>
    <x v="2"/>
    <s v="Farm"/>
    <x v="0"/>
    <x v="0"/>
    <s v="RUTA 60 Km 12220 - Aimogasta _x000a_"/>
    <s v="La Rioja"/>
    <s v="ARG"/>
    <s v="Argentina"/>
    <x v="0"/>
    <n v="3.54996"/>
    <n v="273.39"/>
    <m/>
    <n v="0.77"/>
    <n v="0.76428499999999999"/>
    <n v="2.2179999999999999E-3"/>
    <n v="3.1480000000000002E-3"/>
    <n v="0.77"/>
    <n v="0.76428499999999999"/>
    <n v="2.2179999999999999E-3"/>
    <n v="3.1480000000000002E-3"/>
    <x v="0"/>
  </r>
  <r>
    <d v="2023-05-01T00:00:00"/>
    <x v="3"/>
    <s v="Farm"/>
    <x v="0"/>
    <x v="0"/>
    <s v="RUTA 60 Km 12220 - Aimogasta _x000a_"/>
    <s v="La Rioja"/>
    <s v="ARG"/>
    <s v="Argentina"/>
    <x v="2"/>
    <n v="991.97"/>
    <m/>
    <m/>
    <n v="7.8789999999999996"/>
    <n v="7.8237240000000003"/>
    <n v="2.2706E-2"/>
    <n v="3.2226999999999999E-2"/>
    <n v="7.8789999999999996"/>
    <n v="7.8237240000000003"/>
    <n v="2.2706E-2"/>
    <n v="3.2226999999999999E-2"/>
    <x v="0"/>
  </r>
  <r>
    <d v="2023-06-01T00:00:00"/>
    <x v="0"/>
    <s v="Farm"/>
    <x v="0"/>
    <x v="0"/>
    <s v="RUTA 60 Km 12220 - Aimogasta _x000a_"/>
    <s v="La Rioja"/>
    <s v="ARG"/>
    <s v="Argentina"/>
    <x v="0"/>
    <n v="3.4300130000000002"/>
    <m/>
    <m/>
    <n v="0.80300000000000005"/>
    <n v="0.79185000000000005"/>
    <n v="1.0828000000000001E-2"/>
    <n v="9.8999999999999994E-5"/>
    <n v="0.80300000000000005"/>
    <n v="0.79185000000000005"/>
    <n v="1.0828000000000001E-2"/>
    <n v="9.8999999999999994E-5"/>
    <x v="0"/>
  </r>
  <r>
    <d v="2023-06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6-01T00:00:00"/>
    <x v="2"/>
    <s v="Farm"/>
    <x v="0"/>
    <x v="0"/>
    <s v="RUTA 60 Km 12220 - Aimogasta _x000a_"/>
    <s v="La Rioja"/>
    <s v="ARG"/>
    <s v="Argentina"/>
    <x v="0"/>
    <n v="5.2834599999999998"/>
    <n v="293.8"/>
    <m/>
    <n v="1.145"/>
    <n v="1.137497"/>
    <n v="3.3010000000000001E-3"/>
    <n v="4.6860000000000001E-3"/>
    <n v="1.145"/>
    <n v="1.137497"/>
    <n v="3.3010000000000001E-3"/>
    <n v="4.6860000000000001E-3"/>
    <x v="0"/>
  </r>
  <r>
    <d v="2023-06-01T00:00:00"/>
    <x v="3"/>
    <s v="Farm"/>
    <x v="0"/>
    <x v="0"/>
    <s v="RUTA 60 Km 12220 - Aimogasta _x000a_"/>
    <s v="La Rioja"/>
    <s v="ARG"/>
    <s v="Argentina"/>
    <x v="2"/>
    <n v="0"/>
    <m/>
    <m/>
    <n v="0"/>
    <n v="0"/>
    <n v="0"/>
    <n v="0"/>
    <n v="0"/>
    <n v="0"/>
    <n v="0"/>
    <n v="0"/>
    <x v="0"/>
  </r>
  <r>
    <d v="2023-07-01T00:00:00"/>
    <x v="0"/>
    <s v="Farm"/>
    <x v="0"/>
    <x v="0"/>
    <s v="RUTA 60 Km 12220 - Aimogasta _x000a_"/>
    <s v="La Rioja"/>
    <s v="ARG"/>
    <s v="Argentina"/>
    <x v="0"/>
    <n v="4.645937"/>
    <m/>
    <m/>
    <n v="1.087"/>
    <n v="1.072557"/>
    <n v="1.4666E-2"/>
    <n v="1.34E-4"/>
    <n v="1.087"/>
    <n v="1.072557"/>
    <n v="1.4666E-2"/>
    <n v="1.34E-4"/>
    <x v="0"/>
  </r>
  <r>
    <d v="2023-07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7-01T00:00:00"/>
    <x v="2"/>
    <s v="Farm"/>
    <x v="0"/>
    <x v="0"/>
    <s v="RUTA 60 Km 12220 - Aimogasta _x000a_"/>
    <s v="La Rioja"/>
    <s v="ARG"/>
    <s v="Argentina"/>
    <x v="0"/>
    <n v="6.6451399999999996"/>
    <n v="365.84"/>
    <m/>
    <n v="1.4410000000000001"/>
    <n v="1.4306589999999999"/>
    <n v="4.1520000000000003E-3"/>
    <n v="5.8929999999999998E-3"/>
    <n v="1.4410000000000001"/>
    <n v="1.4306589999999999"/>
    <n v="4.1520000000000003E-3"/>
    <n v="5.8929999999999998E-3"/>
    <x v="0"/>
  </r>
  <r>
    <d v="2023-07-01T00:00:00"/>
    <x v="3"/>
    <s v="Farm"/>
    <x v="0"/>
    <x v="0"/>
    <s v="RUTA 60 Km 12220 - Aimogasta _x000a_"/>
    <s v="La Rioja"/>
    <s v="ARG"/>
    <s v="Argentina"/>
    <x v="2"/>
    <n v="27.96"/>
    <m/>
    <m/>
    <n v="0.222"/>
    <n v="0.220522"/>
    <n v="6.4000000000000005E-4"/>
    <n v="9.0799999999999995E-4"/>
    <n v="0.222"/>
    <n v="0.220522"/>
    <n v="6.4000000000000005E-4"/>
    <n v="9.0799999999999995E-4"/>
    <x v="0"/>
  </r>
  <r>
    <d v="2023-08-01T00:00:00"/>
    <x v="0"/>
    <s v="Farm"/>
    <x v="0"/>
    <x v="0"/>
    <s v="RUTA 60 Km 12220 - Aimogasta _x000a_"/>
    <s v="La Rioja"/>
    <s v="ARG"/>
    <s v="Argentina"/>
    <x v="0"/>
    <n v="4.5616469999999998"/>
    <m/>
    <m/>
    <n v="1.0680000000000001"/>
    <n v="1.0530980000000001"/>
    <n v="1.44E-2"/>
    <n v="1.3200000000000001E-4"/>
    <n v="1.0680000000000001"/>
    <n v="1.0530980000000001"/>
    <n v="1.44E-2"/>
    <n v="1.3200000000000001E-4"/>
    <x v="0"/>
  </r>
  <r>
    <d v="2023-08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8-01T00:00:00"/>
    <x v="2"/>
    <s v="Farm"/>
    <x v="0"/>
    <x v="0"/>
    <s v="RUTA 60 Km 12220 - Aimogasta _x000a_"/>
    <s v="La Rioja"/>
    <s v="ARG"/>
    <s v="Argentina"/>
    <x v="0"/>
    <n v="6.7214600000000004"/>
    <n v="370.46"/>
    <m/>
    <n v="1.4570000000000001"/>
    <n v="1.44709"/>
    <n v="4.1999999999999997E-3"/>
    <n v="5.9610000000000002E-3"/>
    <n v="1.4570000000000001"/>
    <n v="1.44709"/>
    <n v="4.1999999999999997E-3"/>
    <n v="5.9610000000000002E-3"/>
    <x v="0"/>
  </r>
  <r>
    <d v="2023-08-01T00:00:00"/>
    <x v="3"/>
    <s v="Farm"/>
    <x v="0"/>
    <x v="0"/>
    <s v="RUTA 60 Km 12220 - Aimogasta _x000a_"/>
    <s v="La Rioja"/>
    <s v="ARG"/>
    <s v="Argentina"/>
    <x v="2"/>
    <n v="1.78"/>
    <m/>
    <m/>
    <n v="1.4E-2"/>
    <n v="1.4038999999999999E-2"/>
    <n v="4.1E-5"/>
    <n v="5.8E-5"/>
    <n v="1.4E-2"/>
    <n v="1.4038999999999999E-2"/>
    <n v="4.1E-5"/>
    <n v="5.8E-5"/>
    <x v="0"/>
  </r>
  <r>
    <d v="2023-09-01T00:00:00"/>
    <x v="0"/>
    <s v="Farm"/>
    <x v="0"/>
    <x v="0"/>
    <s v="RUTA 60 Km 12220 - Aimogasta _x000a_"/>
    <s v="La Rioja"/>
    <s v="ARG"/>
    <s v="Argentina"/>
    <x v="0"/>
    <n v="5.2271619999999999"/>
    <n v="481.26120400000002"/>
    <m/>
    <n v="1.2230000000000001"/>
    <n v="1.206739"/>
    <n v="1.6500999999999998E-2"/>
    <n v="1.5100000000000001E-4"/>
    <n v="1.2230000000000001"/>
    <n v="1.206739"/>
    <n v="1.6500999999999998E-2"/>
    <n v="1.5100000000000001E-4"/>
    <x v="0"/>
  </r>
  <r>
    <d v="2023-09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09-01T00:00:00"/>
    <x v="2"/>
    <s v="Farm"/>
    <x v="0"/>
    <x v="0"/>
    <s v="RUTA 60 Km 12220 - Aimogasta _x000a_"/>
    <s v="La Rioja"/>
    <s v="ARG"/>
    <s v="Argentina"/>
    <x v="0"/>
    <n v="6.6559999999999997"/>
    <m/>
    <m/>
    <n v="1.4430000000000001"/>
    <n v="1.4329970000000001"/>
    <n v="4.1590000000000004E-3"/>
    <n v="5.9030000000000003E-3"/>
    <n v="1.4430000000000001"/>
    <n v="1.4329970000000001"/>
    <n v="4.1590000000000004E-3"/>
    <n v="5.9030000000000003E-3"/>
    <x v="0"/>
  </r>
  <r>
    <d v="2023-09-01T00:00:00"/>
    <x v="3"/>
    <s v="Farm"/>
    <x v="0"/>
    <x v="0"/>
    <s v="RUTA 60 Km 12220 - Aimogasta _x000a_"/>
    <s v="La Rioja"/>
    <s v="ARG"/>
    <s v="Argentina"/>
    <x v="2"/>
    <n v="30"/>
    <m/>
    <m/>
    <n v="0.23799999999999999"/>
    <n v="0.23661199999999999"/>
    <n v="6.87E-4"/>
    <n v="9.7499999999999996E-4"/>
    <n v="0.23799999999999999"/>
    <n v="0.23661199999999999"/>
    <n v="6.87E-4"/>
    <n v="9.7499999999999996E-4"/>
    <x v="0"/>
  </r>
  <r>
    <d v="2023-10-01T00:00:00"/>
    <x v="0"/>
    <s v="Farm"/>
    <x v="0"/>
    <x v="0"/>
    <s v="RUTA 60 Km 12220 - Aimogasta _x000a_"/>
    <s v="La Rioja"/>
    <s v="ARG"/>
    <s v="Argentina"/>
    <x v="0"/>
    <n v="17.511278000000001"/>
    <m/>
    <m/>
    <n v="4.0979999999999999"/>
    <n v="4.0426399999999996"/>
    <n v="5.5278000000000001E-2"/>
    <n v="5.0500000000000002E-4"/>
    <n v="4.0979999999999999"/>
    <n v="4.0426399999999996"/>
    <n v="5.5278000000000001E-2"/>
    <n v="5.0500000000000002E-4"/>
    <x v="0"/>
  </r>
  <r>
    <d v="2023-10-01T00:00:00"/>
    <x v="1"/>
    <s v="Farm"/>
    <x v="0"/>
    <x v="0"/>
    <s v="RUTA 60 Km 12220 - Aimogasta _x000a_"/>
    <s v="La Rioja"/>
    <s v="ARG"/>
    <s v="Argentina"/>
    <x v="1"/>
    <n v="0.03"/>
    <n v="90160"/>
    <m/>
    <n v="0.03"/>
    <n v="0.03"/>
    <m/>
    <m/>
    <n v="0.03"/>
    <m/>
    <m/>
    <m/>
    <x v="0"/>
  </r>
  <r>
    <d v="2023-10-01T00:00:00"/>
    <x v="2"/>
    <s v="Farm"/>
    <x v="0"/>
    <x v="0"/>
    <s v="RUTA 60 Km 12220 - Aimogasta _x000a_"/>
    <s v="La Rioja"/>
    <s v="ARG"/>
    <s v="Argentina"/>
    <x v="0"/>
    <n v="3.9458799999999998"/>
    <n v="243.99"/>
    <m/>
    <n v="0.85499999999999998"/>
    <n v="0.84952399999999995"/>
    <n v="2.4659999999999999E-3"/>
    <n v="3.4989999999999999E-3"/>
    <n v="0.85499999999999998"/>
    <n v="0.84952399999999995"/>
    <n v="2.4659999999999999E-3"/>
    <n v="3.4989999999999999E-3"/>
    <x v="0"/>
  </r>
  <r>
    <d v="2023-10-01T00:00:00"/>
    <x v="3"/>
    <s v="Farm"/>
    <x v="0"/>
    <x v="0"/>
    <s v="RUTA 60 Km 12220 - Aimogasta _x000a_"/>
    <s v="La Rioja"/>
    <s v="ARG"/>
    <s v="Argentina"/>
    <x v="2"/>
    <n v="446.68"/>
    <m/>
    <m/>
    <n v="3.548"/>
    <n v="3.5229910000000002"/>
    <n v="1.0225E-2"/>
    <n v="1.4512000000000001E-2"/>
    <n v="3.548"/>
    <n v="3.5229910000000002"/>
    <n v="1.0225E-2"/>
    <n v="1.4512000000000001E-2"/>
    <x v="0"/>
  </r>
  <r>
    <d v="2023-11-01T00:00:00"/>
    <x v="0"/>
    <s v="Farm"/>
    <x v="0"/>
    <x v="0"/>
    <s v="RUTA 60 Km 12220 - Aimogasta _x000a_"/>
    <s v="La Rioja"/>
    <s v="ARG"/>
    <s v="Argentina"/>
    <x v="0"/>
    <n v="77.533826000000005"/>
    <m/>
    <m/>
    <n v="18.146000000000001"/>
    <n v="17.8994"/>
    <n v="0.244754"/>
    <n v="2.238E-3"/>
    <n v="18.146000000000001"/>
    <n v="17.8994"/>
    <n v="0.244754"/>
    <n v="2.238E-3"/>
    <x v="0"/>
  </r>
  <r>
    <d v="2023-11-01T00:00:00"/>
    <x v="1"/>
    <s v="Farm"/>
    <x v="0"/>
    <x v="0"/>
    <s v="RUTA 60 Km 12220 - Aimogasta _x000a_"/>
    <s v="La Rioja"/>
    <s v="ARG"/>
    <s v="Argentina"/>
    <x v="1"/>
    <n v="0.03"/>
    <m/>
    <m/>
    <n v="0.03"/>
    <n v="0.03"/>
    <m/>
    <m/>
    <n v="0.03"/>
    <m/>
    <m/>
    <m/>
    <x v="0"/>
  </r>
  <r>
    <d v="2023-11-01T00:00:00"/>
    <x v="2"/>
    <s v="Farm"/>
    <x v="0"/>
    <x v="0"/>
    <s v="RUTA 60 Km 12220 - Aimogasta _x000a_"/>
    <s v="La Rioja"/>
    <s v="ARG"/>
    <s v="Argentina"/>
    <x v="0"/>
    <n v="3.778"/>
    <m/>
    <m/>
    <n v="0.81899999999999995"/>
    <n v="0.81338100000000002"/>
    <n v="2.3609999999999998E-3"/>
    <n v="3.3500000000000001E-3"/>
    <n v="0.81899999999999995"/>
    <n v="0.81338100000000002"/>
    <n v="2.3609999999999998E-3"/>
    <n v="3.3500000000000001E-3"/>
    <x v="0"/>
  </r>
  <r>
    <d v="2023-11-01T00:00:00"/>
    <x v="3"/>
    <s v="Farm"/>
    <x v="0"/>
    <x v="0"/>
    <s v="RUTA 60 Km 12220 - Aimogasta _x000a_"/>
    <s v="La Rioja"/>
    <s v="ARG"/>
    <s v="Argentina"/>
    <x v="2"/>
    <n v="1471.23"/>
    <m/>
    <m/>
    <n v="11.685"/>
    <n v="11.603675000000001"/>
    <n v="3.3676999999999999E-2"/>
    <n v="4.7796999999999999E-2"/>
    <n v="11.685"/>
    <n v="11.603675000000001"/>
    <n v="3.3676999999999999E-2"/>
    <n v="4.7796999999999999E-2"/>
    <x v="0"/>
  </r>
  <r>
    <d v="2023-12-01T00:00:00"/>
    <x v="0"/>
    <s v="Farm"/>
    <x v="0"/>
    <x v="0"/>
    <s v="RUTA 60 Km 12220 - Aimogasta _x000a_"/>
    <s v="La Rioja"/>
    <s v="ARG"/>
    <s v="Argentina"/>
    <x v="0"/>
    <n v="19.47035"/>
    <m/>
    <m/>
    <n v="4.5570000000000004"/>
    <n v="4.49491"/>
    <n v="6.1462999999999997E-2"/>
    <n v="5.62E-4"/>
    <n v="4.5570000000000004"/>
    <n v="4.49491"/>
    <n v="6.1462999999999997E-2"/>
    <n v="5.62E-4"/>
    <x v="0"/>
  </r>
  <r>
    <d v="2023-12-01T00:00:00"/>
    <x v="1"/>
    <s v="Farm"/>
    <x v="0"/>
    <x v="0"/>
    <s v="RUTA 60 Km 12220 - Aimogasta _x000a_"/>
    <s v="La Rioja"/>
    <s v="ARG"/>
    <s v="Argentina"/>
    <x v="1"/>
    <n v="0.03"/>
    <n v="12499.199891"/>
    <m/>
    <n v="0.03"/>
    <n v="0.03"/>
    <m/>
    <m/>
    <n v="0.03"/>
    <m/>
    <m/>
    <m/>
    <x v="0"/>
  </r>
  <r>
    <d v="2023-12-01T00:00:00"/>
    <x v="2"/>
    <s v="Farm"/>
    <x v="0"/>
    <x v="0"/>
    <s v="RUTA 60 Km 12220 - Aimogasta _x000a_"/>
    <s v="La Rioja"/>
    <s v="ARG"/>
    <s v="Argentina"/>
    <x v="0"/>
    <n v="3.93"/>
    <m/>
    <m/>
    <n v="0.85199999999999998"/>
    <n v="0.84610600000000002"/>
    <n v="2.4559999999999998E-3"/>
    <n v="3.4849999999999998E-3"/>
    <n v="0.85199999999999998"/>
    <n v="0.84610600000000002"/>
    <n v="2.4559999999999998E-3"/>
    <n v="3.4849999999999998E-3"/>
    <x v="0"/>
  </r>
  <r>
    <d v="2023-12-01T00:00:00"/>
    <x v="3"/>
    <s v="Farm"/>
    <x v="0"/>
    <x v="0"/>
    <s v="RUTA 60 Km 12220 - Aimogasta _x000a_"/>
    <s v="La Rioja"/>
    <s v="ARG"/>
    <s v="Argentina"/>
    <x v="2"/>
    <n v="514.41"/>
    <m/>
    <m/>
    <n v="4.0860000000000003"/>
    <n v="4.0571809999999999"/>
    <n v="1.1775000000000001E-2"/>
    <n v="1.6712000000000001E-2"/>
    <n v="4.0860000000000003"/>
    <n v="4.0571809999999999"/>
    <n v="1.1775000000000001E-2"/>
    <n v="1.6712000000000001E-2"/>
    <x v="0"/>
  </r>
  <r>
    <d v="2022-01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2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3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4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5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6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7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8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9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10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11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12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3-01-01T00:00:00"/>
    <x v="4"/>
    <s v="Farm"/>
    <x v="0"/>
    <x v="1"/>
    <s v="RUTA 60 Km 12220 - Aimogasta _x000a_"/>
    <s v="La Rioja"/>
    <s v="ARG"/>
    <s v="Argentina"/>
    <x v="0"/>
    <n v="593.154"/>
    <m/>
    <m/>
    <n v="183.4"/>
    <n v="182.81006300000001"/>
    <n v="0.32548100000000002"/>
    <n v="0.26478400000000002"/>
    <n v="183.4"/>
    <n v="182.81006300000001"/>
    <n v="0.32548100000000002"/>
    <n v="0.26478400000000002"/>
    <x v="0"/>
  </r>
  <r>
    <d v="2023-02-01T00:00:00"/>
    <x v="4"/>
    <s v="Farm"/>
    <x v="0"/>
    <x v="1"/>
    <s v="RUTA 60 Km 12220 - Aimogasta _x000a_"/>
    <s v="La Rioja"/>
    <s v="ARG"/>
    <s v="Argentina"/>
    <x v="0"/>
    <n v="517.39200000000005"/>
    <m/>
    <m/>
    <n v="159.97499999999999"/>
    <n v="159.46021400000001"/>
    <n v="0.28390900000000002"/>
    <n v="0.230964"/>
    <n v="159.97499999999999"/>
    <n v="159.46021400000001"/>
    <n v="0.28390900000000002"/>
    <n v="0.230964"/>
    <x v="0"/>
  </r>
  <r>
    <d v="2023-03-01T00:00:00"/>
    <x v="4"/>
    <s v="Farm"/>
    <x v="0"/>
    <x v="1"/>
    <s v="RUTA 60 Km 12220 - Aimogasta _x000a_"/>
    <s v="La Rioja"/>
    <s v="ARG"/>
    <s v="Argentina"/>
    <x v="0"/>
    <n v="382.36700000000002"/>
    <m/>
    <m/>
    <n v="118.226"/>
    <n v="117.84550900000001"/>
    <n v="0.209816"/>
    <n v="0.17068900000000001"/>
    <n v="118.226"/>
    <n v="117.84550900000001"/>
    <n v="0.209816"/>
    <n v="0.17068900000000001"/>
    <x v="0"/>
  </r>
  <r>
    <d v="2023-04-01T00:00:00"/>
    <x v="4"/>
    <s v="Farm"/>
    <x v="0"/>
    <x v="1"/>
    <s v="RUTA 60 Km 12220 - Aimogasta _x000a_"/>
    <s v="La Rioja"/>
    <s v="ARG"/>
    <s v="Argentina"/>
    <x v="0"/>
    <n v="251.571"/>
    <m/>
    <m/>
    <n v="77.784999999999997"/>
    <n v="77.534182000000001"/>
    <n v="0.138045"/>
    <n v="0.112301"/>
    <n v="77.784999999999997"/>
    <n v="77.534182000000001"/>
    <n v="0.138045"/>
    <n v="0.112301"/>
    <x v="0"/>
  </r>
  <r>
    <d v="2023-05-01T00:00:00"/>
    <x v="4"/>
    <s v="Farm"/>
    <x v="0"/>
    <x v="1"/>
    <s v="RUTA 60 Km 12220 - Aimogasta _x000a_"/>
    <s v="La Rioja"/>
    <s v="ARG"/>
    <s v="Argentina"/>
    <x v="0"/>
    <n v="31.783000000000001"/>
    <m/>
    <m/>
    <n v="9.827"/>
    <n v="9.7955210000000008"/>
    <n v="1.7440000000000001E-2"/>
    <n v="1.4187999999999999E-2"/>
    <n v="9.827"/>
    <n v="9.7955210000000008"/>
    <n v="1.7440000000000001E-2"/>
    <n v="1.4187999999999999E-2"/>
    <x v="0"/>
  </r>
  <r>
    <d v="2023-06-01T00:00:00"/>
    <x v="4"/>
    <s v="Farm"/>
    <x v="0"/>
    <x v="1"/>
    <s v="RUTA 60 Km 12220 - Aimogasta _x000a_"/>
    <s v="La Rioja"/>
    <s v="ARG"/>
    <s v="Argentina"/>
    <x v="0"/>
    <n v="26.027999999999999"/>
    <m/>
    <m/>
    <n v="8.048"/>
    <n v="8.0218299999999996"/>
    <n v="1.4282E-2"/>
    <n v="1.1619000000000001E-2"/>
    <n v="8.048"/>
    <n v="8.0218299999999996"/>
    <n v="1.4282E-2"/>
    <n v="1.1619000000000001E-2"/>
    <x v="0"/>
  </r>
  <r>
    <d v="2023-07-01T00:00:00"/>
    <x v="4"/>
    <s v="Farm"/>
    <x v="0"/>
    <x v="1"/>
    <s v="RUTA 60 Km 12220 - Aimogasta _x000a_"/>
    <s v="La Rioja"/>
    <s v="ARG"/>
    <s v="Argentina"/>
    <x v="0"/>
    <n v="391.86500000000001"/>
    <m/>
    <m/>
    <n v="121.163"/>
    <n v="120.77279299999999"/>
    <n v="0.215028"/>
    <n v="0.174929"/>
    <n v="121.163"/>
    <n v="120.77279299999999"/>
    <n v="0.215028"/>
    <n v="0.174929"/>
    <x v="0"/>
  </r>
  <r>
    <d v="2023-08-01T00:00:00"/>
    <x v="4"/>
    <s v="Farm"/>
    <x v="0"/>
    <x v="1"/>
    <s v="RUTA 60 Km 12220 - Aimogasta _x000a_"/>
    <s v="La Rioja"/>
    <s v="ARG"/>
    <s v="Argentina"/>
    <x v="0"/>
    <n v="723.61599999999999"/>
    <m/>
    <m/>
    <n v="223.739"/>
    <n v="223.018451"/>
    <n v="0.39706999999999998"/>
    <n v="0.32302199999999998"/>
    <n v="223.739"/>
    <n v="223.018451"/>
    <n v="0.39706999999999998"/>
    <n v="0.32302199999999998"/>
    <x v="0"/>
  </r>
  <r>
    <d v="2023-09-01T00:00:00"/>
    <x v="4"/>
    <s v="Farm"/>
    <x v="0"/>
    <x v="1"/>
    <s v="RUTA 60 Km 12220 - Aimogasta _x000a_"/>
    <s v="La Rioja"/>
    <s v="ARG"/>
    <s v="Argentina"/>
    <x v="0"/>
    <n v="670.55899999999997"/>
    <m/>
    <m/>
    <n v="207.334"/>
    <n v="206.66628399999999"/>
    <n v="0.36795600000000001"/>
    <n v="0.29933799999999999"/>
    <n v="207.334"/>
    <n v="206.66628399999999"/>
    <n v="0.36795600000000001"/>
    <n v="0.29933799999999999"/>
    <x v="0"/>
  </r>
  <r>
    <d v="2023-10-01T00:00:00"/>
    <x v="4"/>
    <s v="Farm"/>
    <x v="0"/>
    <x v="1"/>
    <s v="RUTA 60 Km 12220 - Aimogasta _x000a_"/>
    <s v="La Rioja"/>
    <s v="ARG"/>
    <s v="Argentina"/>
    <x v="0"/>
    <n v="651.66899999999998"/>
    <m/>
    <m/>
    <n v="201.49299999999999"/>
    <n v="200.84438599999999"/>
    <n v="0.35759000000000002"/>
    <n v="0.29090500000000002"/>
    <n v="201.49299999999999"/>
    <n v="200.84438599999999"/>
    <n v="0.35759000000000002"/>
    <n v="0.29090500000000002"/>
    <x v="0"/>
  </r>
  <r>
    <d v="2023-11-01T00:00:00"/>
    <x v="4"/>
    <s v="Farm"/>
    <x v="0"/>
    <x v="1"/>
    <s v="RUTA 60 Km 12220 - Aimogasta _x000a_"/>
    <s v="La Rioja"/>
    <s v="ARG"/>
    <s v="Argentina"/>
    <x v="0"/>
    <n v="696.89599999999996"/>
    <m/>
    <m/>
    <n v="215.477"/>
    <n v="214.78334699999999"/>
    <n v="0.38240800000000003"/>
    <n v="0.31109399999999998"/>
    <n v="215.477"/>
    <n v="214.78334699999999"/>
    <n v="0.38240800000000003"/>
    <n v="0.31109399999999998"/>
    <x v="0"/>
  </r>
  <r>
    <d v="2023-12-01T00:00:00"/>
    <x v="4"/>
    <s v="Farm"/>
    <x v="0"/>
    <x v="1"/>
    <s v="RUTA 60 Km 12220 - Aimogasta _x000a_"/>
    <s v="La Rioja"/>
    <s v="ARG"/>
    <s v="Argentina"/>
    <x v="0"/>
    <n v="669.93"/>
    <n v="59395.022322999997"/>
    <m/>
    <n v="207.13900000000001"/>
    <n v="206.47242600000001"/>
    <n v="0.36761100000000002"/>
    <n v="0.29905700000000002"/>
    <n v="207.13900000000001"/>
    <n v="206.47242600000001"/>
    <n v="0.36761100000000002"/>
    <n v="0.29905700000000002"/>
    <x v="0"/>
  </r>
  <r>
    <d v="2023-01-01T00:00:00"/>
    <x v="0"/>
    <s v="Office"/>
    <x v="1"/>
    <x v="0"/>
    <s v="C/Tanger 86"/>
    <s v="Barcelona"/>
    <s v="ESP"/>
    <s v="Spain"/>
    <x v="0"/>
    <n v="15.018001"/>
    <m/>
    <s v=""/>
    <n v="3.5150000000000001"/>
    <n v="3.467044"/>
    <n v="4.7407999999999999E-2"/>
    <n v="4.3300000000000001E-4"/>
    <n v="3.5150000000000001"/>
    <n v="3.467044"/>
    <n v="4.7407999999999999E-2"/>
    <n v="4.3300000000000001E-4"/>
    <x v="0"/>
  </r>
  <r>
    <d v="2023-01-01T00:00:00"/>
    <x v="5"/>
    <s v="Office"/>
    <x v="1"/>
    <x v="0"/>
    <s v="C/Tanger 86"/>
    <s v="Barcelona"/>
    <s v="ESP"/>
    <s v="Spain"/>
    <x v="0"/>
    <n v="1.2180500000000001"/>
    <n v="293.20999999999998"/>
    <s v=""/>
    <n v="0.309"/>
    <n v="0.30513899999999999"/>
    <n v="3.2420000000000001E-3"/>
    <n v="3.7500000000000001E-4"/>
    <n v="0.309"/>
    <n v="0.30513899999999999"/>
    <n v="3.2420000000000001E-3"/>
    <n v="3.7500000000000001E-4"/>
    <x v="0"/>
  </r>
  <r>
    <d v="2023-01-01T00:00:00"/>
    <x v="2"/>
    <s v="Office"/>
    <x v="1"/>
    <x v="0"/>
    <s v="C/Tanger 86"/>
    <s v="Barcelona"/>
    <s v="ESP"/>
    <s v="Spain"/>
    <x v="0"/>
    <n v="4.6930500000000004"/>
    <n v="785"/>
    <s v=""/>
    <n v="1.0169999999999999"/>
    <n v="1.010386"/>
    <n v="2.9320000000000001E-3"/>
    <n v="4.1619999999999999E-3"/>
    <n v="1.0169999999999999"/>
    <n v="1.010386"/>
    <n v="2.9320000000000001E-3"/>
    <n v="4.1619999999999999E-3"/>
    <x v="0"/>
  </r>
  <r>
    <d v="2023-01-01T00:00:00"/>
    <x v="6"/>
    <s v="Office"/>
    <x v="1"/>
    <x v="0"/>
    <s v="C/Tanger 86"/>
    <s v="Barcelona"/>
    <s v="ESP"/>
    <s v="Spain"/>
    <x v="0"/>
    <n v="6.1645000000000003"/>
    <n v="1065.2"/>
    <s v=""/>
    <n v="1.3360000000000001"/>
    <n v="1.32718"/>
    <n v="3.852E-3"/>
    <n v="5.4669999999999996E-3"/>
    <n v="1.3360000000000001"/>
    <n v="1.32718"/>
    <n v="3.852E-3"/>
    <n v="5.4669999999999996E-3"/>
    <x v="0"/>
  </r>
  <r>
    <d v="2023-01-01T00:00:00"/>
    <x v="7"/>
    <s v="Office"/>
    <x v="1"/>
    <x v="0"/>
    <s v="C/Tanger 86"/>
    <s v="Barcelona"/>
    <s v="ESP"/>
    <s v="Spain"/>
    <x v="0"/>
    <n v="2.3969999999999998"/>
    <m/>
    <s v=""/>
    <n v="0.52600000000000002"/>
    <n v="0.52530900000000003"/>
    <n v="3.01E-4"/>
    <n v="4.8700000000000002E-4"/>
    <n v="0.52600000000000002"/>
    <n v="0.52530900000000003"/>
    <n v="3.01E-4"/>
    <n v="4.8700000000000002E-4"/>
    <x v="0"/>
  </r>
  <r>
    <d v="2023-01-01T00:00:00"/>
    <x v="8"/>
    <s v="Office"/>
    <x v="1"/>
    <x v="0"/>
    <s v="C/Tanger 86"/>
    <s v="Barcelona"/>
    <s v="ESP"/>
    <s v="Spain"/>
    <x v="0"/>
    <n v="11.0824"/>
    <m/>
    <s v=""/>
    <n v="2.0089999999999999"/>
    <n v="2.0064489999999999"/>
    <n v="1.0319999999999999E-3"/>
    <n v="1.127E-3"/>
    <n v="2.0089999999999999"/>
    <n v="2.0064489999999999"/>
    <n v="1.0319999999999999E-3"/>
    <n v="1.127E-3"/>
    <x v="0"/>
  </r>
  <r>
    <d v="2023-02-01T00:00:00"/>
    <x v="0"/>
    <s v="Office"/>
    <x v="1"/>
    <x v="0"/>
    <s v="C/Tanger 86"/>
    <s v="Barcelona"/>
    <s v="ESP"/>
    <s v="Spain"/>
    <x v="0"/>
    <n v="13.615000999999999"/>
    <m/>
    <s v=""/>
    <n v="3.1869999999999998"/>
    <n v="3.1431490000000002"/>
    <n v="4.2979000000000003E-2"/>
    <n v="3.9300000000000001E-4"/>
    <n v="3.1869999999999998"/>
    <n v="3.1431490000000002"/>
    <n v="4.2979000000000003E-2"/>
    <n v="3.9300000000000001E-4"/>
    <x v="0"/>
  </r>
  <r>
    <d v="2023-02-01T00:00:00"/>
    <x v="5"/>
    <s v="Office"/>
    <x v="1"/>
    <x v="0"/>
    <s v="C/Tanger 86"/>
    <s v="Barcelona"/>
    <s v="ESP"/>
    <s v="Spain"/>
    <x v="0"/>
    <n v="1.5672999999999999"/>
    <n v="353.15"/>
    <s v=""/>
    <n v="0.39700000000000002"/>
    <n v="0.39263100000000001"/>
    <n v="4.1710000000000002E-3"/>
    <n v="4.8299999999999998E-4"/>
    <n v="0.39700000000000002"/>
    <n v="0.39263100000000001"/>
    <n v="4.1710000000000002E-3"/>
    <n v="4.8299999999999998E-4"/>
    <x v="0"/>
  </r>
  <r>
    <d v="2023-02-01T00:00:00"/>
    <x v="2"/>
    <s v="Office"/>
    <x v="1"/>
    <x v="0"/>
    <s v="C/Tanger 86"/>
    <s v="Barcelona"/>
    <s v="ESP"/>
    <s v="Spain"/>
    <x v="0"/>
    <n v="4.5551500000000003"/>
    <n v="761.27"/>
    <s v=""/>
    <n v="0.98799999999999999"/>
    <n v="0.98069700000000004"/>
    <n v="2.846E-3"/>
    <n v="4.0400000000000002E-3"/>
    <n v="0.98799999999999999"/>
    <n v="0.98069700000000004"/>
    <n v="2.846E-3"/>
    <n v="4.0400000000000002E-3"/>
    <x v="0"/>
  </r>
  <r>
    <d v="2023-02-01T00:00:00"/>
    <x v="6"/>
    <s v="Office"/>
    <x v="1"/>
    <x v="0"/>
    <s v="C/Tanger 86"/>
    <s v="Barcelona"/>
    <s v="ESP"/>
    <s v="Spain"/>
    <x v="0"/>
    <n v="6.38795"/>
    <n v="1089.45"/>
    <s v=""/>
    <n v="1.385"/>
    <n v="1.3752880000000001"/>
    <n v="3.9909999999999998E-3"/>
    <n v="5.6649999999999999E-3"/>
    <n v="1.385"/>
    <n v="1.3752880000000001"/>
    <n v="3.9909999999999998E-3"/>
    <n v="5.6649999999999999E-3"/>
    <x v="0"/>
  </r>
  <r>
    <d v="2023-02-01T00:00:00"/>
    <x v="7"/>
    <s v="Office"/>
    <x v="1"/>
    <x v="0"/>
    <s v="C/Tanger 86"/>
    <s v="Barcelona"/>
    <s v="ESP"/>
    <s v="Spain"/>
    <x v="0"/>
    <n v="2.8290000000000002"/>
    <m/>
    <s v=""/>
    <n v="0.621"/>
    <n v="0.61998299999999995"/>
    <n v="3.5500000000000001E-4"/>
    <n v="5.7499999999999999E-4"/>
    <n v="0.621"/>
    <n v="0.61998299999999995"/>
    <n v="3.5500000000000001E-4"/>
    <n v="5.7499999999999999E-4"/>
    <x v="0"/>
  </r>
  <r>
    <d v="2023-02-01T00:00:00"/>
    <x v="8"/>
    <s v="Office"/>
    <x v="1"/>
    <x v="0"/>
    <s v="C/Tanger 86"/>
    <s v="Barcelona"/>
    <s v="ESP"/>
    <s v="Spain"/>
    <x v="0"/>
    <n v="13.0648"/>
    <m/>
    <s v=""/>
    <n v="2.3679999999999999"/>
    <n v="2.3653590000000002"/>
    <n v="1.217E-3"/>
    <n v="1.328E-3"/>
    <n v="2.3679999999999999"/>
    <n v="2.3653590000000002"/>
    <n v="1.217E-3"/>
    <n v="1.328E-3"/>
    <x v="0"/>
  </r>
  <r>
    <d v="2023-03-01T00:00:00"/>
    <x v="0"/>
    <s v="Office"/>
    <x v="1"/>
    <x v="0"/>
    <s v="C/Tanger 86"/>
    <s v="Barcelona"/>
    <s v="ESP"/>
    <s v="Spain"/>
    <x v="0"/>
    <n v="13.696001000000001"/>
    <m/>
    <s v=""/>
    <n v="3.2050000000000001"/>
    <n v="3.161848"/>
    <n v="4.3235000000000003E-2"/>
    <n v="3.9500000000000001E-4"/>
    <n v="3.2050000000000001"/>
    <n v="3.161848"/>
    <n v="4.3235000000000003E-2"/>
    <n v="3.9500000000000001E-4"/>
    <x v="0"/>
  </r>
  <r>
    <d v="2023-03-01T00:00:00"/>
    <x v="5"/>
    <s v="Office"/>
    <x v="1"/>
    <x v="0"/>
    <s v="C/Tanger 86"/>
    <s v="Barcelona"/>
    <s v="ESP"/>
    <s v="Spain"/>
    <x v="0"/>
    <n v="1.2517499999999999"/>
    <n v="303.83"/>
    <s v=""/>
    <n v="0.317"/>
    <n v="0.313581"/>
    <n v="3.3310000000000002E-3"/>
    <n v="3.86E-4"/>
    <n v="0.317"/>
    <n v="0.313581"/>
    <n v="3.3310000000000002E-3"/>
    <n v="3.86E-4"/>
    <x v="0"/>
  </r>
  <r>
    <d v="2023-03-01T00:00:00"/>
    <x v="2"/>
    <s v="Office"/>
    <x v="1"/>
    <x v="0"/>
    <s v="C/Tanger 86"/>
    <s v="Barcelona"/>
    <s v="ESP"/>
    <s v="Spain"/>
    <x v="0"/>
    <n v="4.8624000000000001"/>
    <n v="812.49"/>
    <s v=""/>
    <n v="1.054"/>
    <n v="1.0468459999999999"/>
    <n v="3.0379999999999999E-3"/>
    <n v="4.3119999999999999E-3"/>
    <n v="1.054"/>
    <n v="1.0468459999999999"/>
    <n v="3.0379999999999999E-3"/>
    <n v="4.3119999999999999E-3"/>
    <x v="0"/>
  </r>
  <r>
    <d v="2023-03-01T00:00:00"/>
    <x v="6"/>
    <s v="Office"/>
    <x v="1"/>
    <x v="0"/>
    <s v="C/Tanger 86"/>
    <s v="Barcelona"/>
    <s v="ESP"/>
    <s v="Spain"/>
    <x v="0"/>
    <n v="5.5232999999999999"/>
    <n v="983.84"/>
    <s v=""/>
    <n v="1.1970000000000001"/>
    <n v="1.1891339999999999"/>
    <n v="3.4510000000000001E-3"/>
    <n v="4.8979999999999996E-3"/>
    <n v="1.1970000000000001"/>
    <n v="1.1891339999999999"/>
    <n v="3.4510000000000001E-3"/>
    <n v="4.8979999999999996E-3"/>
    <x v="0"/>
  </r>
  <r>
    <d v="2023-03-01T00:00:00"/>
    <x v="7"/>
    <s v="Office"/>
    <x v="1"/>
    <x v="0"/>
    <s v="C/Tanger 86"/>
    <s v="Barcelona"/>
    <s v="ESP"/>
    <s v="Spain"/>
    <x v="0"/>
    <n v="4.3230000000000004"/>
    <m/>
    <s v=""/>
    <n v="0.94899999999999995"/>
    <n v="0.94739700000000004"/>
    <n v="5.4199999999999995E-4"/>
    <n v="8.7900000000000001E-4"/>
    <n v="0.94899999999999995"/>
    <n v="0.94739700000000004"/>
    <n v="5.4199999999999995E-4"/>
    <n v="8.7900000000000001E-4"/>
    <x v="0"/>
  </r>
  <r>
    <d v="2023-03-01T00:00:00"/>
    <x v="8"/>
    <s v="Office"/>
    <x v="1"/>
    <x v="0"/>
    <s v="C/Tanger 86"/>
    <s v="Barcelona"/>
    <s v="ESP"/>
    <s v="Spain"/>
    <x v="0"/>
    <n v="12.6408"/>
    <m/>
    <s v=""/>
    <n v="2.2909999999999999"/>
    <n v="2.2885949999999999"/>
    <n v="1.178E-3"/>
    <n v="1.2849999999999999E-3"/>
    <n v="2.2909999999999999"/>
    <n v="2.2885949999999999"/>
    <n v="1.1770000000000001E-3"/>
    <n v="1.2849999999999999E-3"/>
    <x v="0"/>
  </r>
  <r>
    <d v="2023-04-01T00:00:00"/>
    <x v="0"/>
    <s v="Office"/>
    <x v="1"/>
    <x v="0"/>
    <s v="C/Tanger 86"/>
    <s v="Barcelona"/>
    <s v="ESP"/>
    <s v="Spain"/>
    <x v="0"/>
    <n v="9.8670010000000001"/>
    <m/>
    <s v=""/>
    <n v="2.3090000000000002"/>
    <n v="2.2778879999999999"/>
    <n v="3.1147000000000001E-2"/>
    <n v="2.8499999999999999E-4"/>
    <n v="2.3090000000000002"/>
    <n v="2.2778879999999999"/>
    <n v="3.1147000000000001E-2"/>
    <n v="2.8499999999999999E-4"/>
    <x v="0"/>
  </r>
  <r>
    <d v="2023-04-01T00:00:00"/>
    <x v="5"/>
    <s v="Office"/>
    <x v="1"/>
    <x v="0"/>
    <s v="C/Tanger 86"/>
    <s v="Barcelona"/>
    <s v="ESP"/>
    <s v="Spain"/>
    <x v="0"/>
    <n v="1.0416000000000001"/>
    <n v="280.89999999999998"/>
    <s v=""/>
    <n v="0.26400000000000001"/>
    <n v="0.260936"/>
    <n v="2.7720000000000002E-3"/>
    <n v="3.21E-4"/>
    <n v="0.26400000000000001"/>
    <n v="0.260936"/>
    <n v="2.7720000000000002E-3"/>
    <n v="3.21E-4"/>
    <x v="0"/>
  </r>
  <r>
    <d v="2023-04-01T00:00:00"/>
    <x v="2"/>
    <s v="Office"/>
    <x v="1"/>
    <x v="0"/>
    <s v="C/Tanger 86"/>
    <s v="Barcelona"/>
    <s v="ESP"/>
    <s v="Spain"/>
    <x v="0"/>
    <n v="4.2225999999999999"/>
    <n v="713.24"/>
    <s v=""/>
    <n v="0.91500000000000004"/>
    <n v="0.90910100000000005"/>
    <n v="2.6380000000000002E-3"/>
    <n v="3.7450000000000001E-3"/>
    <n v="0.91500000000000004"/>
    <n v="0.90910100000000005"/>
    <n v="2.6380000000000002E-3"/>
    <n v="3.7450000000000001E-3"/>
    <x v="0"/>
  </r>
  <r>
    <d v="2023-04-01T00:00:00"/>
    <x v="6"/>
    <s v="Office"/>
    <x v="1"/>
    <x v="0"/>
    <s v="C/Tanger 86"/>
    <s v="Barcelona"/>
    <s v="ESP"/>
    <s v="Spain"/>
    <x v="0"/>
    <n v="4.5052500000000002"/>
    <n v="813.37"/>
    <s v=""/>
    <n v="0.97699999999999998"/>
    <n v="0.96995299999999995"/>
    <n v="2.8149999999999998E-3"/>
    <n v="3.9950000000000003E-3"/>
    <n v="0.97699999999999998"/>
    <n v="0.96995299999999995"/>
    <n v="2.8149999999999998E-3"/>
    <n v="3.9950000000000003E-3"/>
    <x v="0"/>
  </r>
  <r>
    <d v="2023-04-01T00:00:00"/>
    <x v="7"/>
    <s v="Office"/>
    <x v="1"/>
    <x v="0"/>
    <s v="C/Tanger 86"/>
    <s v="Barcelona"/>
    <s v="ESP"/>
    <s v="Spain"/>
    <x v="0"/>
    <n v="3.5249999999999999"/>
    <m/>
    <s v=""/>
    <n v="0.77400000000000002"/>
    <n v="0.77251300000000001"/>
    <n v="4.4200000000000001E-4"/>
    <n v="7.1699999999999997E-4"/>
    <n v="0.77400000000000002"/>
    <n v="0.77251300000000001"/>
    <n v="4.4200000000000001E-4"/>
    <n v="7.1699999999999997E-4"/>
    <x v="0"/>
  </r>
  <r>
    <d v="2023-04-01T00:00:00"/>
    <x v="8"/>
    <s v="Office"/>
    <x v="1"/>
    <x v="0"/>
    <s v="C/Tanger 86"/>
    <s v="Barcelona"/>
    <s v="ESP"/>
    <s v="Spain"/>
    <x v="0"/>
    <n v="11.234400000000001"/>
    <m/>
    <s v=""/>
    <n v="2.036"/>
    <n v="2.0339680000000002"/>
    <n v="1.0460000000000001E-3"/>
    <n v="1.142E-3"/>
    <n v="2.036"/>
    <n v="2.0339680000000002"/>
    <n v="1.0460000000000001E-3"/>
    <n v="1.142E-3"/>
    <x v="0"/>
  </r>
  <r>
    <d v="2023-05-01T00:00:00"/>
    <x v="0"/>
    <s v="Office"/>
    <x v="1"/>
    <x v="0"/>
    <s v="C/Tanger 86"/>
    <s v="Barcelona"/>
    <s v="ESP"/>
    <s v="Spain"/>
    <x v="0"/>
    <n v="11.255001"/>
    <m/>
    <s v=""/>
    <n v="2.6339999999999999"/>
    <n v="2.5983209999999999"/>
    <n v="3.5528999999999998E-2"/>
    <n v="3.2499999999999999E-4"/>
    <n v="2.6339999999999999"/>
    <n v="2.5983209999999999"/>
    <n v="3.5528999999999998E-2"/>
    <n v="3.2499999999999999E-4"/>
    <x v="0"/>
  </r>
  <r>
    <d v="2023-05-01T00:00:00"/>
    <x v="5"/>
    <s v="Office"/>
    <x v="1"/>
    <x v="0"/>
    <s v="C/Tanger 86"/>
    <s v="Barcelona"/>
    <s v="ESP"/>
    <s v="Spain"/>
    <x v="0"/>
    <n v="1.258"/>
    <m/>
    <s v=""/>
    <n v="0.31900000000000001"/>
    <n v="0.31514700000000001"/>
    <n v="3.3479999999999998E-3"/>
    <n v="3.8699999999999997E-4"/>
    <n v="0.31900000000000001"/>
    <n v="0.31514700000000001"/>
    <n v="3.3479999999999998E-3"/>
    <n v="3.8699999999999997E-4"/>
    <x v="0"/>
  </r>
  <r>
    <d v="2023-05-01T00:00:00"/>
    <x v="2"/>
    <s v="Office"/>
    <x v="1"/>
    <x v="0"/>
    <s v="C/Tanger 86"/>
    <s v="Barcelona"/>
    <s v="ESP"/>
    <s v="Spain"/>
    <x v="0"/>
    <n v="4.1689999999999996"/>
    <m/>
    <s v=""/>
    <n v="0.90400000000000003"/>
    <n v="0.89756100000000005"/>
    <n v="2.6050000000000001E-3"/>
    <n v="3.6970000000000002E-3"/>
    <n v="0.90400000000000003"/>
    <n v="0.89756100000000005"/>
    <n v="2.6050000000000001E-3"/>
    <n v="3.6970000000000002E-3"/>
    <x v="0"/>
  </r>
  <r>
    <d v="2023-05-01T00:00:00"/>
    <x v="6"/>
    <s v="Office"/>
    <x v="1"/>
    <x v="0"/>
    <s v="C/Tanger 86"/>
    <s v="Barcelona"/>
    <s v="ESP"/>
    <s v="Spain"/>
    <x v="0"/>
    <n v="4.4770000000000003"/>
    <m/>
    <s v=""/>
    <n v="0.97099999999999997"/>
    <n v="0.96387100000000003"/>
    <n v="2.797E-3"/>
    <n v="3.9699999999999996E-3"/>
    <n v="0.97099999999999997"/>
    <n v="0.96387100000000003"/>
    <n v="2.797E-3"/>
    <n v="3.9699999999999996E-3"/>
    <x v="0"/>
  </r>
  <r>
    <d v="2023-05-01T00:00:00"/>
    <x v="8"/>
    <s v="Office"/>
    <x v="1"/>
    <x v="0"/>
    <s v="C/Tanger 86"/>
    <s v="Barcelona"/>
    <s v="ESP"/>
    <s v="Spain"/>
    <x v="0"/>
    <n v="13.2056"/>
    <m/>
    <s v=""/>
    <n v="2.3929999999999998"/>
    <n v="2.3908510000000001"/>
    <n v="1.23E-3"/>
    <n v="1.343E-3"/>
    <n v="2.3929999999999998"/>
    <n v="2.3908510000000001"/>
    <n v="1.23E-3"/>
    <n v="1.343E-3"/>
    <x v="0"/>
  </r>
  <r>
    <d v="2023-06-01T00:00:00"/>
    <x v="0"/>
    <s v="Office"/>
    <x v="1"/>
    <x v="0"/>
    <s v="C/Tanger 86"/>
    <s v="Barcelona"/>
    <s v="ESP"/>
    <s v="Spain"/>
    <x v="0"/>
    <n v="11.893001"/>
    <m/>
    <s v=""/>
    <n v="2.7829999999999999"/>
    <n v="2.745609"/>
    <n v="3.7543E-2"/>
    <n v="3.4299999999999999E-4"/>
    <n v="2.7829999999999999"/>
    <n v="2.745609"/>
    <n v="3.7543E-2"/>
    <n v="3.4299999999999999E-4"/>
    <x v="0"/>
  </r>
  <r>
    <d v="2023-06-01T00:00:00"/>
    <x v="5"/>
    <s v="Office"/>
    <x v="1"/>
    <x v="0"/>
    <s v="C/Tanger 86"/>
    <s v="Barcelona"/>
    <s v="ESP"/>
    <s v="Spain"/>
    <x v="0"/>
    <n v="1.3420000000000001"/>
    <m/>
    <s v=""/>
    <n v="0.34"/>
    <n v="0.33618999999999999"/>
    <n v="3.5720000000000001E-3"/>
    <n v="4.1300000000000001E-4"/>
    <n v="0.34"/>
    <n v="0.33618999999999999"/>
    <n v="3.5720000000000001E-3"/>
    <n v="4.1300000000000001E-4"/>
    <x v="0"/>
  </r>
  <r>
    <d v="2023-06-01T00:00:00"/>
    <x v="2"/>
    <s v="Office"/>
    <x v="1"/>
    <x v="0"/>
    <s v="C/Tanger 86"/>
    <s v="Barcelona"/>
    <s v="ESP"/>
    <s v="Spain"/>
    <x v="0"/>
    <n v="3.8090000000000002"/>
    <m/>
    <s v=""/>
    <n v="0.82599999999999996"/>
    <n v="0.82005499999999998"/>
    <n v="2.3800000000000002E-3"/>
    <n v="3.3779999999999999E-3"/>
    <n v="0.82599999999999996"/>
    <n v="0.82005499999999998"/>
    <n v="2.3800000000000002E-3"/>
    <n v="3.3779999999999999E-3"/>
    <x v="0"/>
  </r>
  <r>
    <d v="2023-06-01T00:00:00"/>
    <x v="6"/>
    <s v="Office"/>
    <x v="1"/>
    <x v="0"/>
    <s v="C/Tanger 86"/>
    <s v="Barcelona"/>
    <s v="ESP"/>
    <s v="Spain"/>
    <x v="0"/>
    <n v="4.4169999999999998"/>
    <m/>
    <s v=""/>
    <n v="0.95799999999999996"/>
    <n v="0.95095399999999997"/>
    <n v="2.7599999999999999E-3"/>
    <n v="3.9170000000000003E-3"/>
    <n v="0.95799999999999996"/>
    <n v="0.95095399999999997"/>
    <n v="2.7599999999999999E-3"/>
    <n v="3.9170000000000003E-3"/>
    <x v="0"/>
  </r>
  <r>
    <d v="2023-06-01T00:00:00"/>
    <x v="7"/>
    <s v="Office"/>
    <x v="1"/>
    <x v="0"/>
    <s v="C/Tanger 86"/>
    <s v="Barcelona"/>
    <s v="ESP"/>
    <s v="Spain"/>
    <x v="0"/>
    <n v="2.5409999999999999"/>
    <m/>
    <s v=""/>
    <n v="0.55800000000000005"/>
    <n v="0.556867"/>
    <n v="3.19E-4"/>
    <n v="5.1699999999999999E-4"/>
    <n v="0.55800000000000005"/>
    <n v="0.556867"/>
    <n v="3.19E-4"/>
    <n v="5.1699999999999999E-4"/>
    <x v="0"/>
  </r>
  <r>
    <d v="2023-06-01T00:00:00"/>
    <x v="8"/>
    <s v="Office"/>
    <x v="1"/>
    <x v="0"/>
    <s v="C/Tanger 86"/>
    <s v="Barcelona"/>
    <s v="ESP"/>
    <s v="Spain"/>
    <x v="0"/>
    <n v="8.9583999999999993"/>
    <m/>
    <s v=""/>
    <n v="1.6240000000000001"/>
    <n v="1.6219030000000001"/>
    <n v="8.34E-4"/>
    <n v="9.1100000000000003E-4"/>
    <n v="1.6240000000000001"/>
    <n v="1.6219030000000001"/>
    <n v="8.3500000000000002E-4"/>
    <n v="9.1100000000000003E-4"/>
    <x v="0"/>
  </r>
  <r>
    <d v="2023-07-01T00:00:00"/>
    <x v="0"/>
    <s v="Office"/>
    <x v="1"/>
    <x v="0"/>
    <s v="C/Tanger 86"/>
    <s v="Barcelona"/>
    <s v="ESP"/>
    <s v="Spain"/>
    <x v="0"/>
    <n v="12.323001"/>
    <m/>
    <s v=""/>
    <n v="2.8839999999999999"/>
    <n v="2.8448790000000002"/>
    <n v="3.8899999999999997E-2"/>
    <n v="3.5599999999999998E-4"/>
    <n v="2.8839999999999999"/>
    <n v="2.8448790000000002"/>
    <n v="3.8899999999999997E-2"/>
    <n v="3.5599999999999998E-4"/>
    <x v="0"/>
  </r>
  <r>
    <d v="2023-08-01T00:00:00"/>
    <x v="0"/>
    <s v="Office"/>
    <x v="1"/>
    <x v="0"/>
    <s v="C/Tanger 86"/>
    <s v="Barcelona"/>
    <s v="ESP"/>
    <s v="Spain"/>
    <x v="0"/>
    <n v="13.497000999999999"/>
    <m/>
    <s v=""/>
    <n v="3.1589999999999998"/>
    <n v="3.115907"/>
    <n v="4.2605999999999998E-2"/>
    <n v="3.8999999999999999E-4"/>
    <n v="3.1589999999999998"/>
    <n v="3.115907"/>
    <n v="4.2605999999999998E-2"/>
    <n v="3.8999999999999999E-4"/>
    <x v="0"/>
  </r>
  <r>
    <d v="2023-09-01T00:00:00"/>
    <x v="0"/>
    <s v="Office"/>
    <x v="1"/>
    <x v="0"/>
    <s v="C/Tanger 86"/>
    <s v="Barcelona"/>
    <s v="ESP"/>
    <s v="Spain"/>
    <x v="0"/>
    <n v="11.024001"/>
    <m/>
    <s v=""/>
    <n v="2.58"/>
    <n v="2.5449920000000001"/>
    <n v="3.4799999999999998E-2"/>
    <n v="3.1799999999999998E-4"/>
    <n v="2.58"/>
    <n v="2.5449920000000001"/>
    <n v="3.4799999999999998E-2"/>
    <n v="3.1799999999999998E-4"/>
    <x v="0"/>
  </r>
  <r>
    <d v="2023-10-01T00:00:00"/>
    <x v="0"/>
    <s v="Office"/>
    <x v="1"/>
    <x v="0"/>
    <s v="C/Tanger 86"/>
    <s v="Barcelona"/>
    <s v="ESP"/>
    <s v="Spain"/>
    <x v="0"/>
    <n v="10.714001"/>
    <m/>
    <s v=""/>
    <n v="2.508"/>
    <n v="2.4734259999999999"/>
    <n v="3.3820999999999997E-2"/>
    <n v="3.0899999999999998E-4"/>
    <n v="2.508"/>
    <n v="2.4734259999999999"/>
    <n v="3.3820999999999997E-2"/>
    <n v="3.0899999999999998E-4"/>
    <x v="0"/>
  </r>
  <r>
    <d v="2023-11-01T00:00:00"/>
    <x v="0"/>
    <s v="Office"/>
    <x v="1"/>
    <x v="0"/>
    <s v="C/Tanger 86"/>
    <s v="Barcelona"/>
    <s v="ESP"/>
    <s v="Spain"/>
    <x v="0"/>
    <n v="10.718000999999999"/>
    <m/>
    <s v=""/>
    <n v="2.508"/>
    <n v="2.4743490000000001"/>
    <n v="3.3834000000000003E-2"/>
    <n v="3.0899999999999998E-4"/>
    <n v="2.508"/>
    <n v="2.4743499999999998"/>
    <n v="3.3834000000000003E-2"/>
    <n v="3.0899999999999998E-4"/>
    <x v="0"/>
  </r>
  <r>
    <d v="2023-12-01T00:00:00"/>
    <x v="0"/>
    <s v="Office"/>
    <x v="1"/>
    <x v="0"/>
    <s v="C/Tanger 86"/>
    <s v="Barcelona"/>
    <s v="ESP"/>
    <s v="Spain"/>
    <x v="0"/>
    <n v="11.080000999999999"/>
    <m/>
    <s v=""/>
    <n v="2.593"/>
    <n v="2.5579209999999999"/>
    <n v="3.4977000000000001E-2"/>
    <n v="3.2000000000000003E-4"/>
    <n v="2.593"/>
    <n v="2.5579209999999999"/>
    <n v="3.4977000000000001E-2"/>
    <n v="3.2000000000000003E-4"/>
    <x v="0"/>
  </r>
  <r>
    <d v="2023-01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2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3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4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5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6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7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8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9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10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11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12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2-0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3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4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5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6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7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8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9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10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1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1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3-01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2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3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4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5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6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7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8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9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10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11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12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2-01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2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3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4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5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6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7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8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9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10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11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12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1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1-01T00:00:00"/>
    <x v="8"/>
    <s v="Manufacturing"/>
    <x v="4"/>
    <x v="0"/>
    <s v="1 North Bell Avenue"/>
    <s v="Carnegie"/>
    <s v="PA"/>
    <s v="USA"/>
    <x v="0"/>
    <n v="1006.021604"/>
    <n v="19945.21"/>
    <s v=""/>
    <n v="182.334"/>
    <n v="182.13843600000001"/>
    <n v="9.3712000000000004E-2"/>
    <n v="0.102294"/>
    <n v="182.334"/>
    <n v="182.13843600000001"/>
    <n v="9.3712000000000004E-2"/>
    <n v="0.102294"/>
    <x v="1"/>
  </r>
  <r>
    <d v="2022-01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2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2-01T00:00:00"/>
    <x v="8"/>
    <s v="Manufacturing"/>
    <x v="4"/>
    <x v="0"/>
    <s v="1 North Bell Avenue"/>
    <s v="Carnegie"/>
    <s v="PA"/>
    <s v="USA"/>
    <x v="0"/>
    <n v="889.59408099999996"/>
    <n v="17652.37"/>
    <s v=""/>
    <n v="161.233"/>
    <n v="161.059438"/>
    <n v="8.2866999999999996E-2"/>
    <n v="9.0455999999999995E-2"/>
    <n v="161.233"/>
    <n v="161.059438"/>
    <n v="8.2866999999999996E-2"/>
    <n v="9.0455999999999995E-2"/>
    <x v="1"/>
  </r>
  <r>
    <d v="2022-02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3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3-01T00:00:00"/>
    <x v="8"/>
    <s v="Manufacturing"/>
    <x v="4"/>
    <x v="0"/>
    <s v="1 North Bell Avenue"/>
    <s v="Carnegie"/>
    <s v="PA"/>
    <s v="USA"/>
    <x v="0"/>
    <n v="783.87115400000005"/>
    <n v="15568.84"/>
    <s v=""/>
    <n v="142.071"/>
    <n v="141.91848899999999"/>
    <n v="7.3019000000000001E-2"/>
    <n v="7.9704999999999998E-2"/>
    <n v="142.071"/>
    <n v="141.91848899999999"/>
    <n v="7.3019000000000001E-2"/>
    <n v="7.9704999999999998E-2"/>
    <x v="1"/>
  </r>
  <r>
    <d v="2022-03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4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4-01T00:00:00"/>
    <x v="8"/>
    <s v="Manufacturing"/>
    <x v="4"/>
    <x v="0"/>
    <s v="1 North Bell Avenue"/>
    <s v="Carnegie"/>
    <s v="PA"/>
    <s v="USA"/>
    <x v="0"/>
    <n v="631.12016800000004"/>
    <n v="12570.1"/>
    <s v=""/>
    <n v="114.386"/>
    <n v="114.263192"/>
    <n v="5.8790000000000002E-2"/>
    <n v="6.4172999999999994E-2"/>
    <n v="114.386"/>
    <n v="114.263192"/>
    <n v="5.8790000000000002E-2"/>
    <n v="6.4172999999999994E-2"/>
    <x v="1"/>
  </r>
  <r>
    <d v="2022-04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5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5-01T00:00:00"/>
    <x v="8"/>
    <s v="Manufacturing"/>
    <x v="4"/>
    <x v="0"/>
    <s v="1 North Bell Avenue"/>
    <s v="Carnegie"/>
    <s v="PA"/>
    <s v="USA"/>
    <x v="0"/>
    <n v="550.56507099999999"/>
    <n v="6264.06"/>
    <s v=""/>
    <n v="99.786000000000001"/>
    <n v="99.678833999999995"/>
    <n v="5.1285999999999998E-2"/>
    <n v="5.5981999999999997E-2"/>
    <n v="99.786000000000001"/>
    <n v="99.678833999999995"/>
    <n v="5.1285999999999998E-2"/>
    <n v="5.5981999999999997E-2"/>
    <x v="1"/>
  </r>
  <r>
    <d v="2022-05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6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6-01T00:00:00"/>
    <x v="8"/>
    <s v="Manufacturing"/>
    <x v="4"/>
    <x v="0"/>
    <s v="1 North Bell Avenue"/>
    <s v="Carnegie"/>
    <s v="PA"/>
    <s v="USA"/>
    <x v="0"/>
    <n v="324.68605300000002"/>
    <n v="3743.66"/>
    <s v=""/>
    <n v="58.847000000000001"/>
    <n v="58.783836999999998"/>
    <n v="3.0245000000000001E-2"/>
    <n v="3.3015000000000003E-2"/>
    <n v="58.847000000000001"/>
    <n v="58.783836999999998"/>
    <n v="3.0245000000000001E-2"/>
    <n v="3.3015000000000003E-2"/>
    <x v="1"/>
  </r>
  <r>
    <d v="2022-06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7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7-01T00:00:00"/>
    <x v="8"/>
    <s v="Manufacturing"/>
    <x v="4"/>
    <x v="0"/>
    <s v="1 North Bell Avenue"/>
    <s v="Carnegie"/>
    <s v="PA"/>
    <s v="USA"/>
    <x v="0"/>
    <n v="279.31179400000002"/>
    <n v="3237.38"/>
    <s v=""/>
    <n v="50.622999999999998"/>
    <n v="50.568907000000003"/>
    <n v="2.6017999999999999E-2"/>
    <n v="2.8400999999999999E-2"/>
    <n v="50.622999999999998"/>
    <n v="50.568907000000003"/>
    <n v="2.6017999999999999E-2"/>
    <n v="2.8400999999999999E-2"/>
    <x v="1"/>
  </r>
  <r>
    <d v="2022-07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8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8-01T00:00:00"/>
    <x v="8"/>
    <s v="Manufacturing"/>
    <x v="4"/>
    <x v="0"/>
    <s v="1 North Bell Avenue"/>
    <s v="Carnegie"/>
    <s v="PA"/>
    <s v="USA"/>
    <x v="0"/>
    <n v="351.056647"/>
    <n v="4037.91"/>
    <s v=""/>
    <n v="63.627000000000002"/>
    <n v="63.558185999999999"/>
    <n v="3.2701000000000001E-2"/>
    <n v="3.5695999999999999E-2"/>
    <n v="63.627000000000002"/>
    <n v="63.558185999999999"/>
    <n v="3.2701000000000001E-2"/>
    <n v="3.5695999999999999E-2"/>
    <x v="1"/>
  </r>
  <r>
    <d v="2022-08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9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9-01T00:00:00"/>
    <x v="8"/>
    <s v="Manufacturing"/>
    <x v="4"/>
    <x v="0"/>
    <s v="1 North Bell Avenue"/>
    <s v="Carnegie"/>
    <s v="PA"/>
    <s v="USA"/>
    <x v="0"/>
    <n v="335.270374"/>
    <n v="3861.75"/>
    <s v=""/>
    <n v="60.765000000000001"/>
    <n v="60.700108999999998"/>
    <n v="3.1230999999999998E-2"/>
    <n v="3.4091000000000003E-2"/>
    <n v="60.765000000000001"/>
    <n v="60.700108999999998"/>
    <n v="3.1230999999999998E-2"/>
    <n v="3.4091000000000003E-2"/>
    <x v="1"/>
  </r>
  <r>
    <d v="2022-09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10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10-01T00:00:00"/>
    <x v="8"/>
    <s v="Manufacturing"/>
    <x v="4"/>
    <x v="0"/>
    <s v="1 North Bell Avenue"/>
    <s v="Carnegie"/>
    <s v="PA"/>
    <s v="USA"/>
    <x v="0"/>
    <n v="643.80932499999994"/>
    <n v="7374.14"/>
    <s v=""/>
    <n v="116.68600000000001"/>
    <n v="116.560542"/>
    <n v="5.9971999999999998E-2"/>
    <n v="6.5463999999999994E-2"/>
    <n v="116.68600000000001"/>
    <n v="116.560542"/>
    <n v="5.9971999999999998E-2"/>
    <n v="6.5463999999999994E-2"/>
    <x v="1"/>
  </r>
  <r>
    <d v="2022-10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11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11-01T00:00:00"/>
    <x v="8"/>
    <s v="Manufacturing"/>
    <x v="4"/>
    <x v="0"/>
    <s v="1 North Bell Avenue"/>
    <s v="Carnegie"/>
    <s v="PA"/>
    <s v="USA"/>
    <x v="0"/>
    <n v="667.32335399999999"/>
    <n v="7641.44"/>
    <s v=""/>
    <n v="120.94799999999999"/>
    <n v="120.817716"/>
    <n v="6.2162000000000002E-2"/>
    <n v="6.7854999999999999E-2"/>
    <n v="120.94799999999999"/>
    <n v="120.817716"/>
    <n v="6.2162000000000002E-2"/>
    <n v="6.7854999999999999E-2"/>
    <x v="1"/>
  </r>
  <r>
    <d v="2022-11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12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12-01T00:00:00"/>
    <x v="8"/>
    <s v="Manufacturing"/>
    <x v="4"/>
    <x v="0"/>
    <s v="1 North Bell Avenue"/>
    <s v="Carnegie"/>
    <s v="PA"/>
    <s v="USA"/>
    <x v="0"/>
    <n v="855.70621400000005"/>
    <n v="9764.51"/>
    <s v=""/>
    <n v="155.09100000000001"/>
    <n v="154.92410000000001"/>
    <n v="7.9710000000000003E-2"/>
    <n v="8.7010000000000004E-2"/>
    <n v="155.09100000000001"/>
    <n v="154.92410000000001"/>
    <n v="7.9710000000000003E-2"/>
    <n v="8.7010000000000004E-2"/>
    <x v="1"/>
  </r>
  <r>
    <d v="2022-12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3-01-01T00:00:00"/>
    <x v="8"/>
    <s v="Manufacturing"/>
    <x v="4"/>
    <x v="0"/>
    <s v="1 North Bell Avenue"/>
    <s v="Carnegie"/>
    <s v="PA"/>
    <s v="USA"/>
    <x v="0"/>
    <n v="806.39290400000004"/>
    <n v="9208.76"/>
    <s v=""/>
    <n v="146.15299999999999"/>
    <n v="145.99601200000001"/>
    <n v="7.5117000000000003E-2"/>
    <n v="8.1994999999999998E-2"/>
    <n v="146.15299999999999"/>
    <n v="145.99601200000001"/>
    <n v="7.5117000000000003E-2"/>
    <n v="8.1995999999999999E-2"/>
    <x v="0"/>
  </r>
  <r>
    <d v="2023-02-01T00:00:00"/>
    <x v="8"/>
    <s v="Manufacturing"/>
    <x v="4"/>
    <x v="0"/>
    <s v="1 North Bell Avenue"/>
    <s v="Carnegie"/>
    <s v="PA"/>
    <s v="USA"/>
    <x v="0"/>
    <n v="701.69232599999998"/>
    <n v="8028.78"/>
    <s v=""/>
    <n v="127.17700000000001"/>
    <n v="127.04015699999999"/>
    <n v="6.5364000000000005E-2"/>
    <n v="7.1348999999999996E-2"/>
    <n v="127.17700000000001"/>
    <n v="127.04015699999999"/>
    <n v="6.5364000000000005E-2"/>
    <n v="7.1348999999999996E-2"/>
    <x v="0"/>
  </r>
  <r>
    <d v="2023-03-01T00:00:00"/>
    <x v="8"/>
    <s v="Manufacturing"/>
    <x v="4"/>
    <x v="0"/>
    <s v="1 North Bell Avenue"/>
    <s v="Carnegie"/>
    <s v="PA"/>
    <s v="USA"/>
    <x v="0"/>
    <n v="724.93573400000002"/>
    <n v="8290.75"/>
    <s v=""/>
    <n v="131.38999999999999"/>
    <n v="131.248335"/>
    <n v="6.7529000000000006E-2"/>
    <n v="7.3713000000000001E-2"/>
    <n v="131.38999999999999"/>
    <n v="131.248335"/>
    <n v="6.7529000000000006E-2"/>
    <n v="7.3713000000000001E-2"/>
    <x v="0"/>
  </r>
  <r>
    <d v="2023-04-01T00:00:00"/>
    <x v="8"/>
    <s v="Manufacturing"/>
    <x v="4"/>
    <x v="0"/>
    <s v="1 North Bell Avenue"/>
    <s v="Carnegie"/>
    <s v="PA"/>
    <s v="USA"/>
    <x v="0"/>
    <n v="448.11967499999997"/>
    <n v="5183.1000000000004"/>
    <s v=""/>
    <n v="81.218999999999994"/>
    <n v="81.131276"/>
    <n v="4.1743000000000002E-2"/>
    <n v="4.5566000000000002E-2"/>
    <n v="81.218999999999994"/>
    <n v="81.131276"/>
    <n v="4.1743000000000002E-2"/>
    <n v="4.5566000000000002E-2"/>
    <x v="0"/>
  </r>
  <r>
    <d v="2023-05-01T00:00:00"/>
    <x v="8"/>
    <s v="Manufacturing"/>
    <x v="4"/>
    <x v="0"/>
    <s v="1 North Bell Avenue"/>
    <s v="Carnegie"/>
    <s v="PA"/>
    <s v="USA"/>
    <x v="0"/>
    <n v="517.57927700000005"/>
    <n v="5968.86"/>
    <s v=""/>
    <n v="93.808000000000007"/>
    <n v="93.706815000000006"/>
    <n v="4.8212999999999999E-2"/>
    <n v="5.2628000000000001E-2"/>
    <n v="93.808000000000007"/>
    <n v="93.706815000000006"/>
    <n v="4.8212999999999999E-2"/>
    <n v="5.2628000000000001E-2"/>
    <x v="0"/>
  </r>
  <r>
    <d v="2023-06-01T00:00:00"/>
    <x v="8"/>
    <s v="Manufacturing"/>
    <x v="4"/>
    <x v="0"/>
    <s v="1 North Bell Avenue"/>
    <s v="Carnegie"/>
    <s v="PA"/>
    <s v="USA"/>
    <x v="0"/>
    <n v="391.92054300000001"/>
    <n v="4549.13"/>
    <s v=""/>
    <n v="71.033000000000001"/>
    <n v="70.956523000000004"/>
    <n v="3.6507999999999999E-2"/>
    <n v="3.9850999999999998E-2"/>
    <n v="71.033000000000001"/>
    <n v="70.956523000000004"/>
    <n v="3.6507999999999999E-2"/>
    <n v="3.9850999999999998E-2"/>
    <x v="0"/>
  </r>
  <r>
    <d v="2023-07-01T00:00:00"/>
    <x v="8"/>
    <s v="Manufacturing"/>
    <x v="4"/>
    <x v="0"/>
    <s v="1 North Bell Avenue"/>
    <s v="Carnegie"/>
    <s v="PA"/>
    <s v="USA"/>
    <x v="0"/>
    <n v="363.20456000000001"/>
    <n v="4393.74"/>
    <s v=""/>
    <n v="65.828000000000003"/>
    <n v="65.757544999999993"/>
    <n v="3.3833000000000002E-2"/>
    <n v="3.6930999999999999E-2"/>
    <n v="65.828000000000003"/>
    <n v="65.757544999999993"/>
    <n v="3.3833000000000002E-2"/>
    <n v="3.6930999999999999E-2"/>
    <x v="0"/>
  </r>
  <r>
    <d v="2023-08-01T00:00:00"/>
    <x v="8"/>
    <s v="Manufacturing"/>
    <x v="4"/>
    <x v="0"/>
    <s v="1 North Bell Avenue"/>
    <s v="Carnegie"/>
    <s v="PA"/>
    <s v="USA"/>
    <x v="0"/>
    <n v="368.07575300000002"/>
    <n v="4450.96"/>
    <s v=""/>
    <n v="66.710999999999999"/>
    <n v="66.639465000000001"/>
    <n v="3.4286999999999998E-2"/>
    <n v="3.7427000000000002E-2"/>
    <n v="66.710999999999999"/>
    <n v="66.639465000000001"/>
    <n v="3.4286999999999998E-2"/>
    <n v="3.7427000000000002E-2"/>
    <x v="0"/>
  </r>
  <r>
    <d v="2023-09-01T00:00:00"/>
    <x v="8"/>
    <s v="Manufacturing"/>
    <x v="4"/>
    <x v="0"/>
    <s v="1 North Bell Avenue"/>
    <s v="Carnegie"/>
    <s v="PA"/>
    <s v="USA"/>
    <x v="0"/>
    <n v="346.51621399999999"/>
    <n v="4197.7299999999996"/>
    <s v=""/>
    <n v="62.804000000000002"/>
    <n v="62.736148999999997"/>
    <n v="3.2278000000000001E-2"/>
    <n v="3.5234000000000001E-2"/>
    <n v="62.804000000000002"/>
    <n v="62.736148999999997"/>
    <n v="3.2278000000000001E-2"/>
    <n v="3.5234000000000001E-2"/>
    <x v="0"/>
  </r>
  <r>
    <d v="2023-10-01T00:00:00"/>
    <x v="8"/>
    <s v="Manufacturing"/>
    <x v="4"/>
    <x v="0"/>
    <s v="1 North Bell Avenue"/>
    <s v="Carnegie"/>
    <s v="PA"/>
    <s v="USA"/>
    <x v="0"/>
    <n v="473.61826500000001"/>
    <n v="5756.35"/>
    <s v=""/>
    <n v="85.84"/>
    <n v="85.747750999999994"/>
    <n v="4.4117999999999997E-2"/>
    <n v="4.8157999999999999E-2"/>
    <n v="85.84"/>
    <n v="85.747750999999994"/>
    <n v="4.4117999999999997E-2"/>
    <n v="4.8157999999999999E-2"/>
    <x v="0"/>
  </r>
  <r>
    <d v="2023-11-01T00:00:00"/>
    <x v="8"/>
    <s v="Manufacturing"/>
    <x v="4"/>
    <x v="0"/>
    <s v="1 North Bell Avenue"/>
    <s v="Carnegie"/>
    <s v="PA"/>
    <s v="USA"/>
    <x v="0"/>
    <n v="715.37376300000005"/>
    <n v="8636.15"/>
    <s v=""/>
    <n v="129.65700000000001"/>
    <n v="129.517157"/>
    <n v="6.6638000000000003E-2"/>
    <n v="7.2741E-2"/>
    <n v="129.65700000000001"/>
    <n v="129.517157"/>
    <n v="6.6638000000000003E-2"/>
    <n v="7.2741E-2"/>
    <x v="0"/>
  </r>
  <r>
    <d v="2023-12-01T00:00:00"/>
    <x v="8"/>
    <s v="Manufacturing"/>
    <x v="4"/>
    <x v="0"/>
    <s v="1 North Bell Avenue"/>
    <s v="Carnegie"/>
    <s v="PA"/>
    <s v="USA"/>
    <x v="0"/>
    <n v="708.93897700000002"/>
    <n v="21839.040000000001"/>
    <s v=""/>
    <n v="128.49"/>
    <n v="128.35215099999999"/>
    <n v="6.6039E-2"/>
    <n v="7.2085999999999997E-2"/>
    <n v="128.49"/>
    <n v="128.35215099999999"/>
    <n v="6.6039E-2"/>
    <n v="7.2085999999999997E-2"/>
    <x v="0"/>
  </r>
  <r>
    <d v="2022-01-01T00:00:00"/>
    <x v="4"/>
    <s v="Manufacturing"/>
    <x v="4"/>
    <x v="1"/>
    <s v="1 North Bell Avenue"/>
    <s v="Carnegie"/>
    <s v="PA"/>
    <s v="USA"/>
    <x v="0"/>
    <n v="3.0275799999999999"/>
    <n v="424.46"/>
    <s v=""/>
    <n v="1.4390000000000001"/>
    <n v="1.439174"/>
    <m/>
    <m/>
    <n v="1.446"/>
    <n v="1.4366399999999999"/>
    <n v="5.2490000000000002E-3"/>
    <n v="3.64E-3"/>
    <x v="1"/>
  </r>
  <r>
    <d v="2022-02-01T00:00:00"/>
    <x v="4"/>
    <s v="Manufacturing"/>
    <x v="4"/>
    <x v="1"/>
    <s v="1 North Bell Avenue"/>
    <s v="Carnegie"/>
    <s v="PA"/>
    <s v="USA"/>
    <x v="0"/>
    <n v="2.7774999999999999"/>
    <n v="475.83"/>
    <s v=""/>
    <n v="1.32"/>
    <n v="1.3202970000000001"/>
    <m/>
    <m/>
    <n v="1.3260000000000001"/>
    <n v="1.3179719999999999"/>
    <n v="4.8149999999999998E-3"/>
    <n v="3.339E-3"/>
    <x v="1"/>
  </r>
  <r>
    <d v="2022-03-01T00:00:00"/>
    <x v="4"/>
    <s v="Manufacturing"/>
    <x v="4"/>
    <x v="1"/>
    <s v="1 North Bell Avenue"/>
    <s v="Carnegie"/>
    <s v="PA"/>
    <s v="USA"/>
    <x v="0"/>
    <n v="2.89358"/>
    <n v="458.17"/>
    <s v=""/>
    <n v="1.375"/>
    <n v="1.3754770000000001"/>
    <m/>
    <m/>
    <n v="1.3819999999999999"/>
    <n v="1.373054"/>
    <n v="5.0159999999999996E-3"/>
    <n v="3.4789999999999999E-3"/>
    <x v="1"/>
  </r>
  <r>
    <d v="2022-04-01T00:00:00"/>
    <x v="4"/>
    <s v="Manufacturing"/>
    <x v="4"/>
    <x v="1"/>
    <s v="1 North Bell Avenue"/>
    <s v="Carnegie"/>
    <s v="PA"/>
    <s v="USA"/>
    <x v="0"/>
    <n v="36.570459999999997"/>
    <n v="4589.1000000000004"/>
    <s v=""/>
    <n v="17.384"/>
    <n v="17.383935999999999"/>
    <m/>
    <m/>
    <n v="17.460999999999999"/>
    <n v="17.353323"/>
    <n v="6.3399999999999998E-2"/>
    <n v="4.3966999999999999E-2"/>
    <x v="1"/>
  </r>
  <r>
    <d v="2022-05-01T00:00:00"/>
    <x v="4"/>
    <s v="Manufacturing"/>
    <x v="4"/>
    <x v="1"/>
    <s v="1 North Bell Avenue"/>
    <s v="Carnegie"/>
    <s v="PA"/>
    <s v="USA"/>
    <x v="0"/>
    <n v="120.59268"/>
    <n v="14764.8"/>
    <s v=""/>
    <n v="57.323999999999998"/>
    <n v="57.324285000000003"/>
    <m/>
    <m/>
    <n v="57.576999999999998"/>
    <n v="57.223336000000003"/>
    <n v="0.209063"/>
    <n v="0.144982"/>
    <x v="1"/>
  </r>
  <r>
    <d v="2022-06-01T00:00:00"/>
    <x v="4"/>
    <s v="Manufacturing"/>
    <x v="4"/>
    <x v="1"/>
    <s v="1 North Bell Avenue"/>
    <s v="Carnegie"/>
    <s v="PA"/>
    <s v="USA"/>
    <x v="0"/>
    <n v="135.7064"/>
    <n v="19702.47"/>
    <s v=""/>
    <n v="64.509"/>
    <n v="64.508661000000004"/>
    <m/>
    <m/>
    <n v="64.793000000000006"/>
    <n v="64.395060999999998"/>
    <n v="0.235265"/>
    <n v="0.16315299999999999"/>
    <x v="1"/>
  </r>
  <r>
    <d v="2022-07-01T00:00:00"/>
    <x v="4"/>
    <s v="Manufacturing"/>
    <x v="4"/>
    <x v="1"/>
    <s v="1 North Bell Avenue"/>
    <s v="Carnegie"/>
    <s v="PA"/>
    <s v="USA"/>
    <x v="0"/>
    <n v="130.744"/>
    <n v="21199.58"/>
    <s v=""/>
    <n v="62.15"/>
    <n v="62.149762000000003"/>
    <m/>
    <m/>
    <n v="62.423999999999999"/>
    <n v="62.040315"/>
    <n v="0.226662"/>
    <n v="0.15718699999999999"/>
    <x v="1"/>
  </r>
  <r>
    <d v="2022-08-01T00:00:00"/>
    <x v="4"/>
    <s v="Manufacturing"/>
    <x v="4"/>
    <x v="1"/>
    <s v="1 North Bell Avenue"/>
    <s v="Carnegie"/>
    <s v="PA"/>
    <s v="USA"/>
    <x v="0"/>
    <n v="137.479252"/>
    <n v="21708.6"/>
    <s v=""/>
    <n v="65.350999999999999"/>
    <n v="65.351394999999997"/>
    <m/>
    <m/>
    <n v="65.64"/>
    <n v="65.236310000000003"/>
    <n v="0.23833799999999999"/>
    <n v="0.16528399999999999"/>
    <x v="1"/>
  </r>
  <r>
    <d v="2022-09-01T00:00:00"/>
    <x v="4"/>
    <s v="Manufacturing"/>
    <x v="4"/>
    <x v="1"/>
    <s v="1 North Bell Avenue"/>
    <s v="Carnegie"/>
    <s v="PA"/>
    <s v="USA"/>
    <x v="0"/>
    <n v="141.512528"/>
    <n v="26384.3"/>
    <s v=""/>
    <n v="67.269000000000005"/>
    <n v="67.268630999999999"/>
    <m/>
    <m/>
    <n v="67.566000000000003"/>
    <n v="67.150170000000003"/>
    <n v="0.24532999999999999"/>
    <n v="0.17013300000000001"/>
    <x v="1"/>
  </r>
  <r>
    <d v="2022-10-01T00:00:00"/>
    <x v="4"/>
    <s v="Manufacturing"/>
    <x v="4"/>
    <x v="1"/>
    <s v="1 North Bell Avenue"/>
    <s v="Carnegie"/>
    <s v="PA"/>
    <s v="USA"/>
    <x v="0"/>
    <n v="125.04944"/>
    <n v="25780.67"/>
    <s v=""/>
    <n v="59.442999999999998"/>
    <n v="59.442825999999997"/>
    <m/>
    <m/>
    <n v="59.704999999999998"/>
    <n v="59.338146999999999"/>
    <n v="0.21678900000000001"/>
    <n v="0.15034"/>
    <x v="1"/>
  </r>
  <r>
    <d v="2022-11-01T00:00:00"/>
    <x v="4"/>
    <s v="Manufacturing"/>
    <x v="4"/>
    <x v="1"/>
    <s v="1 North Bell Avenue"/>
    <s v="Carnegie"/>
    <s v="PA"/>
    <s v="USA"/>
    <x v="0"/>
    <n v="117.13462"/>
    <n v="23053.1"/>
    <s v=""/>
    <n v="55.68"/>
    <n v="55.680480000000003"/>
    <m/>
    <m/>
    <n v="55.926000000000002"/>
    <n v="55.582425999999998"/>
    <n v="0.203068"/>
    <n v="0.14082500000000001"/>
    <x v="1"/>
  </r>
  <r>
    <d v="2022-12-01T00:00:00"/>
    <x v="4"/>
    <s v="Manufacturing"/>
    <x v="4"/>
    <x v="1"/>
    <s v="1 North Bell Avenue"/>
    <s v="Carnegie"/>
    <s v="PA"/>
    <s v="USA"/>
    <x v="0"/>
    <n v="119.71641"/>
    <n v="26380.07"/>
    <s v=""/>
    <n v="56.908000000000001"/>
    <n v="56.907746000000003"/>
    <m/>
    <m/>
    <n v="57.158999999999999"/>
    <n v="56.807530999999997"/>
    <n v="0.20754400000000001"/>
    <n v="0.143929"/>
    <x v="1"/>
  </r>
  <r>
    <d v="2023-01-01T00:00:00"/>
    <x v="4"/>
    <s v="Manufacturing"/>
    <x v="4"/>
    <x v="1"/>
    <s v="1 North Bell Avenue"/>
    <s v="Carnegie"/>
    <s v="PA"/>
    <s v="USA"/>
    <x v="0"/>
    <n v="120.60678"/>
    <n v="17177.48"/>
    <s v=""/>
    <n v="57.331000000000003"/>
    <n v="57.330987"/>
    <m/>
    <m/>
    <n v="57.584000000000003"/>
    <n v="57.230027"/>
    <n v="0.209088"/>
    <n v="0.14499899999999999"/>
    <x v="0"/>
  </r>
  <r>
    <d v="2023-02-01T00:00:00"/>
    <x v="4"/>
    <s v="Manufacturing"/>
    <x v="4"/>
    <x v="1"/>
    <s v="1 North Bell Avenue"/>
    <s v="Carnegie"/>
    <s v="PA"/>
    <s v="USA"/>
    <x v="0"/>
    <n v="125.56814"/>
    <n v="17736.39"/>
    <s v=""/>
    <n v="59.689"/>
    <n v="59.689393000000003"/>
    <m/>
    <m/>
    <n v="59.953000000000003"/>
    <n v="59.584279000000002"/>
    <n v="0.21768899999999999"/>
    <n v="0.15096399999999999"/>
    <x v="0"/>
  </r>
  <r>
    <d v="2023-03-01T00:00:00"/>
    <x v="4"/>
    <s v="Manufacturing"/>
    <x v="4"/>
    <x v="1"/>
    <s v="1 North Bell Avenue"/>
    <s v="Carnegie"/>
    <s v="PA"/>
    <s v="USA"/>
    <x v="0"/>
    <n v="117.02715999999999"/>
    <n v="16580.64"/>
    <s v=""/>
    <n v="55.628999999999998"/>
    <n v="55.629398999999999"/>
    <m/>
    <m/>
    <n v="55.875"/>
    <n v="55.531435000000002"/>
    <n v="0.20288200000000001"/>
    <n v="0.14069599999999999"/>
    <x v="0"/>
  </r>
  <r>
    <d v="2023-04-01T00:00:00"/>
    <x v="4"/>
    <s v="Manufacturing"/>
    <x v="4"/>
    <x v="1"/>
    <s v="1 North Bell Avenue"/>
    <s v="Carnegie"/>
    <s v="PA"/>
    <s v="USA"/>
    <x v="0"/>
    <n v="118.57006"/>
    <n v="16796.240000000002"/>
    <s v=""/>
    <n v="56.363"/>
    <n v="56.362822999999999"/>
    <m/>
    <m/>
    <n v="56.612000000000002"/>
    <n v="56.263567999999999"/>
    <n v="0.20555699999999999"/>
    <n v="0.14255000000000001"/>
    <x v="0"/>
  </r>
  <r>
    <d v="2023-05-01T00:00:00"/>
    <x v="4"/>
    <s v="Manufacturing"/>
    <x v="4"/>
    <x v="1"/>
    <s v="1 North Bell Avenue"/>
    <s v="Carnegie"/>
    <s v="PA"/>
    <s v="USA"/>
    <x v="0"/>
    <n v="114.74196000000001"/>
    <n v="16336.22"/>
    <s v=""/>
    <n v="54.542999999999999"/>
    <n v="54.543118"/>
    <m/>
    <m/>
    <n v="54.783999999999999"/>
    <n v="54.447066999999997"/>
    <n v="0.19892000000000001"/>
    <n v="0.13794799999999999"/>
    <x v="0"/>
  </r>
  <r>
    <d v="2023-06-01T00:00:00"/>
    <x v="4"/>
    <s v="Manufacturing"/>
    <x v="4"/>
    <x v="1"/>
    <s v="1 North Bell Avenue"/>
    <s v="Carnegie"/>
    <s v="PA"/>
    <s v="USA"/>
    <x v="0"/>
    <n v="131.80106000000001"/>
    <n v="18749.919999999998"/>
    <s v=""/>
    <n v="62.652000000000001"/>
    <n v="62.652239999999999"/>
    <m/>
    <m/>
    <n v="62.929000000000002"/>
    <n v="62.541908999999997"/>
    <n v="0.228494"/>
    <n v="0.15845699999999999"/>
    <x v="0"/>
  </r>
  <r>
    <d v="2023-07-01T00:00:00"/>
    <x v="4"/>
    <s v="Manufacturing"/>
    <x v="4"/>
    <x v="1"/>
    <s v="1 North Bell Avenue"/>
    <s v="Carnegie"/>
    <s v="PA"/>
    <s v="USA"/>
    <x v="0"/>
    <n v="137.42474000000001"/>
    <n v="20004.97"/>
    <s v=""/>
    <n v="65.325000000000003"/>
    <n v="65.325481999999994"/>
    <m/>
    <m/>
    <n v="65.614000000000004"/>
    <n v="65.210442999999998"/>
    <n v="0.23824400000000001"/>
    <n v="0.165218"/>
    <x v="0"/>
  </r>
  <r>
    <d v="2023-08-01T00:00:00"/>
    <x v="4"/>
    <s v="Manufacturing"/>
    <x v="4"/>
    <x v="1"/>
    <s v="1 North Bell Avenue"/>
    <s v="Carnegie"/>
    <s v="PA"/>
    <s v="USA"/>
    <x v="0"/>
    <n v="136.43765999999999"/>
    <n v="20183.07"/>
    <s v=""/>
    <n v="64.855999999999995"/>
    <n v="64.856268999999998"/>
    <m/>
    <m/>
    <n v="65.143000000000001"/>
    <n v="64.742056000000005"/>
    <n v="0.23653199999999999"/>
    <n v="0.16403200000000001"/>
    <x v="0"/>
  </r>
  <r>
    <d v="2023-09-01T00:00:00"/>
    <x v="4"/>
    <s v="Manufacturing"/>
    <x v="4"/>
    <x v="1"/>
    <s v="1 North Bell Avenue"/>
    <s v="Carnegie"/>
    <s v="PA"/>
    <s v="USA"/>
    <x v="0"/>
    <n v="143.31108"/>
    <n v="20607.45"/>
    <s v=""/>
    <n v="68.123999999999995"/>
    <n v="68.123581000000001"/>
    <m/>
    <m/>
    <n v="68.424000000000007"/>
    <n v="68.003613999999999"/>
    <n v="0.248448"/>
    <n v="0.172295"/>
    <x v="0"/>
  </r>
  <r>
    <d v="2023-10-01T00:00:00"/>
    <x v="4"/>
    <s v="Manufacturing"/>
    <x v="4"/>
    <x v="1"/>
    <s v="1 North Bell Avenue"/>
    <s v="Carnegie"/>
    <s v="PA"/>
    <s v="USA"/>
    <x v="0"/>
    <n v="126.44668"/>
    <n v="18908.060000000001"/>
    <s v=""/>
    <n v="60.106999999999999"/>
    <n v="60.107011"/>
    <m/>
    <m/>
    <n v="60.372"/>
    <n v="60.001162000000001"/>
    <n v="0.21921199999999999"/>
    <n v="0.15201999999999999"/>
    <x v="0"/>
  </r>
  <r>
    <d v="2023-11-01T00:00:00"/>
    <x v="4"/>
    <s v="Manufacturing"/>
    <x v="4"/>
    <x v="1"/>
    <s v="1 North Bell Avenue"/>
    <s v="Carnegie"/>
    <s v="PA"/>
    <s v="USA"/>
    <x v="0"/>
    <n v="134.32826"/>
    <n v="20038.759999999998"/>
    <s v=""/>
    <n v="63.853999999999999"/>
    <n v="63.853555999999998"/>
    <m/>
    <m/>
    <n v="64.135000000000005"/>
    <n v="63.741109000000002"/>
    <n v="0.232876"/>
    <n v="0.161496"/>
    <x v="0"/>
  </r>
  <r>
    <d v="2023-12-01T00:00:00"/>
    <x v="4"/>
    <s v="Manufacturing"/>
    <x v="4"/>
    <x v="1"/>
    <s v="1 North Bell Avenue"/>
    <s v="Carnegie"/>
    <s v="PA"/>
    <s v="USA"/>
    <x v="0"/>
    <n v="150.35442"/>
    <n v="22388.5"/>
    <s v=""/>
    <n v="71.471999999999994"/>
    <n v="71.471665000000002"/>
    <m/>
    <m/>
    <n v="71.787000000000006"/>
    <n v="71.345803000000004"/>
    <n v="0.26065899999999997"/>
    <n v="0.18076300000000001"/>
    <x v="0"/>
  </r>
  <r>
    <d v="2023-01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2-01T00:00:00"/>
    <x v="11"/>
    <s v="Manufacturing"/>
    <x v="4"/>
    <x v="2"/>
    <s v="1 North Bell Avenue"/>
    <s v="Carnegie"/>
    <s v="PA"/>
    <s v="USA"/>
    <x v="3"/>
    <n v="0.49895099999999998"/>
    <m/>
    <s v=""/>
    <n v="0.26"/>
    <n v="0.25962200000000002"/>
    <m/>
    <m/>
    <n v="0.26"/>
    <n v="0.25962200000000002"/>
    <m/>
    <m/>
    <x v="0"/>
  </r>
  <r>
    <d v="2023-02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3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4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5-01T00:00:00"/>
    <x v="11"/>
    <s v="Manufacturing"/>
    <x v="4"/>
    <x v="2"/>
    <s v="1 North Bell Avenue"/>
    <s v="Carnegie"/>
    <s v="PA"/>
    <s v="USA"/>
    <x v="3"/>
    <n v="2.721552"/>
    <m/>
    <s v=""/>
    <n v="1.4159999999999999"/>
    <n v="1.416118"/>
    <m/>
    <m/>
    <n v="1.4159999999999999"/>
    <n v="1.416118"/>
    <m/>
    <m/>
    <x v="0"/>
  </r>
  <r>
    <d v="2023-05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6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7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8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9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10-01T00:00:00"/>
    <x v="11"/>
    <s v="Manufacturing"/>
    <x v="4"/>
    <x v="2"/>
    <s v="1 North Bell Avenue"/>
    <s v="Carnegie"/>
    <s v="PA"/>
    <s v="USA"/>
    <x v="3"/>
    <n v="0.49895099999999998"/>
    <m/>
    <s v=""/>
    <n v="0.26"/>
    <n v="0.25962200000000002"/>
    <m/>
    <m/>
    <n v="0.26"/>
    <n v="0.25962200000000002"/>
    <m/>
    <m/>
    <x v="0"/>
  </r>
  <r>
    <d v="2023-10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11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11-01T00:00:00"/>
    <x v="12"/>
    <s v="Manufacturing"/>
    <x v="4"/>
    <x v="2"/>
    <s v="1 North Bell Avenue"/>
    <s v="Carnegie"/>
    <s v="PA"/>
    <s v="USA"/>
    <x v="3"/>
    <n v="0"/>
    <n v="2768.17"/>
    <s v=""/>
    <n v="0"/>
    <n v="0"/>
    <m/>
    <m/>
    <n v="0"/>
    <n v="0"/>
    <m/>
    <m/>
    <x v="0"/>
  </r>
  <r>
    <d v="2023-12-01T00:00:00"/>
    <x v="10"/>
    <s v="Manufacturing"/>
    <x v="4"/>
    <x v="2"/>
    <s v="1 North Bell Avenue"/>
    <s v="Carnegie"/>
    <s v="PA"/>
    <s v="USA"/>
    <x v="3"/>
    <n v="58.210937999999999"/>
    <m/>
    <s v=""/>
    <n v="30.289000000000001"/>
    <n v="30.289171"/>
    <m/>
    <m/>
    <n v="30.289000000000001"/>
    <n v="30.289171"/>
    <m/>
    <m/>
    <x v="0"/>
  </r>
  <r>
    <d v="2022-01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1-01T00:00:00"/>
    <x v="8"/>
    <s v="Manufacturing"/>
    <x v="5"/>
    <x v="0"/>
    <s v="4650 South Racine Avenue"/>
    <s v="Chicago"/>
    <s v="IL"/>
    <s v="USA"/>
    <x v="0"/>
    <n v="24914.68677"/>
    <n v="586928.80000000005"/>
    <s v=""/>
    <n v="4515.6139999999996"/>
    <n v="4510.7600659999998"/>
    <n v="2.32084"/>
    <n v="2.5333709999999998"/>
    <n v="4515.6139999999996"/>
    <n v="4510.7600659999998"/>
    <n v="2.32084"/>
    <n v="2.5333709999999998"/>
    <x v="1"/>
  </r>
  <r>
    <d v="2022-01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2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2-01T00:00:00"/>
    <x v="8"/>
    <s v="Manufacturing"/>
    <x v="5"/>
    <x v="0"/>
    <s v="4650 South Racine Avenue"/>
    <s v="Chicago"/>
    <s v="IL"/>
    <s v="USA"/>
    <x v="0"/>
    <n v="24545.601856000001"/>
    <n v="615662.01"/>
    <s v=""/>
    <n v="4448.72"/>
    <n v="4443.9378939999997"/>
    <n v="2.2864589999999998"/>
    <n v="2.495841"/>
    <n v="4448.72"/>
    <n v="4443.9378939999997"/>
    <n v="2.2864589999999998"/>
    <n v="2.495841"/>
    <x v="1"/>
  </r>
  <r>
    <d v="2022-02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3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3-01T00:00:00"/>
    <x v="8"/>
    <s v="Manufacturing"/>
    <x v="5"/>
    <x v="0"/>
    <s v="4650 South Racine Avenue"/>
    <s v="Chicago"/>
    <s v="IL"/>
    <s v="USA"/>
    <x v="0"/>
    <n v="25046.653741999999"/>
    <n v="604211.65"/>
    <s v=""/>
    <n v="4539.5320000000002"/>
    <n v="4534.652454"/>
    <n v="2.3331330000000001"/>
    <n v="2.546789"/>
    <n v="4539.5320000000002"/>
    <n v="4534.652454"/>
    <n v="2.3331330000000001"/>
    <n v="2.546789"/>
    <x v="1"/>
  </r>
  <r>
    <d v="2022-03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4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4-01T00:00:00"/>
    <x v="8"/>
    <s v="Manufacturing"/>
    <x v="5"/>
    <x v="0"/>
    <s v="4650 South Racine Avenue"/>
    <s v="Chicago"/>
    <s v="IL"/>
    <s v="USA"/>
    <x v="0"/>
    <n v="23865.800062999999"/>
    <n v="608285.30000000005"/>
    <s v=""/>
    <n v="4325.5110000000004"/>
    <n v="4320.860979"/>
    <n v="2.2231339999999999"/>
    <n v="2.4267180000000002"/>
    <n v="4325.5110000000004"/>
    <n v="4320.860979"/>
    <n v="2.2231339999999999"/>
    <n v="2.4267180000000002"/>
    <x v="1"/>
  </r>
  <r>
    <d v="2022-04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5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5-01T00:00:00"/>
    <x v="8"/>
    <s v="Manufacturing"/>
    <x v="5"/>
    <x v="0"/>
    <s v="4650 South Racine Avenue"/>
    <s v="Chicago"/>
    <s v="IL"/>
    <s v="USA"/>
    <x v="0"/>
    <n v="22286.103034"/>
    <n v="676096.72"/>
    <s v=""/>
    <n v="4039.2020000000002"/>
    <n v="4034.8596200000002"/>
    <n v="2.0759829999999999"/>
    <n v="2.266092"/>
    <n v="4039.2020000000002"/>
    <n v="4034.8596200000002"/>
    <n v="2.0759829999999999"/>
    <n v="2.266092"/>
    <x v="1"/>
  </r>
  <r>
    <d v="2022-05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6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6-01T00:00:00"/>
    <x v="8"/>
    <s v="Manufacturing"/>
    <x v="5"/>
    <x v="0"/>
    <s v="4650 South Racine Avenue"/>
    <s v="Chicago"/>
    <s v="IL"/>
    <s v="USA"/>
    <x v="0"/>
    <n v="20182.350971"/>
    <n v="681999.77"/>
    <s v=""/>
    <n v="3657.9110000000001"/>
    <n v="3653.979022"/>
    <n v="1.8800159999999999"/>
    <n v="2.0521780000000001"/>
    <n v="3657.9110000000001"/>
    <n v="3653.979022"/>
    <n v="1.8800159999999999"/>
    <n v="2.0521780000000001"/>
    <x v="1"/>
  </r>
  <r>
    <d v="2022-06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7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7-01T00:00:00"/>
    <x v="8"/>
    <s v="Manufacturing"/>
    <x v="5"/>
    <x v="0"/>
    <s v="4650 South Racine Avenue"/>
    <s v="Chicago"/>
    <s v="IL"/>
    <s v="USA"/>
    <x v="0"/>
    <n v="5952.9357760000003"/>
    <n v="240253.76"/>
    <s v=""/>
    <n v="1078.9280000000001"/>
    <n v="1077.7685160000001"/>
    <n v="0.55452500000000005"/>
    <n v="0.60530499999999998"/>
    <n v="1078.9280000000001"/>
    <n v="1077.7685160000001"/>
    <n v="0.55452500000000005"/>
    <n v="0.60530499999999998"/>
    <x v="1"/>
  </r>
  <r>
    <d v="2022-07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8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8-01T00:00:00"/>
    <x v="8"/>
    <s v="Manufacturing"/>
    <x v="5"/>
    <x v="0"/>
    <s v="4650 South Racine Avenue"/>
    <s v="Chicago"/>
    <s v="IL"/>
    <s v="USA"/>
    <x v="0"/>
    <n v="28985.297398999999"/>
    <n v="1076303.79"/>
    <s v=""/>
    <n v="5253.384"/>
    <n v="5247.7369360000002"/>
    <n v="2.7000229999999998"/>
    <n v="2.9472779999999998"/>
    <n v="5253.384"/>
    <n v="5247.7369360000002"/>
    <n v="2.7000229999999998"/>
    <n v="2.9472779999999998"/>
    <x v="1"/>
  </r>
  <r>
    <d v="2022-08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9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9-01T00:00:00"/>
    <x v="8"/>
    <s v="Manufacturing"/>
    <x v="5"/>
    <x v="0"/>
    <s v="4650 South Racine Avenue"/>
    <s v="Chicago"/>
    <s v="IL"/>
    <s v="USA"/>
    <x v="0"/>
    <n v="21105.032482999999"/>
    <n v="805705.32"/>
    <s v=""/>
    <n v="3825.1410000000001"/>
    <n v="3821.0288820000001"/>
    <n v="1.965965"/>
    <n v="2.1459980000000001"/>
    <n v="3825.1410000000001"/>
    <n v="3821.0288820000001"/>
    <n v="1.965965"/>
    <n v="2.1459980000000001"/>
    <x v="1"/>
  </r>
  <r>
    <d v="2022-09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10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10-01T00:00:00"/>
    <x v="8"/>
    <s v="Manufacturing"/>
    <x v="5"/>
    <x v="0"/>
    <s v="4650 South Racine Avenue"/>
    <s v="Chicago"/>
    <s v="IL"/>
    <s v="USA"/>
    <x v="0"/>
    <n v="21586.765124000001"/>
    <n v="747410.64"/>
    <s v=""/>
    <n v="3912.4520000000002"/>
    <n v="3908.2457260000001"/>
    <n v="2.0108389999999998"/>
    <n v="2.194982"/>
    <n v="3912.4520000000002"/>
    <n v="3908.2457260000001"/>
    <n v="2.0108389999999998"/>
    <n v="2.194982"/>
    <x v="1"/>
  </r>
  <r>
    <d v="2022-10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11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11-01T00:00:00"/>
    <x v="8"/>
    <s v="Manufacturing"/>
    <x v="5"/>
    <x v="0"/>
    <s v="4650 South Racine Avenue"/>
    <s v="Chicago"/>
    <s v="IL"/>
    <s v="USA"/>
    <x v="0"/>
    <n v="20394.021551000002"/>
    <n v="650875.94999999995"/>
    <s v=""/>
    <n v="3696.2750000000001"/>
    <n v="3692.3016069999999"/>
    <n v="1.8997329999999999"/>
    <n v="2.0737009999999998"/>
    <n v="3696.2750000000001"/>
    <n v="3692.3016069999999"/>
    <n v="1.8997329999999999"/>
    <n v="2.0737009999999998"/>
    <x v="1"/>
  </r>
  <r>
    <d v="2022-11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12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12-01T00:00:00"/>
    <x v="8"/>
    <s v="Manufacturing"/>
    <x v="5"/>
    <x v="0"/>
    <s v="4650 South Racine Avenue"/>
    <s v="Chicago"/>
    <s v="IL"/>
    <s v="USA"/>
    <x v="0"/>
    <n v="23730.043682"/>
    <n v="807632.63"/>
    <s v=""/>
    <n v="4300.9059999999999"/>
    <n v="4296.282526"/>
    <n v="2.2104879999999998"/>
    <n v="2.4129139999999998"/>
    <n v="4300.9059999999999"/>
    <n v="4296.282526"/>
    <n v="2.2104879999999998"/>
    <n v="2.4129139999999998"/>
    <x v="1"/>
  </r>
  <r>
    <d v="2022-12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3-01-01T00:00:00"/>
    <x v="0"/>
    <s v="Manufacturing"/>
    <x v="5"/>
    <x v="0"/>
    <s v="4650 South Racine Avenue"/>
    <s v="Chicago"/>
    <s v="IL"/>
    <s v="USA"/>
    <x v="0"/>
    <n v="7.076498"/>
    <m/>
    <s v=""/>
    <n v="1.6559999999999999"/>
    <n v="1.633675"/>
    <n v="2.2339000000000001E-2"/>
    <n v="2.04E-4"/>
    <n v="1.6559999999999999"/>
    <n v="1.633675"/>
    <n v="2.2339000000000001E-2"/>
    <n v="2.04E-4"/>
    <x v="0"/>
  </r>
  <r>
    <d v="2023-01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1-01T00:00:00"/>
    <x v="8"/>
    <s v="Manufacturing"/>
    <x v="5"/>
    <x v="0"/>
    <s v="4650 South Racine Avenue"/>
    <s v="Chicago"/>
    <s v="IL"/>
    <s v="USA"/>
    <x v="0"/>
    <n v="25450.957006000001"/>
    <n v="680153.31"/>
    <s v=""/>
    <n v="4612.8100000000004"/>
    <n v="4607.8508460000003"/>
    <n v="2.3707940000000001"/>
    <n v="2.5878999999999999"/>
    <n v="4612.8100000000004"/>
    <n v="4607.8508460000003"/>
    <n v="2.3707940000000001"/>
    <n v="2.5878999999999999"/>
    <x v="0"/>
  </r>
  <r>
    <d v="2023-02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2-01T00:00:00"/>
    <x v="8"/>
    <s v="Manufacturing"/>
    <x v="5"/>
    <x v="0"/>
    <s v="4650 South Racine Avenue"/>
    <s v="Chicago"/>
    <s v="IL"/>
    <s v="USA"/>
    <x v="0"/>
    <n v="18680.493618"/>
    <n v="496166.34"/>
    <s v=""/>
    <n v="3385.71"/>
    <n v="3382.0703990000002"/>
    <n v="1.7401150000000001"/>
    <n v="1.899467"/>
    <n v="3385.71"/>
    <n v="3382.0703990000002"/>
    <n v="1.7401150000000001"/>
    <n v="1.899467"/>
    <x v="0"/>
  </r>
  <r>
    <d v="2023-03-01T00:00:00"/>
    <x v="0"/>
    <s v="Manufacturing"/>
    <x v="5"/>
    <x v="0"/>
    <s v="4650 South Racine Avenue"/>
    <s v="Chicago"/>
    <s v="IL"/>
    <s v="USA"/>
    <x v="0"/>
    <n v="11.478478000000001"/>
    <m/>
    <s v=""/>
    <n v="2.6859999999999999"/>
    <n v="2.6499130000000002"/>
    <n v="3.6234000000000002E-2"/>
    <n v="3.3100000000000002E-4"/>
    <n v="2.6859999999999999"/>
    <n v="2.6499130000000002"/>
    <n v="3.6234000000000002E-2"/>
    <n v="3.3100000000000002E-4"/>
    <x v="0"/>
  </r>
  <r>
    <d v="2023-03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3-01T00:00:00"/>
    <x v="8"/>
    <s v="Manufacturing"/>
    <x v="5"/>
    <x v="0"/>
    <s v="4650 South Racine Avenue"/>
    <s v="Chicago"/>
    <s v="IL"/>
    <s v="USA"/>
    <x v="0"/>
    <n v="24007.851610999998"/>
    <n v="495830.7"/>
    <s v=""/>
    <n v="4351.2569999999996"/>
    <n v="4346.5791609999997"/>
    <n v="2.236367"/>
    <n v="2.4411619999999998"/>
    <n v="4351.2569999999996"/>
    <n v="4346.5791609999997"/>
    <n v="2.236367"/>
    <n v="2.4411619999999998"/>
    <x v="0"/>
  </r>
  <r>
    <d v="2023-04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4-01T00:00:00"/>
    <x v="8"/>
    <s v="Manufacturing"/>
    <x v="5"/>
    <x v="0"/>
    <s v="4650 South Racine Avenue"/>
    <s v="Chicago"/>
    <s v="IL"/>
    <s v="USA"/>
    <x v="0"/>
    <n v="14027.275286"/>
    <n v="341470.55"/>
    <s v=""/>
    <n v="2542.346"/>
    <n v="2539.613433"/>
    <n v="1.3066610000000001"/>
    <n v="1.4263189999999999"/>
    <n v="2542.346"/>
    <n v="2539.613433"/>
    <n v="1.3066610000000001"/>
    <n v="1.4263189999999999"/>
    <x v="0"/>
  </r>
  <r>
    <d v="2023-05-01T00:00:00"/>
    <x v="0"/>
    <s v="Manufacturing"/>
    <x v="5"/>
    <x v="0"/>
    <s v="4650 South Racine Avenue"/>
    <s v="Chicago"/>
    <s v="IL"/>
    <s v="USA"/>
    <x v="0"/>
    <n v="11.332152000000001"/>
    <m/>
    <s v=""/>
    <n v="2.6520000000000001"/>
    <n v="2.6161319999999999"/>
    <n v="3.5772999999999999E-2"/>
    <n v="3.2699999999999998E-4"/>
    <n v="2.6520000000000001"/>
    <n v="2.6161319999999999"/>
    <n v="3.5772999999999999E-2"/>
    <n v="3.2699999999999998E-4"/>
    <x v="0"/>
  </r>
  <r>
    <d v="2023-05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5-01T00:00:00"/>
    <x v="8"/>
    <s v="Manufacturing"/>
    <x v="5"/>
    <x v="0"/>
    <s v="4650 South Racine Avenue"/>
    <s v="Chicago"/>
    <s v="IL"/>
    <s v="USA"/>
    <x v="0"/>
    <n v="21855.259254000001"/>
    <n v="452674.41"/>
    <s v=""/>
    <n v="3961.114"/>
    <n v="3956.8561140000002"/>
    <n v="2.0358489999999998"/>
    <n v="2.222283"/>
    <n v="3961.114"/>
    <n v="3956.8561140000002"/>
    <n v="2.0358489999999998"/>
    <n v="2.222283"/>
    <x v="0"/>
  </r>
  <r>
    <d v="2023-06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6-01T00:00:00"/>
    <x v="8"/>
    <s v="Manufacturing"/>
    <x v="5"/>
    <x v="0"/>
    <s v="4650 South Racine Avenue"/>
    <s v="Chicago"/>
    <s v="IL"/>
    <s v="USA"/>
    <x v="0"/>
    <n v="22320.471479"/>
    <n v="452479.88"/>
    <s v=""/>
    <n v="4045.431"/>
    <n v="4041.0819670000001"/>
    <n v="2.0791849999999998"/>
    <n v="2.2695859999999999"/>
    <n v="4045.431"/>
    <n v="4041.0819670000001"/>
    <n v="2.0791849999999998"/>
    <n v="2.2695859999999999"/>
    <x v="0"/>
  </r>
  <r>
    <d v="2023-06-01T00:00:00"/>
    <x v="9"/>
    <s v="Manufacturing"/>
    <x v="5"/>
    <x v="0"/>
    <s v="4650 South Racine Avenue"/>
    <s v="Chicago"/>
    <s v="IL"/>
    <s v="USA"/>
    <x v="0"/>
    <n v="3.4754040000000002"/>
    <m/>
    <s v=""/>
    <n v="0.749"/>
    <n v="0.74554799999999999"/>
    <n v="1.9419999999999999E-3"/>
    <n v="1.06E-3"/>
    <n v="0.749"/>
    <n v="0.74554799999999999"/>
    <n v="1.9419999999999999E-3"/>
    <n v="1.06E-3"/>
    <x v="0"/>
  </r>
  <r>
    <d v="2023-07-01T00:00:00"/>
    <x v="0"/>
    <s v="Manufacturing"/>
    <x v="5"/>
    <x v="0"/>
    <s v="4650 South Racine Avenue"/>
    <s v="Chicago"/>
    <s v="IL"/>
    <s v="USA"/>
    <x v="0"/>
    <n v="10.360709"/>
    <m/>
    <s v=""/>
    <n v="2.4249999999999998"/>
    <n v="2.3918650000000001"/>
    <n v="3.2705999999999999E-2"/>
    <n v="2.99E-4"/>
    <n v="2.4249999999999998"/>
    <n v="2.3918650000000001"/>
    <n v="3.2705999999999999E-2"/>
    <n v="2.99E-4"/>
    <x v="0"/>
  </r>
  <r>
    <d v="2023-07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7-01T00:00:00"/>
    <x v="8"/>
    <s v="Manufacturing"/>
    <x v="5"/>
    <x v="0"/>
    <s v="4650 South Racine Avenue"/>
    <s v="Chicago"/>
    <s v="IL"/>
    <s v="USA"/>
    <x v="0"/>
    <n v="15340.471068000001"/>
    <n v="386575.78"/>
    <s v=""/>
    <n v="2780.3539999999998"/>
    <n v="2777.3652120000002"/>
    <n v="1.428987"/>
    <n v="1.559847"/>
    <n v="2780.3539999999998"/>
    <n v="2777.3652120000002"/>
    <n v="1.428987"/>
    <n v="1.559847"/>
    <x v="0"/>
  </r>
  <r>
    <d v="2023-08-01T00:00:00"/>
    <x v="0"/>
    <s v="Manufacturing"/>
    <x v="5"/>
    <x v="0"/>
    <s v="4650 South Racine Avenue"/>
    <s v="Chicago"/>
    <s v="IL"/>
    <s v="USA"/>
    <x v="0"/>
    <n v="6.1375719999999996"/>
    <m/>
    <s v=""/>
    <n v="1.4359999999999999"/>
    <n v="1.4169149999999999"/>
    <n v="1.9375E-2"/>
    <n v="1.7699999999999999E-4"/>
    <n v="1.4359999999999999"/>
    <n v="1.4169149999999999"/>
    <n v="1.9375E-2"/>
    <n v="1.7699999999999999E-4"/>
    <x v="0"/>
  </r>
  <r>
    <d v="2023-08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8-01T00:00:00"/>
    <x v="8"/>
    <s v="Manufacturing"/>
    <x v="5"/>
    <x v="0"/>
    <s v="4650 South Racine Avenue"/>
    <s v="Chicago"/>
    <s v="IL"/>
    <s v="USA"/>
    <x v="0"/>
    <n v="21143.374971000001"/>
    <n v="462885.85"/>
    <s v=""/>
    <n v="3832.09"/>
    <n v="3827.9707210000001"/>
    <n v="1.969536"/>
    <n v="2.1498970000000002"/>
    <n v="3832.09"/>
    <n v="3827.9707210000001"/>
    <n v="1.969536"/>
    <n v="2.1498970000000002"/>
    <x v="0"/>
  </r>
  <r>
    <d v="2023-09-01T00:00:00"/>
    <x v="0"/>
    <s v="Manufacturing"/>
    <x v="5"/>
    <x v="0"/>
    <s v="4650 South Racine Avenue"/>
    <s v="Chicago"/>
    <s v="IL"/>
    <s v="USA"/>
    <x v="0"/>
    <n v="10.165607"/>
    <m/>
    <s v=""/>
    <n v="2.379"/>
    <n v="2.3468239999999998"/>
    <n v="3.209E-2"/>
    <n v="2.9300000000000002E-4"/>
    <n v="2.379"/>
    <n v="2.3468239999999998"/>
    <n v="3.209E-2"/>
    <n v="2.9300000000000002E-4"/>
    <x v="0"/>
  </r>
  <r>
    <d v="2023-09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9-01T00:00:00"/>
    <x v="8"/>
    <s v="Manufacturing"/>
    <x v="5"/>
    <x v="0"/>
    <s v="4650 South Racine Avenue"/>
    <s v="Chicago"/>
    <s v="IL"/>
    <s v="USA"/>
    <x v="0"/>
    <n v="17313.422580999999"/>
    <n v="404710.55"/>
    <s v=""/>
    <n v="3137.9380000000001"/>
    <n v="3134.564601"/>
    <n v="1.612771"/>
    <n v="1.7604599999999999"/>
    <n v="3137.9380000000001"/>
    <n v="3134.564601"/>
    <n v="1.612771"/>
    <n v="1.7604599999999999"/>
    <x v="0"/>
  </r>
  <r>
    <d v="2023-10-01T00:00:00"/>
    <x v="0"/>
    <s v="Manufacturing"/>
    <x v="5"/>
    <x v="0"/>
    <s v="4650 South Racine Avenue"/>
    <s v="Chicago"/>
    <s v="IL"/>
    <s v="USA"/>
    <x v="0"/>
    <n v="6.7797809999999998"/>
    <m/>
    <s v=""/>
    <n v="1.587"/>
    <n v="1.565175"/>
    <n v="2.1402000000000001E-2"/>
    <n v="1.9599999999999999E-4"/>
    <n v="1.587"/>
    <n v="1.565175"/>
    <n v="2.1402000000000001E-2"/>
    <n v="1.9599999999999999E-4"/>
    <x v="0"/>
  </r>
  <r>
    <d v="2023-10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10-01T00:00:00"/>
    <x v="8"/>
    <s v="Manufacturing"/>
    <x v="5"/>
    <x v="0"/>
    <s v="4650 South Racine Avenue"/>
    <s v="Chicago"/>
    <s v="IL"/>
    <s v="USA"/>
    <x v="0"/>
    <n v="19723.293238999999"/>
    <n v="449507.07"/>
    <s v=""/>
    <n v="3574.71"/>
    <n v="3570.8674299999998"/>
    <n v="1.8372539999999999"/>
    <n v="2.0055000000000001"/>
    <n v="3574.71"/>
    <n v="3570.8674299999998"/>
    <n v="1.8372539999999999"/>
    <n v="2.0055000000000001"/>
    <x v="0"/>
  </r>
  <r>
    <d v="2023-11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11-01T00:00:00"/>
    <x v="8"/>
    <s v="Manufacturing"/>
    <x v="5"/>
    <x v="0"/>
    <s v="4650 South Racine Avenue"/>
    <s v="Chicago"/>
    <s v="IL"/>
    <s v="USA"/>
    <x v="0"/>
    <n v="20769.597989000002"/>
    <n v="441495.24"/>
    <s v=""/>
    <n v="3764.346"/>
    <n v="3760.2990589999999"/>
    <n v="1.9347190000000001"/>
    <n v="2.111891"/>
    <n v="3764.346"/>
    <n v="3760.2990589999999"/>
    <n v="1.9347190000000001"/>
    <n v="2.111891"/>
    <x v="0"/>
  </r>
  <r>
    <d v="2023-11-01T00:00:00"/>
    <x v="9"/>
    <s v="Manufacturing"/>
    <x v="5"/>
    <x v="0"/>
    <s v="4650 South Racine Avenue"/>
    <s v="Chicago"/>
    <s v="IL"/>
    <s v="USA"/>
    <x v="0"/>
    <n v="4.5614679999999996"/>
    <n v="757.52"/>
    <s v=""/>
    <n v="0.98199999999999998"/>
    <n v="0.97853199999999996"/>
    <n v="2.5490000000000001E-3"/>
    <n v="1.3910000000000001E-3"/>
    <n v="0.98199999999999998"/>
    <n v="0.97853199999999996"/>
    <n v="2.5500000000000002E-3"/>
    <n v="1.3910000000000001E-3"/>
    <x v="0"/>
  </r>
  <r>
    <d v="2023-12-01T00:00:00"/>
    <x v="0"/>
    <s v="Manufacturing"/>
    <x v="5"/>
    <x v="0"/>
    <s v="4650 South Racine Avenue"/>
    <s v="Chicago"/>
    <s v="IL"/>
    <s v="USA"/>
    <x v="0"/>
    <n v="10.120896"/>
    <n v="887.93"/>
    <s v=""/>
    <n v="2.3690000000000002"/>
    <n v="2.3365019999999999"/>
    <n v="3.1948999999999998E-2"/>
    <n v="2.92E-4"/>
    <n v="2.3690000000000002"/>
    <n v="2.3365019999999999"/>
    <n v="3.1948999999999998E-2"/>
    <n v="2.92E-4"/>
    <x v="0"/>
  </r>
  <r>
    <d v="2023-12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12-01T00:00:00"/>
    <x v="8"/>
    <s v="Manufacturing"/>
    <x v="5"/>
    <x v="0"/>
    <s v="4650 South Racine Avenue"/>
    <s v="Chicago"/>
    <s v="IL"/>
    <s v="USA"/>
    <x v="0"/>
    <n v="25116.348973"/>
    <n v="528463.4"/>
    <s v=""/>
    <n v="4552.1639999999998"/>
    <n v="4547.2706520000002"/>
    <n v="2.3396249999999998"/>
    <n v="2.5538759999999998"/>
    <n v="4552.1639999999998"/>
    <n v="4547.2706520000002"/>
    <n v="2.3396249999999998"/>
    <n v="2.5538759999999998"/>
    <x v="0"/>
  </r>
  <r>
    <d v="2022-01-01T00:00:00"/>
    <x v="4"/>
    <s v="Manufacturing"/>
    <x v="5"/>
    <x v="1"/>
    <s v="4650 South Racine Avenue"/>
    <s v="Chicago"/>
    <s v="IL"/>
    <s v="USA"/>
    <x v="0"/>
    <n v="2722.8980000000001"/>
    <n v="263272.55"/>
    <s v=""/>
    <n v="909.02300000000002"/>
    <n v="909.02311799999995"/>
    <m/>
    <m/>
    <n v="1300.057"/>
    <n v="1292.0627340000001"/>
    <n v="4.7204980000000001"/>
    <n v="3.2735949999999998"/>
    <x v="1"/>
  </r>
  <r>
    <d v="2022-02-01T00:00:00"/>
    <x v="4"/>
    <s v="Manufacturing"/>
    <x v="5"/>
    <x v="1"/>
    <s v="4650 South Racine Avenue"/>
    <s v="Chicago"/>
    <s v="IL"/>
    <s v="USA"/>
    <x v="0"/>
    <n v="2672.8049999999998"/>
    <n v="280922.08"/>
    <s v=""/>
    <n v="892.3"/>
    <n v="892.29987100000005"/>
    <m/>
    <m/>
    <n v="1276.1400000000001"/>
    <n v="1268.2927299999999"/>
    <n v="4.6336550000000001"/>
    <n v="3.213371"/>
    <x v="1"/>
  </r>
  <r>
    <d v="2022-03-01T00:00:00"/>
    <x v="4"/>
    <s v="Manufacturing"/>
    <x v="5"/>
    <x v="1"/>
    <s v="4650 South Racine Avenue"/>
    <s v="Chicago"/>
    <s v="IL"/>
    <s v="USA"/>
    <x v="0"/>
    <n v="2842.4540000000002"/>
    <n v="289878.31"/>
    <s v=""/>
    <n v="948.93600000000004"/>
    <n v="948.93616899999995"/>
    <m/>
    <m/>
    <n v="1357.1389999999999"/>
    <n v="1348.794148"/>
    <n v="4.9277639999999998"/>
    <n v="3.4173309999999999"/>
    <x v="1"/>
  </r>
  <r>
    <d v="2022-04-01T00:00:00"/>
    <x v="4"/>
    <s v="Manufacturing"/>
    <x v="5"/>
    <x v="1"/>
    <s v="4650 South Racine Avenue"/>
    <s v="Chicago"/>
    <s v="IL"/>
    <s v="USA"/>
    <x v="0"/>
    <n v="2666.0949999999998"/>
    <n v="272458.34999999998"/>
    <s v=""/>
    <n v="890.06"/>
    <n v="890.05977800000005"/>
    <m/>
    <m/>
    <n v="1272.9359999999999"/>
    <n v="1265.1087170000001"/>
    <n v="4.6220220000000003"/>
    <n v="3.2053039999999999"/>
    <x v="1"/>
  </r>
  <r>
    <d v="2022-05-01T00:00:00"/>
    <x v="4"/>
    <s v="Manufacturing"/>
    <x v="5"/>
    <x v="1"/>
    <s v="4650 South Racine Avenue"/>
    <s v="Chicago"/>
    <s v="IL"/>
    <s v="USA"/>
    <x v="0"/>
    <n v="3118.5639999999999"/>
    <n v="242095.13"/>
    <s v=""/>
    <n v="1041.114"/>
    <n v="1041.113832"/>
    <m/>
    <m/>
    <n v="1488.9690000000001"/>
    <n v="1479.813173"/>
    <n v="5.4064360000000002"/>
    <n v="3.7492830000000001"/>
    <x v="1"/>
  </r>
  <r>
    <d v="2022-06-01T00:00:00"/>
    <x v="4"/>
    <s v="Manufacturing"/>
    <x v="5"/>
    <x v="1"/>
    <s v="4650 South Racine Avenue"/>
    <s v="Chicago"/>
    <s v="IL"/>
    <s v="USA"/>
    <x v="0"/>
    <n v="2753.3330000000001"/>
    <n v="259855.66"/>
    <s v=""/>
    <n v="919.18399999999997"/>
    <n v="919.18366000000003"/>
    <m/>
    <m/>
    <n v="1314.588"/>
    <n v="1306.504674"/>
    <n v="4.7732609999999998"/>
    <n v="3.3101850000000002"/>
    <x v="1"/>
  </r>
  <r>
    <d v="2022-07-01T00:00:00"/>
    <x v="4"/>
    <s v="Manufacturing"/>
    <x v="5"/>
    <x v="1"/>
    <s v="4650 South Racine Avenue"/>
    <s v="Chicago"/>
    <s v="IL"/>
    <s v="USA"/>
    <x v="0"/>
    <n v="2473.8119999999999"/>
    <n v="287289.83"/>
    <s v=""/>
    <n v="825.86699999999996"/>
    <n v="825.867255"/>
    <m/>
    <m/>
    <n v="1181.1300000000001"/>
    <n v="1173.86707"/>
    <n v="4.2886749999999996"/>
    <n v="2.974132"/>
    <x v="1"/>
  </r>
  <r>
    <d v="2022-08-01T00:00:00"/>
    <x v="4"/>
    <s v="Manufacturing"/>
    <x v="5"/>
    <x v="1"/>
    <s v="4650 South Racine Avenue"/>
    <s v="Chicago"/>
    <s v="IL"/>
    <s v="USA"/>
    <x v="0"/>
    <n v="2587.4348799999998"/>
    <n v="282520.7"/>
    <s v=""/>
    <n v="863.8"/>
    <n v="863.79957000000002"/>
    <m/>
    <m/>
    <n v="1235.3800000000001"/>
    <n v="1227.7831140000001"/>
    <n v="4.4856550000000004"/>
    <n v="3.110735"/>
    <x v="1"/>
  </r>
  <r>
    <d v="2022-09-01T00:00:00"/>
    <x v="4"/>
    <s v="Manufacturing"/>
    <x v="5"/>
    <x v="1"/>
    <s v="4650 South Racine Avenue"/>
    <s v="Chicago"/>
    <s v="IL"/>
    <s v="USA"/>
    <x v="0"/>
    <n v="2815.2374599999998"/>
    <n v="280532.63"/>
    <s v=""/>
    <n v="939.85"/>
    <n v="939.85009100000002"/>
    <m/>
    <m/>
    <n v="1344.145"/>
    <n v="1335.8794230000001"/>
    <n v="4.8805800000000001"/>
    <n v="3.3846099999999999"/>
    <x v="1"/>
  </r>
  <r>
    <d v="2022-10-01T00:00:00"/>
    <x v="4"/>
    <s v="Manufacturing"/>
    <x v="5"/>
    <x v="1"/>
    <s v="4650 South Racine Avenue"/>
    <s v="Chicago"/>
    <s v="IL"/>
    <s v="USA"/>
    <x v="0"/>
    <n v="2728.1756700000001"/>
    <n v="235880.29"/>
    <s v=""/>
    <n v="910.78499999999997"/>
    <n v="910.78503599999999"/>
    <m/>
    <m/>
    <n v="1302.577"/>
    <n v="1294.5670809999999"/>
    <n v="4.7296469999999999"/>
    <n v="3.2799399999999999"/>
    <x v="1"/>
  </r>
  <r>
    <d v="2022-11-01T00:00:00"/>
    <x v="4"/>
    <s v="Manufacturing"/>
    <x v="5"/>
    <x v="1"/>
    <s v="4650 South Racine Avenue"/>
    <s v="Chicago"/>
    <s v="IL"/>
    <s v="USA"/>
    <x v="0"/>
    <n v="2646.3204599999999"/>
    <n v="252554.27"/>
    <s v=""/>
    <n v="883.45799999999997"/>
    <n v="883.458167"/>
    <m/>
    <m/>
    <n v="1263.4949999999999"/>
    <n v="1255.7253519999999"/>
    <n v="4.5877410000000003"/>
    <n v="3.18153"/>
    <x v="1"/>
  </r>
  <r>
    <d v="2022-12-01T00:00:00"/>
    <x v="4"/>
    <s v="Manufacturing"/>
    <x v="5"/>
    <x v="1"/>
    <s v="4650 South Racine Avenue"/>
    <s v="Chicago"/>
    <s v="IL"/>
    <s v="USA"/>
    <x v="0"/>
    <n v="2921.172"/>
    <n v="208659.79"/>
    <s v=""/>
    <n v="975.21600000000001"/>
    <n v="975.21569999999997"/>
    <m/>
    <m/>
    <n v="1394.723"/>
    <n v="1386.1472160000001"/>
    <n v="5.0642319999999996"/>
    <n v="3.5119690000000001"/>
    <x v="1"/>
  </r>
  <r>
    <d v="2023-01-01T00:00:00"/>
    <x v="4"/>
    <s v="Manufacturing"/>
    <x v="5"/>
    <x v="1"/>
    <s v="4650 South Racine Avenue"/>
    <s v="Chicago"/>
    <s v="IL"/>
    <s v="USA"/>
    <x v="0"/>
    <n v="2569.8910000000001"/>
    <n v="183567.8"/>
    <s v=""/>
    <n v="743.70600000000002"/>
    <n v="743.70572200000004"/>
    <m/>
    <m/>
    <n v="1227.0029999999999"/>
    <n v="1219.4582359999999"/>
    <n v="4.4552399999999999"/>
    <n v="3.0896430000000001"/>
    <x v="0"/>
  </r>
  <r>
    <d v="2023-02-01T00:00:00"/>
    <x v="4"/>
    <s v="Manufacturing"/>
    <x v="5"/>
    <x v="1"/>
    <s v="4650 South Racine Avenue"/>
    <s v="Chicago"/>
    <s v="IL"/>
    <s v="USA"/>
    <x v="0"/>
    <n v="2550.8000000000002"/>
    <n v="273671.11"/>
    <s v=""/>
    <n v="738.18100000000004"/>
    <n v="738.18094099999996"/>
    <m/>
    <m/>
    <n v="1217.8879999999999"/>
    <n v="1210.3992229999999"/>
    <n v="4.4221440000000003"/>
    <n v="3.0666910000000001"/>
    <x v="0"/>
  </r>
  <r>
    <d v="2023-03-01T00:00:00"/>
    <x v="4"/>
    <s v="Manufacturing"/>
    <x v="5"/>
    <x v="1"/>
    <s v="4650 South Racine Avenue"/>
    <s v="Chicago"/>
    <s v="IL"/>
    <s v="USA"/>
    <x v="0"/>
    <n v="2797.4430000000002"/>
    <n v="289321.56"/>
    <s v=""/>
    <n v="809.55700000000002"/>
    <n v="809.55743500000005"/>
    <m/>
    <m/>
    <n v="1335.6489999999999"/>
    <n v="1327.435641"/>
    <n v="4.8497310000000002"/>
    <n v="3.363216"/>
    <x v="0"/>
  </r>
  <r>
    <d v="2023-04-01T00:00:00"/>
    <x v="4"/>
    <s v="Manufacturing"/>
    <x v="5"/>
    <x v="1"/>
    <s v="4650 South Racine Avenue"/>
    <s v="Chicago"/>
    <s v="IL"/>
    <s v="USA"/>
    <x v="0"/>
    <n v="2488.962"/>
    <n v="268001.09000000003"/>
    <s v=""/>
    <n v="720.28599999999994"/>
    <n v="720.28552300000001"/>
    <m/>
    <m/>
    <n v="1188.3630000000001"/>
    <n v="1181.05601"/>
    <n v="4.3149389999999999"/>
    <n v="2.992346"/>
    <x v="0"/>
  </r>
  <r>
    <d v="2023-05-01T00:00:00"/>
    <x v="4"/>
    <s v="Manufacturing"/>
    <x v="5"/>
    <x v="1"/>
    <s v="4650 South Racine Avenue"/>
    <s v="Chicago"/>
    <s v="IL"/>
    <s v="USA"/>
    <x v="0"/>
    <n v="2626.2510000000002"/>
    <n v="314361.98"/>
    <s v=""/>
    <n v="760.01599999999996"/>
    <n v="760.015852"/>
    <m/>
    <m/>
    <n v="1253.912"/>
    <n v="1246.2020419999999"/>
    <n v="4.5529479999999998"/>
    <n v="3.1574010000000001"/>
    <x v="0"/>
  </r>
  <r>
    <d v="2023-06-01T00:00:00"/>
    <x v="4"/>
    <s v="Manufacturing"/>
    <x v="5"/>
    <x v="1"/>
    <s v="4650 South Racine Avenue"/>
    <s v="Chicago"/>
    <s v="IL"/>
    <s v="USA"/>
    <x v="0"/>
    <n v="2516.5880000000002"/>
    <n v="306601.69"/>
    <s v=""/>
    <n v="728.28"/>
    <n v="728.28026399999999"/>
    <m/>
    <m/>
    <n v="1201.5530000000001"/>
    <n v="1194.1650299999999"/>
    <n v="4.3628330000000002"/>
    <n v="3.0255589999999999"/>
    <x v="0"/>
  </r>
  <r>
    <d v="2023-07-01T00:00:00"/>
    <x v="4"/>
    <s v="Manufacturing"/>
    <x v="5"/>
    <x v="1"/>
    <s v="4650 South Racine Avenue"/>
    <s v="Chicago"/>
    <s v="IL"/>
    <s v="USA"/>
    <x v="0"/>
    <n v="2685.1770000000001"/>
    <n v="322905.90000000002"/>
    <s v=""/>
    <n v="777.06899999999996"/>
    <n v="777.06856100000005"/>
    <m/>
    <m/>
    <n v="1282.047"/>
    <n v="1274.16346"/>
    <n v="4.6551039999999997"/>
    <n v="3.2282449999999998"/>
    <x v="0"/>
  </r>
  <r>
    <d v="2023-08-01T00:00:00"/>
    <x v="4"/>
    <s v="Manufacturing"/>
    <x v="5"/>
    <x v="1"/>
    <s v="4650 South Racine Avenue"/>
    <s v="Chicago"/>
    <s v="IL"/>
    <s v="USA"/>
    <x v="0"/>
    <n v="2444.2190000000001"/>
    <n v="298360.49"/>
    <s v=""/>
    <n v="707.33699999999999"/>
    <n v="707.33725900000002"/>
    <m/>
    <m/>
    <n v="1167.001"/>
    <n v="1159.824674"/>
    <n v="4.2373710000000004"/>
    <n v="2.9385539999999999"/>
    <x v="0"/>
  </r>
  <r>
    <d v="2023-09-01T00:00:00"/>
    <x v="4"/>
    <s v="Manufacturing"/>
    <x v="5"/>
    <x v="1"/>
    <s v="4650 South Racine Avenue"/>
    <s v="Chicago"/>
    <s v="IL"/>
    <s v="USA"/>
    <x v="0"/>
    <n v="2504.0479999999998"/>
    <n v="299014.69"/>
    <s v=""/>
    <n v="724.65099999999995"/>
    <n v="724.65128900000002"/>
    <m/>
    <m/>
    <n v="1195.566"/>
    <n v="1188.214581"/>
    <n v="4.3410929999999999"/>
    <n v="3.0104829999999998"/>
    <x v="0"/>
  </r>
  <r>
    <d v="2023-10-01T00:00:00"/>
    <x v="4"/>
    <s v="Manufacturing"/>
    <x v="5"/>
    <x v="1"/>
    <s v="4650 South Racine Avenue"/>
    <s v="Chicago"/>
    <s v="IL"/>
    <s v="USA"/>
    <x v="0"/>
    <n v="2632.48"/>
    <n v="318821.57"/>
    <s v=""/>
    <n v="761.81799999999998"/>
    <n v="761.81847400000004"/>
    <m/>
    <m/>
    <n v="1256.886"/>
    <n v="1249.1578119999999"/>
    <n v="4.5637460000000001"/>
    <n v="3.1648900000000002"/>
    <x v="0"/>
  </r>
  <r>
    <d v="2023-11-01T00:00:00"/>
    <x v="4"/>
    <s v="Manufacturing"/>
    <x v="5"/>
    <x v="1"/>
    <s v="4650 South Racine Avenue"/>
    <s v="Chicago"/>
    <s v="IL"/>
    <s v="USA"/>
    <x v="0"/>
    <n v="2580.8409999999999"/>
    <n v="318804.40000000002"/>
    <s v=""/>
    <n v="746.875"/>
    <n v="746.87456399999996"/>
    <m/>
    <m/>
    <n v="1232.231"/>
    <n v="1224.6542030000001"/>
    <n v="4.4742230000000003"/>
    <n v="3.1028069999999999"/>
    <x v="0"/>
  </r>
  <r>
    <d v="2023-12-01T00:00:00"/>
    <x v="4"/>
    <s v="Manufacturing"/>
    <x v="5"/>
    <x v="1"/>
    <s v="4650 South Racine Avenue"/>
    <s v="Chicago"/>
    <s v="IL"/>
    <s v="USA"/>
    <x v="0"/>
    <n v="2882.6759999999999"/>
    <n v="363306.3"/>
    <s v=""/>
    <n v="834.22299999999996"/>
    <n v="834.22317799999996"/>
    <m/>
    <m/>
    <n v="1376.3430000000001"/>
    <n v="1367.8801900000001"/>
    <n v="4.9974939999999997"/>
    <n v="3.465687"/>
    <x v="0"/>
  </r>
  <r>
    <d v="2022-10-01T00:00:00"/>
    <x v="12"/>
    <s v="Manufacturing"/>
    <x v="5"/>
    <x v="2"/>
    <s v="4650 South Racine Avenue"/>
    <s v="Chicago"/>
    <s v="IL"/>
    <s v="USA"/>
    <x v="3"/>
    <n v="0"/>
    <n v="5835.96"/>
    <s v=""/>
    <n v="0"/>
    <n v="0"/>
    <m/>
    <m/>
    <n v="0"/>
    <n v="0"/>
    <m/>
    <m/>
    <x v="1"/>
  </r>
  <r>
    <d v="2023-11-01T00:00:00"/>
    <x v="12"/>
    <s v="Manufacturing"/>
    <x v="5"/>
    <x v="2"/>
    <s v="4650 South Racine Avenue"/>
    <s v="Chicago"/>
    <s v="IL"/>
    <s v="USA"/>
    <x v="3"/>
    <n v="0"/>
    <n v="68401.58"/>
    <s v=""/>
    <n v="0"/>
    <n v="0"/>
    <m/>
    <m/>
    <n v="0"/>
    <n v="0"/>
    <m/>
    <m/>
    <x v="0"/>
  </r>
  <r>
    <d v="2023-12-01T00:00:00"/>
    <x v="12"/>
    <s v="Manufacturing"/>
    <x v="5"/>
    <x v="2"/>
    <s v="4650 South Racine Avenue"/>
    <s v="Chicago"/>
    <s v="IL"/>
    <s v="USA"/>
    <x v="3"/>
    <n v="0"/>
    <n v="7076.38"/>
    <s v=""/>
    <n v="0"/>
    <n v="0"/>
    <m/>
    <m/>
    <n v="0"/>
    <n v="0"/>
    <m/>
    <m/>
    <x v="0"/>
  </r>
  <r>
    <d v="2022-01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1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1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2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2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2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3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3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3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4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4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4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5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5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5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6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6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6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7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7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7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8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8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8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9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9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9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10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10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10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11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11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11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12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12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12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3-01-01T00:00:00"/>
    <x v="0"/>
    <s v="Farm"/>
    <x v="6"/>
    <x v="0"/>
    <s v="57907 Butterfield Stage Rd"/>
    <s v="Dateland"/>
    <s v="AZ"/>
    <s v="USA"/>
    <x v="0"/>
    <n v="44.548202000000003"/>
    <m/>
    <s v=""/>
    <n v="10.426"/>
    <n v="10.284364"/>
    <n v="0.140627"/>
    <n v="1.286E-3"/>
    <n v="10.426"/>
    <n v="10.284364"/>
    <n v="0.140627"/>
    <n v="1.286E-3"/>
    <x v="0"/>
  </r>
  <r>
    <d v="2023-01-01T00:00:00"/>
    <x v="14"/>
    <s v="Farm"/>
    <x v="6"/>
    <x v="0"/>
    <s v="57907 Butterfield Stage Rd"/>
    <s v="Dateland"/>
    <s v="AZ"/>
    <s v="USA"/>
    <x v="2"/>
    <n v="38"/>
    <m/>
    <s v=""/>
    <n v="0.36099999999999999"/>
    <n v="0.35657499999999998"/>
    <n v="4.8760000000000001E-3"/>
    <n v="4.5000000000000003E-5"/>
    <n v="0.36099999999999999"/>
    <n v="0.35657499999999998"/>
    <n v="4.8760000000000001E-3"/>
    <n v="4.5000000000000003E-5"/>
    <x v="0"/>
  </r>
  <r>
    <d v="2023-01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1-01T00:00:00"/>
    <x v="6"/>
    <s v="Farm"/>
    <x v="6"/>
    <x v="0"/>
    <s v="57907 Butterfield Stage Rd"/>
    <s v="Dateland"/>
    <s v="AZ"/>
    <s v="USA"/>
    <x v="0"/>
    <n v="37.403196000000001"/>
    <m/>
    <s v=""/>
    <n v="8.109"/>
    <n v="8.0526850000000003"/>
    <n v="2.3370999999999999E-2"/>
    <n v="3.3169999999999998E-2"/>
    <n v="8.109"/>
    <n v="8.0526850000000003"/>
    <n v="2.3370999999999999E-2"/>
    <n v="3.3169999999999998E-2"/>
    <x v="0"/>
  </r>
  <r>
    <d v="2023-01-01T00:00:00"/>
    <x v="8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0"/>
  </r>
  <r>
    <d v="2023-01-01T00:00:00"/>
    <x v="9"/>
    <s v="Farm"/>
    <x v="6"/>
    <x v="0"/>
    <s v="57907 Butterfield Stage Rd"/>
    <s v="Dateland"/>
    <s v="AZ"/>
    <s v="USA"/>
    <x v="0"/>
    <n v="0.32020100000000001"/>
    <m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0"/>
  </r>
  <r>
    <d v="2023-02-01T00:00:00"/>
    <x v="0"/>
    <s v="Farm"/>
    <x v="6"/>
    <x v="0"/>
    <s v="57907 Butterfield Stage Rd"/>
    <s v="Dateland"/>
    <s v="AZ"/>
    <s v="USA"/>
    <x v="0"/>
    <n v="51.539344"/>
    <m/>
    <s v=""/>
    <n v="12.063000000000001"/>
    <n v="11.898332999999999"/>
    <n v="0.16269600000000001"/>
    <n v="1.488E-3"/>
    <n v="12.063000000000001"/>
    <n v="11.898332999999999"/>
    <n v="0.16269600000000001"/>
    <n v="1.488E-3"/>
    <x v="0"/>
  </r>
  <r>
    <d v="2023-02-01T00:00:00"/>
    <x v="14"/>
    <s v="Farm"/>
    <x v="6"/>
    <x v="0"/>
    <s v="57907 Butterfield Stage Rd"/>
    <s v="Dateland"/>
    <s v="AZ"/>
    <s v="USA"/>
    <x v="2"/>
    <n v="619"/>
    <m/>
    <s v=""/>
    <n v="5.8890000000000002"/>
    <n v="5.808414"/>
    <n v="7.9422999999999994E-2"/>
    <n v="7.2599999999999997E-4"/>
    <n v="5.8890000000000002"/>
    <n v="5.808414"/>
    <n v="7.9422999999999994E-2"/>
    <n v="7.2599999999999997E-4"/>
    <x v="0"/>
  </r>
  <r>
    <d v="2023-02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2-01T00:00:00"/>
    <x v="6"/>
    <s v="Farm"/>
    <x v="6"/>
    <x v="0"/>
    <s v="57907 Butterfield Stage Rd"/>
    <s v="Dateland"/>
    <s v="AZ"/>
    <s v="USA"/>
    <x v="0"/>
    <n v="39.564594999999997"/>
    <m/>
    <s v=""/>
    <n v="8.5779999999999994"/>
    <n v="8.5180209999999992"/>
    <n v="2.4721E-2"/>
    <n v="3.5087E-2"/>
    <n v="8.5779999999999994"/>
    <n v="8.5180209999999992"/>
    <n v="2.4721E-2"/>
    <n v="3.5087E-2"/>
    <x v="0"/>
  </r>
  <r>
    <d v="2023-02-01T00:00:00"/>
    <x v="8"/>
    <s v="Farm"/>
    <x v="6"/>
    <x v="0"/>
    <s v="57907 Butterfield Stage Rd"/>
    <s v="Dateland"/>
    <s v="AZ"/>
    <s v="USA"/>
    <x v="0"/>
    <n v="192.04947200000001"/>
    <m/>
    <s v=""/>
    <n v="34.808"/>
    <n v="34.770218"/>
    <n v="1.789E-2"/>
    <n v="1.9528E-2"/>
    <n v="34.808"/>
    <n v="34.770218"/>
    <n v="1.789E-2"/>
    <n v="1.9528E-2"/>
    <x v="0"/>
  </r>
  <r>
    <d v="2023-02-01T00:00:00"/>
    <x v="9"/>
    <s v="Farm"/>
    <x v="6"/>
    <x v="0"/>
    <s v="57907 Butterfield Stage Rd"/>
    <s v="Dateland"/>
    <s v="AZ"/>
    <s v="USA"/>
    <x v="0"/>
    <n v="19.116004"/>
    <m/>
    <s v=""/>
    <n v="4.117"/>
    <n v="4.1007910000000001"/>
    <n v="1.0684000000000001E-2"/>
    <n v="5.8310000000000002E-3"/>
    <n v="4.117"/>
    <n v="4.1007910000000001"/>
    <n v="1.0684000000000001E-2"/>
    <n v="5.8310000000000002E-3"/>
    <x v="0"/>
  </r>
  <r>
    <d v="2023-03-01T00:00:00"/>
    <x v="0"/>
    <s v="Farm"/>
    <x v="6"/>
    <x v="0"/>
    <s v="57907 Butterfield Stage Rd"/>
    <s v="Dateland"/>
    <s v="AZ"/>
    <s v="USA"/>
    <x v="0"/>
    <n v="49.588327"/>
    <m/>
    <s v=""/>
    <n v="11.606"/>
    <n v="11.447922999999999"/>
    <n v="0.15653700000000001"/>
    <n v="1.431E-3"/>
    <n v="11.606"/>
    <n v="11.447922999999999"/>
    <n v="0.15653700000000001"/>
    <n v="1.431E-3"/>
    <x v="0"/>
  </r>
  <r>
    <d v="2023-03-01T00:00:00"/>
    <x v="14"/>
    <s v="Farm"/>
    <x v="6"/>
    <x v="0"/>
    <s v="57907 Butterfield Stage Rd"/>
    <s v="Dateland"/>
    <s v="AZ"/>
    <s v="USA"/>
    <x v="2"/>
    <n v="343"/>
    <m/>
    <s v=""/>
    <n v="3.2629999999999999"/>
    <n v="3.2185549999999998"/>
    <n v="4.4010000000000001E-2"/>
    <n v="4.0200000000000001E-4"/>
    <n v="3.2629999999999999"/>
    <n v="3.2185549999999998"/>
    <n v="4.4010000000000001E-2"/>
    <n v="4.0200000000000001E-4"/>
    <x v="0"/>
  </r>
  <r>
    <d v="2023-03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3-01T00:00:00"/>
    <x v="6"/>
    <s v="Farm"/>
    <x v="6"/>
    <x v="0"/>
    <s v="57907 Butterfield Stage Rd"/>
    <s v="Dateland"/>
    <s v="AZ"/>
    <s v="USA"/>
    <x v="0"/>
    <n v="43.337885"/>
    <m/>
    <s v=""/>
    <n v="9.3960000000000008"/>
    <n v="9.3303879999999992"/>
    <n v="2.7078999999999999E-2"/>
    <n v="3.8433000000000002E-2"/>
    <n v="9.3960000000000008"/>
    <n v="9.3303879999999992"/>
    <n v="2.7078999999999999E-2"/>
    <n v="3.8433000000000002E-2"/>
    <x v="0"/>
  </r>
  <r>
    <d v="2023-03-01T00:00:00"/>
    <x v="8"/>
    <s v="Farm"/>
    <x v="6"/>
    <x v="0"/>
    <s v="57907 Butterfield Stage Rd"/>
    <s v="Dateland"/>
    <s v="AZ"/>
    <s v="USA"/>
    <x v="0"/>
    <n v="275.86779799999999"/>
    <m/>
    <s v=""/>
    <n v="49.999000000000002"/>
    <n v="49.945377999999998"/>
    <n v="2.5697000000000001E-2"/>
    <n v="2.8051E-2"/>
    <n v="49.999000000000002"/>
    <n v="49.945377999999998"/>
    <n v="2.5697000000000001E-2"/>
    <n v="2.8051E-2"/>
    <x v="0"/>
  </r>
  <r>
    <d v="2023-04-01T00:00:00"/>
    <x v="0"/>
    <s v="Farm"/>
    <x v="6"/>
    <x v="0"/>
    <s v="57907 Butterfield Stage Rd"/>
    <s v="Dateland"/>
    <s v="AZ"/>
    <s v="USA"/>
    <x v="0"/>
    <n v="32.354351000000001"/>
    <m/>
    <s v=""/>
    <n v="7.5720000000000001"/>
    <n v="7.4693009999999997"/>
    <n v="0.102134"/>
    <n v="9.3400000000000004E-4"/>
    <n v="7.5720000000000001"/>
    <n v="7.4693009999999997"/>
    <n v="0.102134"/>
    <n v="9.3400000000000004E-4"/>
    <x v="0"/>
  </r>
  <r>
    <d v="2023-04-01T00:00:00"/>
    <x v="14"/>
    <s v="Farm"/>
    <x v="6"/>
    <x v="0"/>
    <s v="57907 Butterfield Stage Rd"/>
    <s v="Dateland"/>
    <s v="AZ"/>
    <s v="USA"/>
    <x v="2"/>
    <n v="550"/>
    <m/>
    <s v=""/>
    <n v="5.2320000000000002"/>
    <n v="5.1609489999999996"/>
    <n v="7.0569999999999994E-2"/>
    <n v="6.4499999999999996E-4"/>
    <n v="5.2320000000000002"/>
    <n v="5.1609489999999996"/>
    <n v="7.0569999999999994E-2"/>
    <n v="6.4499999999999996E-4"/>
    <x v="0"/>
  </r>
  <r>
    <d v="2023-04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4-01T00:00:00"/>
    <x v="6"/>
    <s v="Farm"/>
    <x v="6"/>
    <x v="0"/>
    <s v="57907 Butterfield Stage Rd"/>
    <s v="Dateland"/>
    <s v="AZ"/>
    <s v="USA"/>
    <x v="0"/>
    <n v="49.529010999999997"/>
    <m/>
    <s v=""/>
    <n v="10.738"/>
    <n v="10.663301000000001"/>
    <n v="3.0948E-2"/>
    <n v="4.3923999999999998E-2"/>
    <n v="10.738"/>
    <n v="10.663301000000001"/>
    <n v="3.0948E-2"/>
    <n v="4.3923999999999998E-2"/>
    <x v="0"/>
  </r>
  <r>
    <d v="2023-04-01T00:00:00"/>
    <x v="8"/>
    <s v="Farm"/>
    <x v="6"/>
    <x v="0"/>
    <s v="57907 Butterfield Stage Rd"/>
    <s v="Dateland"/>
    <s v="AZ"/>
    <s v="USA"/>
    <x v="0"/>
    <n v="258.54729800000001"/>
    <m/>
    <s v=""/>
    <n v="46.86"/>
    <n v="46.809531999999997"/>
    <n v="2.4084000000000001E-2"/>
    <n v="2.6290000000000001E-2"/>
    <n v="46.86"/>
    <n v="46.809531999999997"/>
    <n v="2.4084000000000001E-2"/>
    <n v="2.6290000000000001E-2"/>
    <x v="0"/>
  </r>
  <r>
    <d v="2023-04-01T00:00:00"/>
    <x v="9"/>
    <s v="Farm"/>
    <x v="6"/>
    <x v="0"/>
    <s v="57907 Butterfield Stage Rd"/>
    <s v="Dateland"/>
    <s v="AZ"/>
    <s v="USA"/>
    <x v="0"/>
    <n v="18.779793000000002"/>
    <m/>
    <s v=""/>
    <n v="4.0449999999999999"/>
    <n v="4.0286660000000003"/>
    <n v="1.0496E-2"/>
    <n v="5.7289999999999997E-3"/>
    <n v="4.0449999999999999"/>
    <n v="4.0286660000000003"/>
    <n v="1.0496E-2"/>
    <n v="5.7289999999999997E-3"/>
    <x v="0"/>
  </r>
  <r>
    <d v="2023-05-01T00:00:00"/>
    <x v="0"/>
    <s v="Farm"/>
    <x v="6"/>
    <x v="0"/>
    <s v="57907 Butterfield Stage Rd"/>
    <s v="Dateland"/>
    <s v="AZ"/>
    <s v="USA"/>
    <x v="0"/>
    <n v="51.010942999999997"/>
    <m/>
    <s v=""/>
    <n v="11.939"/>
    <n v="11.776346999999999"/>
    <n v="0.161028"/>
    <n v="1.472E-3"/>
    <n v="11.939"/>
    <n v="11.776346999999999"/>
    <n v="0.161028"/>
    <n v="1.472E-3"/>
    <x v="0"/>
  </r>
  <r>
    <d v="2023-05-01T00:00:00"/>
    <x v="14"/>
    <s v="Farm"/>
    <x v="6"/>
    <x v="0"/>
    <s v="57907 Butterfield Stage Rd"/>
    <s v="Dateland"/>
    <s v="AZ"/>
    <s v="USA"/>
    <x v="2"/>
    <n v="403"/>
    <m/>
    <s v=""/>
    <n v="3.8340000000000001"/>
    <n v="3.781568"/>
    <n v="5.1708999999999998E-2"/>
    <n v="4.73E-4"/>
    <n v="3.8340000000000001"/>
    <n v="3.781568"/>
    <n v="5.1708999999999998E-2"/>
    <n v="4.73E-4"/>
    <x v="0"/>
  </r>
  <r>
    <d v="2023-05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5-01T00:00:00"/>
    <x v="6"/>
    <s v="Farm"/>
    <x v="6"/>
    <x v="0"/>
    <s v="57907 Butterfield Stage Rd"/>
    <s v="Dateland"/>
    <s v="AZ"/>
    <s v="USA"/>
    <x v="0"/>
    <n v="38.538845999999999"/>
    <m/>
    <s v=""/>
    <n v="8.3550000000000004"/>
    <n v="8.2971839999999997"/>
    <n v="2.4080000000000001E-2"/>
    <n v="3.4176999999999999E-2"/>
    <n v="8.3550000000000004"/>
    <n v="8.2971839999999997"/>
    <n v="2.4080000000000001E-2"/>
    <n v="3.4176999999999999E-2"/>
    <x v="0"/>
  </r>
  <r>
    <d v="2023-05-01T00:00:00"/>
    <x v="8"/>
    <s v="Farm"/>
    <x v="6"/>
    <x v="0"/>
    <s v="57907 Butterfield Stage Rd"/>
    <s v="Dateland"/>
    <s v="AZ"/>
    <s v="USA"/>
    <x v="0"/>
    <n v="229.70910499999999"/>
    <m/>
    <s v=""/>
    <n v="41.633000000000003"/>
    <n v="41.588428"/>
    <n v="2.1398E-2"/>
    <n v="2.3356999999999999E-2"/>
    <n v="41.633000000000003"/>
    <n v="41.588428"/>
    <n v="2.1398E-2"/>
    <n v="2.3356999999999999E-2"/>
    <x v="0"/>
  </r>
  <r>
    <d v="2023-06-01T00:00:00"/>
    <x v="0"/>
    <s v="Farm"/>
    <x v="6"/>
    <x v="0"/>
    <s v="57907 Butterfield Stage Rd"/>
    <s v="Dateland"/>
    <s v="AZ"/>
    <s v="USA"/>
    <x v="0"/>
    <n v="42.353309000000003"/>
    <m/>
    <s v=""/>
    <n v="9.9130000000000003"/>
    <n v="9.7776530000000008"/>
    <n v="0.13369800000000001"/>
    <n v="1.222E-3"/>
    <n v="9.9130000000000003"/>
    <n v="9.7776530000000008"/>
    <n v="0.13369800000000001"/>
    <n v="1.222E-3"/>
    <x v="0"/>
  </r>
  <r>
    <d v="2023-06-01T00:00:00"/>
    <x v="14"/>
    <s v="Farm"/>
    <x v="6"/>
    <x v="0"/>
    <s v="57907 Butterfield Stage Rd"/>
    <s v="Dateland"/>
    <s v="AZ"/>
    <s v="USA"/>
    <x v="2"/>
    <n v="548"/>
    <m/>
    <s v=""/>
    <n v="5.2130000000000001"/>
    <n v="5.142182"/>
    <n v="7.0313000000000001E-2"/>
    <n v="6.4300000000000002E-4"/>
    <n v="5.2130000000000001"/>
    <n v="5.142182"/>
    <n v="7.0313000000000001E-2"/>
    <n v="6.4300000000000002E-4"/>
    <x v="0"/>
  </r>
  <r>
    <d v="2023-06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6-01T00:00:00"/>
    <x v="6"/>
    <s v="Farm"/>
    <x v="6"/>
    <x v="0"/>
    <s v="57907 Butterfield Stage Rd"/>
    <s v="Dateland"/>
    <s v="AZ"/>
    <s v="USA"/>
    <x v="0"/>
    <n v="39.564594999999997"/>
    <m/>
    <s v=""/>
    <n v="8.5779999999999994"/>
    <n v="8.5180209999999992"/>
    <n v="2.4721E-2"/>
    <n v="3.5087E-2"/>
    <n v="8.5779999999999994"/>
    <n v="8.5180209999999992"/>
    <n v="2.4721E-2"/>
    <n v="3.5087E-2"/>
    <x v="0"/>
  </r>
  <r>
    <d v="2023-06-01T00:00:00"/>
    <x v="8"/>
    <s v="Farm"/>
    <x v="6"/>
    <x v="0"/>
    <s v="57907 Butterfield Stage Rd"/>
    <s v="Dateland"/>
    <s v="AZ"/>
    <s v="USA"/>
    <x v="0"/>
    <n v="257.638778"/>
    <m/>
    <s v=""/>
    <n v="46.695"/>
    <n v="46.645046000000001"/>
    <n v="2.3998999999999999E-2"/>
    <n v="2.6197000000000002E-2"/>
    <n v="46.695"/>
    <n v="46.645046000000001"/>
    <n v="2.3998999999999999E-2"/>
    <n v="2.6197000000000002E-2"/>
    <x v="0"/>
  </r>
  <r>
    <d v="2023-07-01T00:00:00"/>
    <x v="0"/>
    <s v="Farm"/>
    <x v="6"/>
    <x v="0"/>
    <s v="57907 Butterfield Stage Rd"/>
    <s v="Dateland"/>
    <s v="AZ"/>
    <s v="USA"/>
    <x v="0"/>
    <n v="7.1537259999999998"/>
    <m/>
    <s v=""/>
    <n v="1.6739999999999999"/>
    <n v="1.6515040000000001"/>
    <n v="2.2582000000000001E-2"/>
    <n v="2.0599999999999999E-4"/>
    <n v="1.6739999999999999"/>
    <n v="1.6515040000000001"/>
    <n v="2.2582000000000001E-2"/>
    <n v="2.0599999999999999E-4"/>
    <x v="0"/>
  </r>
  <r>
    <d v="2023-07-01T00:00:00"/>
    <x v="14"/>
    <s v="Farm"/>
    <x v="6"/>
    <x v="0"/>
    <s v="57907 Butterfield Stage Rd"/>
    <s v="Dateland"/>
    <s v="AZ"/>
    <s v="USA"/>
    <x v="2"/>
    <n v="41"/>
    <m/>
    <s v=""/>
    <n v="0.39"/>
    <n v="0.38472499999999998"/>
    <n v="5.2610000000000001E-3"/>
    <n v="4.8000000000000001E-5"/>
    <n v="0.39"/>
    <n v="0.38472499999999998"/>
    <n v="5.2610000000000001E-3"/>
    <n v="4.8000000000000001E-5"/>
    <x v="0"/>
  </r>
  <r>
    <d v="2023-07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7-01T00:00:00"/>
    <x v="6"/>
    <s v="Farm"/>
    <x v="6"/>
    <x v="0"/>
    <s v="57907 Butterfield Stage Rd"/>
    <s v="Dateland"/>
    <s v="AZ"/>
    <s v="USA"/>
    <x v="0"/>
    <n v="24.178363000000001"/>
    <m/>
    <s v=""/>
    <n v="5.242"/>
    <n v="5.2054580000000001"/>
    <n v="1.5108E-2"/>
    <n v="2.1441999999999999E-2"/>
    <n v="5.242"/>
    <n v="5.2054580000000001"/>
    <n v="1.5108E-2"/>
    <n v="2.1441999999999999E-2"/>
    <x v="0"/>
  </r>
  <r>
    <d v="2023-07-01T00:00:00"/>
    <x v="8"/>
    <s v="Farm"/>
    <x v="6"/>
    <x v="0"/>
    <s v="57907 Butterfield Stage Rd"/>
    <s v="Dateland"/>
    <s v="AZ"/>
    <s v="USA"/>
    <x v="0"/>
    <n v="229.70910499999999"/>
    <m/>
    <s v=""/>
    <n v="41.633000000000003"/>
    <n v="41.588428"/>
    <n v="2.1398E-2"/>
    <n v="2.3356999999999999E-2"/>
    <n v="41.633000000000003"/>
    <n v="41.588428"/>
    <n v="2.1398E-2"/>
    <n v="2.3356999999999999E-2"/>
    <x v="0"/>
  </r>
  <r>
    <d v="2023-08-01T00:00:00"/>
    <x v="0"/>
    <s v="Farm"/>
    <x v="6"/>
    <x v="0"/>
    <s v="57907 Butterfield Stage Rd"/>
    <s v="Dateland"/>
    <s v="AZ"/>
    <s v="USA"/>
    <x v="0"/>
    <n v="37.88223"/>
    <m/>
    <s v=""/>
    <n v="8.8659999999999997"/>
    <n v="8.7454630000000009"/>
    <n v="0.119584"/>
    <n v="1.093E-3"/>
    <n v="8.8659999999999997"/>
    <n v="8.7454630000000009"/>
    <n v="0.119584"/>
    <n v="1.093E-3"/>
    <x v="0"/>
  </r>
  <r>
    <d v="2023-08-01T00:00:00"/>
    <x v="14"/>
    <s v="Farm"/>
    <x v="6"/>
    <x v="0"/>
    <s v="57907 Butterfield Stage Rd"/>
    <s v="Dateland"/>
    <s v="AZ"/>
    <s v="USA"/>
    <x v="2"/>
    <n v="416"/>
    <m/>
    <s v=""/>
    <n v="3.9569999999999999"/>
    <n v="3.9035540000000002"/>
    <n v="5.3377000000000001E-2"/>
    <n v="4.8799999999999999E-4"/>
    <n v="3.9569999999999999"/>
    <n v="3.9035540000000002"/>
    <n v="5.3377000000000001E-2"/>
    <n v="4.8799999999999999E-4"/>
    <x v="0"/>
  </r>
  <r>
    <d v="2023-08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8-01T00:00:00"/>
    <x v="6"/>
    <s v="Farm"/>
    <x v="6"/>
    <x v="0"/>
    <s v="57907 Butterfield Stage Rd"/>
    <s v="Dateland"/>
    <s v="AZ"/>
    <s v="USA"/>
    <x v="0"/>
    <n v="50.921098999999998"/>
    <m/>
    <s v=""/>
    <n v="11.04"/>
    <n v="10.963009"/>
    <n v="3.1816999999999998E-2"/>
    <n v="4.5157999999999997E-2"/>
    <n v="11.04"/>
    <n v="10.963009"/>
    <n v="3.1816999999999998E-2"/>
    <n v="4.5157999999999997E-2"/>
    <x v="0"/>
  </r>
  <r>
    <d v="2023-08-01T00:00:00"/>
    <x v="8"/>
    <s v="Farm"/>
    <x v="6"/>
    <x v="0"/>
    <s v="57907 Butterfield Stage Rd"/>
    <s v="Dateland"/>
    <s v="AZ"/>
    <s v="USA"/>
    <x v="0"/>
    <n v="216.16922099999999"/>
    <m/>
    <s v=""/>
    <n v="39.179000000000002"/>
    <n v="39.137056000000001"/>
    <n v="2.0136000000000001E-2"/>
    <n v="2.198E-2"/>
    <n v="39.179000000000002"/>
    <n v="39.137056000000001"/>
    <n v="2.0136000000000001E-2"/>
    <n v="2.198E-2"/>
    <x v="0"/>
  </r>
  <r>
    <d v="2023-09-01T00:00:00"/>
    <x v="0"/>
    <s v="Farm"/>
    <x v="6"/>
    <x v="0"/>
    <s v="57907 Butterfield Stage Rd"/>
    <s v="Dateland"/>
    <s v="AZ"/>
    <s v="USA"/>
    <x v="0"/>
    <n v="17.681083999999998"/>
    <m/>
    <s v=""/>
    <n v="4.1379999999999999"/>
    <n v="4.081842"/>
    <n v="5.5814000000000002E-2"/>
    <n v="5.1000000000000004E-4"/>
    <n v="4.1379999999999999"/>
    <n v="4.081842"/>
    <n v="5.5814000000000002E-2"/>
    <n v="5.1000000000000004E-4"/>
    <x v="0"/>
  </r>
  <r>
    <d v="2023-09-01T00:00:00"/>
    <x v="14"/>
    <s v="Farm"/>
    <x v="6"/>
    <x v="0"/>
    <s v="57907 Butterfield Stage Rd"/>
    <s v="Dateland"/>
    <s v="AZ"/>
    <s v="USA"/>
    <x v="2"/>
    <n v="160"/>
    <m/>
    <s v=""/>
    <n v="1.522"/>
    <n v="1.5013669999999999"/>
    <n v="2.0528999999999999E-2"/>
    <n v="1.8799999999999999E-4"/>
    <n v="1.522"/>
    <n v="1.5013669999999999"/>
    <n v="2.0528999999999999E-2"/>
    <n v="1.8799999999999999E-4"/>
    <x v="0"/>
  </r>
  <r>
    <d v="2023-09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9-01T00:00:00"/>
    <x v="6"/>
    <s v="Farm"/>
    <x v="6"/>
    <x v="0"/>
    <s v="57907 Butterfield Stage Rd"/>
    <s v="Dateland"/>
    <s v="AZ"/>
    <s v="USA"/>
    <x v="0"/>
    <n v="33.703173"/>
    <m/>
    <s v=""/>
    <n v="7.3070000000000004"/>
    <n v="7.2560919999999998"/>
    <n v="2.1059000000000001E-2"/>
    <n v="2.9888999999999999E-2"/>
    <n v="7.3070000000000004"/>
    <n v="7.2560919999999998"/>
    <n v="2.1059000000000001E-2"/>
    <n v="2.9888999999999999E-2"/>
    <x v="0"/>
  </r>
  <r>
    <d v="2023-09-01T00:00:00"/>
    <x v="8"/>
    <s v="Farm"/>
    <x v="6"/>
    <x v="0"/>
    <s v="57907 Butterfield Stage Rd"/>
    <s v="Dateland"/>
    <s v="AZ"/>
    <s v="USA"/>
    <x v="0"/>
    <n v="101.695661"/>
    <m/>
    <s v=""/>
    <n v="18.431999999999999"/>
    <n v="18.411819999999999"/>
    <n v="9.4730000000000005E-3"/>
    <n v="1.0340999999999999E-2"/>
    <n v="18.431999999999999"/>
    <n v="18.411819999999999"/>
    <n v="9.4730000000000005E-3"/>
    <n v="1.0340999999999999E-2"/>
    <x v="0"/>
  </r>
  <r>
    <d v="2023-09-01T00:00:00"/>
    <x v="9"/>
    <s v="Farm"/>
    <x v="6"/>
    <x v="0"/>
    <s v="57907 Butterfield Stage Rd"/>
    <s v="Dateland"/>
    <s v="AZ"/>
    <s v="USA"/>
    <x v="0"/>
    <n v="0.32020100000000001"/>
    <m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0"/>
  </r>
  <r>
    <d v="2023-10-01T00:00:00"/>
    <x v="0"/>
    <s v="Farm"/>
    <x v="6"/>
    <x v="0"/>
    <s v="57907 Butterfield Stage Rd"/>
    <s v="Dateland"/>
    <s v="AZ"/>
    <s v="USA"/>
    <x v="0"/>
    <n v="21.542470000000002"/>
    <m/>
    <s v=""/>
    <n v="5.0419999999999998"/>
    <n v="4.9732779999999996"/>
    <n v="6.8003999999999995E-2"/>
    <n v="6.2200000000000005E-4"/>
    <n v="5.0419999999999998"/>
    <n v="4.9732779999999996"/>
    <n v="6.8003999999999995E-2"/>
    <n v="6.2200000000000005E-4"/>
    <x v="0"/>
  </r>
  <r>
    <d v="2023-10-01T00:00:00"/>
    <x v="14"/>
    <s v="Farm"/>
    <x v="6"/>
    <x v="0"/>
    <s v="57907 Butterfield Stage Rd"/>
    <s v="Dateland"/>
    <s v="AZ"/>
    <s v="USA"/>
    <x v="2"/>
    <n v="310"/>
    <m/>
    <s v=""/>
    <n v="2.9489999999999998"/>
    <n v="2.9088989999999999"/>
    <n v="3.9775999999999999E-2"/>
    <n v="3.6400000000000001E-4"/>
    <n v="2.9489999999999998"/>
    <n v="2.9088989999999999"/>
    <n v="3.9775999999999999E-2"/>
    <n v="3.6400000000000001E-4"/>
    <x v="0"/>
  </r>
  <r>
    <d v="2023-10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10-01T00:00:00"/>
    <x v="6"/>
    <s v="Farm"/>
    <x v="6"/>
    <x v="0"/>
    <s v="57907 Butterfield Stage Rd"/>
    <s v="Dateland"/>
    <s v="AZ"/>
    <s v="USA"/>
    <x v="0"/>
    <n v="41.909162999999999"/>
    <m/>
    <s v=""/>
    <n v="9.0860000000000003"/>
    <n v="9.0227930000000001"/>
    <n v="2.6186000000000001E-2"/>
    <n v="3.7165999999999998E-2"/>
    <n v="9.0860000000000003"/>
    <n v="9.0227930000000001"/>
    <n v="2.6186000000000001E-2"/>
    <n v="3.7165999999999998E-2"/>
    <x v="0"/>
  </r>
  <r>
    <d v="2023-10-01T00:00:00"/>
    <x v="8"/>
    <s v="Farm"/>
    <x v="6"/>
    <x v="0"/>
    <s v="57907 Butterfield Stage Rd"/>
    <s v="Dateland"/>
    <s v="AZ"/>
    <s v="USA"/>
    <x v="0"/>
    <n v="5.7441930000000001"/>
    <m/>
    <s v=""/>
    <n v="1.0409999999999999"/>
    <n v="1.039976"/>
    <n v="5.3499999999999999E-4"/>
    <n v="5.8399999999999999E-4"/>
    <n v="1.0409999999999999"/>
    <n v="1.039976"/>
    <n v="5.3499999999999999E-4"/>
    <n v="5.8399999999999999E-4"/>
    <x v="0"/>
  </r>
  <r>
    <d v="2023-10-01T00:00:00"/>
    <x v="9"/>
    <s v="Farm"/>
    <x v="6"/>
    <x v="0"/>
    <s v="57907 Butterfield Stage Rd"/>
    <s v="Dateland"/>
    <s v="AZ"/>
    <s v="USA"/>
    <x v="0"/>
    <n v="0.32020100000000001"/>
    <n v="125.14"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0"/>
  </r>
  <r>
    <d v="2023-11-01T00:00:00"/>
    <x v="0"/>
    <s v="Farm"/>
    <x v="6"/>
    <x v="0"/>
    <s v="57907 Butterfield Stage Rd"/>
    <s v="Dateland"/>
    <s v="AZ"/>
    <s v="USA"/>
    <x v="0"/>
    <n v="44.954664000000001"/>
    <m/>
    <s v=""/>
    <n v="10.521000000000001"/>
    <n v="10.378199"/>
    <n v="0.14191000000000001"/>
    <n v="1.2979999999999999E-3"/>
    <n v="10.521000000000001"/>
    <n v="10.378199"/>
    <n v="0.14191000000000001"/>
    <n v="1.2979999999999999E-3"/>
    <x v="0"/>
  </r>
  <r>
    <d v="2023-11-01T00:00:00"/>
    <x v="14"/>
    <s v="Farm"/>
    <x v="6"/>
    <x v="0"/>
    <s v="57907 Butterfield Stage Rd"/>
    <s v="Dateland"/>
    <s v="AZ"/>
    <s v="USA"/>
    <x v="2"/>
    <n v="50"/>
    <m/>
    <s v=""/>
    <n v="0.47599999999999998"/>
    <n v="0.46917700000000001"/>
    <n v="6.4149999999999997E-3"/>
    <n v="5.8999999999999998E-5"/>
    <n v="0.47599999999999998"/>
    <n v="0.46917700000000001"/>
    <n v="6.4149999999999997E-3"/>
    <n v="5.8999999999999998E-5"/>
    <x v="0"/>
  </r>
  <r>
    <d v="2023-11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11-01T00:00:00"/>
    <x v="6"/>
    <s v="Farm"/>
    <x v="6"/>
    <x v="0"/>
    <s v="57907 Butterfield Stage Rd"/>
    <s v="Dateland"/>
    <s v="AZ"/>
    <s v="USA"/>
    <x v="0"/>
    <n v="58.504313000000003"/>
    <m/>
    <s v=""/>
    <n v="12.683999999999999"/>
    <n v="12.59563"/>
    <n v="3.6555999999999998E-2"/>
    <n v="5.1882999999999999E-2"/>
    <n v="12.683999999999999"/>
    <n v="12.59563"/>
    <n v="3.6555999999999998E-2"/>
    <n v="5.1882999999999999E-2"/>
    <x v="0"/>
  </r>
  <r>
    <d v="2023-11-01T00:00:00"/>
    <x v="8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0"/>
  </r>
  <r>
    <d v="2023-12-01T00:00:00"/>
    <x v="0"/>
    <s v="Farm"/>
    <x v="6"/>
    <x v="0"/>
    <s v="57907 Butterfield Stage Rd"/>
    <s v="Dateland"/>
    <s v="AZ"/>
    <s v="USA"/>
    <x v="0"/>
    <n v="28.452318999999999"/>
    <m/>
    <s v=""/>
    <n v="6.6589999999999998"/>
    <n v="6.5684810000000002"/>
    <n v="8.9816000000000007E-2"/>
    <n v="8.2100000000000001E-4"/>
    <n v="6.6589999999999998"/>
    <n v="6.5684810000000002"/>
    <n v="8.9816000000000007E-2"/>
    <n v="8.2100000000000001E-4"/>
    <x v="0"/>
  </r>
  <r>
    <d v="2023-12-01T00:00:00"/>
    <x v="14"/>
    <s v="Farm"/>
    <x v="6"/>
    <x v="0"/>
    <s v="57907 Butterfield Stage Rd"/>
    <s v="Dateland"/>
    <s v="AZ"/>
    <s v="USA"/>
    <x v="2"/>
    <n v="110"/>
    <m/>
    <s v=""/>
    <n v="1.046"/>
    <n v="1.0321899999999999"/>
    <n v="1.4114E-2"/>
    <n v="1.2899999999999999E-4"/>
    <n v="1.046"/>
    <n v="1.0321899999999999"/>
    <n v="1.4114E-2"/>
    <n v="1.2899999999999999E-4"/>
    <x v="0"/>
  </r>
  <r>
    <d v="2023-12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12-01T00:00:00"/>
    <x v="2"/>
    <s v="Farm"/>
    <x v="6"/>
    <x v="0"/>
    <s v="57907 Butterfield Stage Rd"/>
    <s v="Dateland"/>
    <s v="AZ"/>
    <s v="USA"/>
    <x v="0"/>
    <n v="15.019892"/>
    <n v="3686.18"/>
    <s v=""/>
    <n v="3.2559999999999998"/>
    <n v="3.2336930000000002"/>
    <n v="9.3849999999999992E-3"/>
    <n v="1.332E-2"/>
    <n v="3.2559999999999998"/>
    <n v="3.2336930000000002"/>
    <n v="9.3849999999999992E-3"/>
    <n v="1.332E-2"/>
    <x v="0"/>
  </r>
  <r>
    <d v="2023-12-01T00:00:00"/>
    <x v="6"/>
    <s v="Farm"/>
    <x v="6"/>
    <x v="0"/>
    <s v="57907 Butterfield Stage Rd"/>
    <s v="Dateland"/>
    <s v="AZ"/>
    <s v="USA"/>
    <x v="0"/>
    <n v="31.871479000000001"/>
    <m/>
    <s v=""/>
    <n v="6.91"/>
    <n v="6.861739"/>
    <n v="1.9914000000000001E-2"/>
    <n v="2.8264000000000001E-2"/>
    <n v="6.91"/>
    <n v="6.861739"/>
    <n v="1.9914000000000001E-2"/>
    <n v="2.8264000000000001E-2"/>
    <x v="0"/>
  </r>
  <r>
    <d v="2023-12-01T00:00:00"/>
    <x v="8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0"/>
  </r>
  <r>
    <d v="2023-12-01T00:00:00"/>
    <x v="9"/>
    <s v="Farm"/>
    <x v="6"/>
    <x v="0"/>
    <s v="57907 Butterfield Stage Rd"/>
    <s v="Dateland"/>
    <s v="AZ"/>
    <s v="USA"/>
    <x v="0"/>
    <n v="0.96060299999999998"/>
    <m/>
    <s v=""/>
    <n v="0.20699999999999999"/>
    <n v="0.20607"/>
    <n v="5.3700000000000004E-4"/>
    <n v="2.9300000000000002E-4"/>
    <n v="0.20699999999999999"/>
    <n v="0.20607"/>
    <n v="5.3700000000000004E-4"/>
    <n v="2.9300000000000002E-4"/>
    <x v="0"/>
  </r>
  <r>
    <d v="2022-01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2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3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4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5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6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7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8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9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10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11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12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3-01-01T00:00:00"/>
    <x v="4"/>
    <s v="Farm"/>
    <x v="6"/>
    <x v="1"/>
    <s v="57907 Butterfield Stage Rd"/>
    <s v="Dateland"/>
    <s v="AZ"/>
    <s v="USA"/>
    <x v="0"/>
    <n v="5.032"/>
    <n v="909.63"/>
    <s v=""/>
    <n v="1.71"/>
    <n v="1.7095750000000001"/>
    <m/>
    <m/>
    <n v="1.879"/>
    <n v="1.870846"/>
    <n v="4.3620000000000004E-3"/>
    <n v="3.3110000000000001E-3"/>
    <x v="0"/>
  </r>
  <r>
    <d v="2023-02-01T00:00:00"/>
    <x v="4"/>
    <s v="Farm"/>
    <x v="6"/>
    <x v="1"/>
    <s v="57907 Butterfield Stage Rd"/>
    <s v="Dateland"/>
    <s v="AZ"/>
    <s v="USA"/>
    <x v="0"/>
    <n v="277.71899999999999"/>
    <n v="784.93"/>
    <s v=""/>
    <n v="94.352000000000004"/>
    <n v="94.352442999999994"/>
    <m/>
    <m/>
    <n v="103.67700000000001"/>
    <n v="103.253066"/>
    <n v="0.240731"/>
    <n v="0.182759"/>
    <x v="0"/>
  </r>
  <r>
    <d v="2023-03-01T00:00:00"/>
    <x v="4"/>
    <s v="Farm"/>
    <x v="6"/>
    <x v="1"/>
    <s v="57907 Butterfield Stage Rd"/>
    <s v="Dateland"/>
    <s v="AZ"/>
    <s v="USA"/>
    <x v="0"/>
    <n v="540.03599999999994"/>
    <n v="874.2"/>
    <s v=""/>
    <n v="183.47200000000001"/>
    <n v="183.47220100000001"/>
    <m/>
    <m/>
    <n v="201.60300000000001"/>
    <n v="200.77982700000001"/>
    <n v="0.468111"/>
    <n v="0.35538199999999998"/>
    <x v="0"/>
  </r>
  <r>
    <d v="2023-04-01T00:00:00"/>
    <x v="4"/>
    <s v="Farm"/>
    <x v="6"/>
    <x v="1"/>
    <s v="57907 Butterfield Stage Rd"/>
    <s v="Dateland"/>
    <s v="AZ"/>
    <s v="USA"/>
    <x v="0"/>
    <n v="571.40499999999997"/>
    <n v="1310.3499999999999"/>
    <s v=""/>
    <n v="194.13"/>
    <n v="194.129526"/>
    <m/>
    <m/>
    <n v="213.31399999999999"/>
    <n v="212.442498"/>
    <n v="0.49530200000000002"/>
    <n v="0.37602600000000003"/>
    <x v="0"/>
  </r>
  <r>
    <d v="2023-05-01T00:00:00"/>
    <x v="4"/>
    <s v="Farm"/>
    <x v="6"/>
    <x v="1"/>
    <s v="57907 Butterfield Stage Rd"/>
    <s v="Dateland"/>
    <s v="AZ"/>
    <s v="USA"/>
    <x v="0"/>
    <n v="488.02300000000002"/>
    <n v="1718.83"/>
    <s v=""/>
    <n v="165.80099999999999"/>
    <n v="165.80126899999999"/>
    <m/>
    <m/>
    <n v="182.18600000000001"/>
    <n v="181.44192899999999"/>
    <n v="0.42302600000000001"/>
    <n v="0.321154"/>
    <x v="0"/>
  </r>
  <r>
    <d v="2023-06-01T00:00:00"/>
    <x v="4"/>
    <s v="Farm"/>
    <x v="6"/>
    <x v="1"/>
    <s v="57907 Butterfield Stage Rd"/>
    <s v="Dateland"/>
    <s v="AZ"/>
    <s v="USA"/>
    <x v="0"/>
    <n v="681.31399999999996"/>
    <n v="1828.9"/>
    <s v=""/>
    <n v="231.47"/>
    <n v="231.47008500000001"/>
    <m/>
    <m/>
    <n v="254.34399999999999"/>
    <n v="253.305533"/>
    <n v="0.59057300000000001"/>
    <n v="0.44835399999999997"/>
    <x v="0"/>
  </r>
  <r>
    <d v="2023-07-01T00:00:00"/>
    <x v="4"/>
    <s v="Farm"/>
    <x v="6"/>
    <x v="1"/>
    <s v="57907 Butterfield Stage Rd"/>
    <s v="Dateland"/>
    <s v="AZ"/>
    <s v="USA"/>
    <x v="0"/>
    <n v="673.49300000000005"/>
    <n v="2286.4499999999998"/>
    <s v=""/>
    <n v="228.81299999999999"/>
    <n v="228.812973"/>
    <m/>
    <m/>
    <n v="251.42500000000001"/>
    <n v="250.39776599999999"/>
    <n v="0.58379400000000004"/>
    <n v="0.44320700000000002"/>
    <x v="0"/>
  </r>
  <r>
    <d v="2023-08-01T00:00:00"/>
    <x v="4"/>
    <s v="Farm"/>
    <x v="6"/>
    <x v="1"/>
    <s v="57907 Butterfield Stage Rd"/>
    <s v="Dateland"/>
    <s v="AZ"/>
    <s v="USA"/>
    <x v="0"/>
    <n v="653.99099999999999"/>
    <n v="2430.9"/>
    <s v=""/>
    <n v="222.18700000000001"/>
    <n v="222.18735100000001"/>
    <m/>
    <m/>
    <n v="244.14400000000001"/>
    <n v="243.14712299999999"/>
    <n v="0.56688899999999998"/>
    <n v="0.43037300000000001"/>
    <x v="0"/>
  </r>
  <r>
    <d v="2023-09-01T00:00:00"/>
    <x v="4"/>
    <s v="Farm"/>
    <x v="6"/>
    <x v="1"/>
    <s v="57907 Butterfield Stage Rd"/>
    <s v="Dateland"/>
    <s v="AZ"/>
    <s v="USA"/>
    <x v="0"/>
    <n v="465.31299999999999"/>
    <n v="1932.89"/>
    <s v=""/>
    <n v="158.08600000000001"/>
    <n v="158.085758"/>
    <m/>
    <m/>
    <n v="173.708"/>
    <n v="172.99858399999999"/>
    <n v="0.40333999999999998"/>
    <n v="0.30620900000000001"/>
    <x v="0"/>
  </r>
  <r>
    <d v="2023-10-01T00:00:00"/>
    <x v="4"/>
    <s v="Farm"/>
    <x v="6"/>
    <x v="1"/>
    <s v="57907 Butterfield Stage Rd"/>
    <s v="Dateland"/>
    <s v="AZ"/>
    <s v="USA"/>
    <x v="0"/>
    <n v="132.01400000000001"/>
    <n v="15885.83"/>
    <s v=""/>
    <n v="44.850999999999999"/>
    <n v="44.850527"/>
    <m/>
    <m/>
    <n v="49.283000000000001"/>
    <n v="49.081446999999997"/>
    <n v="0.11443200000000001"/>
    <n v="8.6874999999999994E-2"/>
    <x v="0"/>
  </r>
  <r>
    <d v="2023-11-01T00:00:00"/>
    <x v="4"/>
    <s v="Farm"/>
    <x v="6"/>
    <x v="1"/>
    <s v="57907 Butterfield Stage Rd"/>
    <s v="Dateland"/>
    <s v="AZ"/>
    <s v="USA"/>
    <x v="0"/>
    <n v="6.0584800000000003"/>
    <n v="1651.13"/>
    <s v=""/>
    <n v="2.0579999999999998"/>
    <n v="2.0583119999999999"/>
    <m/>
    <m/>
    <n v="2.262"/>
    <n v="2.252481"/>
    <n v="5.2519999999999997E-3"/>
    <n v="3.9870000000000001E-3"/>
    <x v="0"/>
  </r>
  <r>
    <d v="2023-12-01T00:00:00"/>
    <x v="4"/>
    <s v="Farm"/>
    <x v="6"/>
    <x v="1"/>
    <s v="57907 Butterfield Stage Rd"/>
    <s v="Dateland"/>
    <s v="AZ"/>
    <s v="USA"/>
    <x v="0"/>
    <n v="6.1539999999999999"/>
    <n v="1559.41"/>
    <s v=""/>
    <n v="2.0910000000000002"/>
    <n v="2.0907640000000001"/>
    <m/>
    <m/>
    <n v="2.2970000000000002"/>
    <n v="2.2879939999999999"/>
    <n v="5.3340000000000002E-3"/>
    <n v="4.0499999999999998E-3"/>
    <x v="0"/>
  </r>
  <r>
    <d v="2023-01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2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3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4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5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6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7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8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9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10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11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12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2-01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1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1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2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2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2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3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3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3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4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4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4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5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5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5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6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6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6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7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7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7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8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8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8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9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9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9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10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10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10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11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11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11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12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12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12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1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2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3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4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5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6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7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8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9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10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11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12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3-01-01T00:00:00"/>
    <x v="4"/>
    <s v="Office"/>
    <x v="7"/>
    <x v="1"/>
    <s v="1751 Lake Cook Road"/>
    <s v="Deerfield"/>
    <s v="IL"/>
    <s v="USA"/>
    <x v="0"/>
    <n v="3.8679999999999999"/>
    <n v="624.78"/>
    <m/>
    <n v="1.119"/>
    <n v="1.1193679999999999"/>
    <m/>
    <m/>
    <n v="1.847"/>
    <n v="1.835434"/>
    <n v="6.7060000000000002E-3"/>
    <n v="4.6499999999999996E-3"/>
    <x v="0"/>
  </r>
  <r>
    <d v="2023-02-01T00:00:00"/>
    <x v="4"/>
    <s v="Office"/>
    <x v="7"/>
    <x v="1"/>
    <s v="1751 Lake Cook Road"/>
    <s v="Deerfield"/>
    <s v="IL"/>
    <s v="USA"/>
    <x v="0"/>
    <n v="3.9239999999999999"/>
    <n v="661.52"/>
    <m/>
    <n v="1.1359999999999999"/>
    <n v="1.1355740000000001"/>
    <m/>
    <m/>
    <n v="1.8740000000000001"/>
    <n v="1.862007"/>
    <n v="6.803E-3"/>
    <n v="4.718E-3"/>
    <x v="0"/>
  </r>
  <r>
    <d v="2023-03-01T00:00:00"/>
    <x v="4"/>
    <s v="Office"/>
    <x v="7"/>
    <x v="1"/>
    <s v="1751 Lake Cook Road"/>
    <s v="Deerfield"/>
    <s v="IL"/>
    <s v="USA"/>
    <x v="0"/>
    <n v="4.6360000000000001"/>
    <n v="853.3"/>
    <m/>
    <n v="1.3420000000000001"/>
    <n v="1.341621"/>
    <m/>
    <m/>
    <n v="2.2130000000000001"/>
    <n v="2.1998630000000001"/>
    <n v="8.0370000000000007E-3"/>
    <n v="5.574E-3"/>
    <x v="0"/>
  </r>
  <r>
    <d v="2023-04-01T00:00:00"/>
    <x v="4"/>
    <s v="Office"/>
    <x v="7"/>
    <x v="1"/>
    <s v="1751 Lake Cook Road"/>
    <s v="Deerfield"/>
    <s v="IL"/>
    <s v="USA"/>
    <x v="0"/>
    <n v="4.4930000000000003"/>
    <n v="809.22"/>
    <m/>
    <n v="1.3"/>
    <n v="1.300238"/>
    <m/>
    <m/>
    <n v="2.145"/>
    <n v="2.1320070000000002"/>
    <n v="7.7889999999999999E-3"/>
    <n v="5.4019999999999997E-3"/>
    <x v="0"/>
  </r>
  <r>
    <d v="2023-05-01T00:00:00"/>
    <x v="4"/>
    <s v="Office"/>
    <x v="7"/>
    <x v="1"/>
    <s v="1751 Lake Cook Road"/>
    <s v="Deerfield"/>
    <s v="IL"/>
    <s v="USA"/>
    <x v="0"/>
    <n v="4.4180000000000001"/>
    <n v="830.33"/>
    <m/>
    <n v="1.2789999999999999"/>
    <n v="1.2785340000000001"/>
    <m/>
    <m/>
    <n v="2.109"/>
    <n v="2.0964179999999999"/>
    <n v="7.659E-3"/>
    <n v="5.3119999999999999E-3"/>
    <x v="0"/>
  </r>
  <r>
    <d v="2023-06-01T00:00:00"/>
    <x v="4"/>
    <s v="Office"/>
    <x v="7"/>
    <x v="1"/>
    <s v="1751 Lake Cook Road"/>
    <s v="Deerfield"/>
    <s v="IL"/>
    <s v="USA"/>
    <x v="0"/>
    <n v="4.8380000000000001"/>
    <n v="795.9"/>
    <m/>
    <n v="1.4"/>
    <n v="1.4000779999999999"/>
    <m/>
    <m/>
    <n v="2.31"/>
    <n v="2.2957160000000001"/>
    <n v="8.3870000000000004E-3"/>
    <n v="5.816E-3"/>
    <x v="0"/>
  </r>
  <r>
    <d v="2023-07-01T00:00:00"/>
    <x v="4"/>
    <s v="Office"/>
    <x v="7"/>
    <x v="1"/>
    <s v="1751 Lake Cook Road"/>
    <s v="Deerfield"/>
    <s v="IL"/>
    <s v="USA"/>
    <x v="0"/>
    <n v="4.0510000000000002"/>
    <n v="661.05"/>
    <m/>
    <n v="1.1719999999999999"/>
    <n v="1.1723269999999999"/>
    <m/>
    <m/>
    <n v="1.9339999999999999"/>
    <n v="1.9222699999999999"/>
    <n v="7.0229999999999997E-3"/>
    <n v="4.8700000000000002E-3"/>
    <x v="0"/>
  </r>
  <r>
    <d v="2023-08-01T00:00:00"/>
    <x v="4"/>
    <s v="Office"/>
    <x v="7"/>
    <x v="1"/>
    <s v="1751 Lake Cook Road"/>
    <s v="Deerfield"/>
    <s v="IL"/>
    <s v="USA"/>
    <x v="0"/>
    <n v="4.2969999999999997"/>
    <n v="669.96"/>
    <m/>
    <n v="1.244"/>
    <n v="1.243517"/>
    <m/>
    <m/>
    <n v="2.052"/>
    <n v="2.039002"/>
    <n v="7.4489999999999999E-3"/>
    <n v="5.1659999999999996E-3"/>
    <x v="0"/>
  </r>
  <r>
    <d v="2023-09-01T00:00:00"/>
    <x v="4"/>
    <s v="Office"/>
    <x v="7"/>
    <x v="1"/>
    <s v="1751 Lake Cook Road"/>
    <s v="Deerfield"/>
    <s v="IL"/>
    <s v="USA"/>
    <x v="0"/>
    <n v="4.4349999999999996"/>
    <n v="740.98"/>
    <m/>
    <n v="1.2829999999999999"/>
    <n v="1.283453"/>
    <m/>
    <m/>
    <n v="2.1179999999999999"/>
    <n v="2.1044849999999999"/>
    <n v="7.6889999999999997E-3"/>
    <n v="5.3319999999999999E-3"/>
    <x v="0"/>
  </r>
  <r>
    <d v="2023-10-01T00:00:00"/>
    <x v="4"/>
    <s v="Office"/>
    <x v="7"/>
    <x v="1"/>
    <s v="1751 Lake Cook Road"/>
    <s v="Deerfield"/>
    <s v="IL"/>
    <s v="USA"/>
    <x v="0"/>
    <n v="4.234"/>
    <n v="693.02"/>
    <m/>
    <n v="1.2250000000000001"/>
    <n v="1.225285"/>
    <m/>
    <m/>
    <n v="2.0219999999999998"/>
    <n v="2.0091070000000002"/>
    <n v="7.3400000000000002E-3"/>
    <n v="5.0899999999999999E-3"/>
    <x v="0"/>
  </r>
  <r>
    <d v="2023-11-01T00:00:00"/>
    <x v="4"/>
    <s v="Office"/>
    <x v="7"/>
    <x v="1"/>
    <s v="1751 Lake Cook Road"/>
    <s v="Deerfield"/>
    <s v="IL"/>
    <s v="USA"/>
    <x v="0"/>
    <n v="4.476"/>
    <n v="728.82"/>
    <m/>
    <n v="1.2949999999999999"/>
    <n v="1.295318"/>
    <m/>
    <m/>
    <n v="2.137"/>
    <n v="2.1239400000000002"/>
    <n v="7.7600000000000004E-3"/>
    <n v="5.3810000000000004E-3"/>
    <x v="0"/>
  </r>
  <r>
    <d v="2023-12-01T00:00:00"/>
    <x v="4"/>
    <s v="Office"/>
    <x v="7"/>
    <x v="1"/>
    <s v="1751 Lake Cook Road"/>
    <s v="Deerfield"/>
    <s v="IL"/>
    <s v="USA"/>
    <x v="0"/>
    <n v="3.93"/>
    <n v="756.43"/>
    <m/>
    <n v="1.137"/>
    <n v="1.13731"/>
    <m/>
    <m/>
    <n v="1.8759999999999999"/>
    <n v="1.864854"/>
    <n v="6.8129999999999996E-3"/>
    <n v="4.725E-3"/>
    <x v="0"/>
  </r>
  <r>
    <d v="2022-01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1-01T00:00:00"/>
    <x v="8"/>
    <s v="Manufacturing"/>
    <x v="8"/>
    <x v="0"/>
    <s v="707 Harco Drive"/>
    <s v="Englewood"/>
    <s v="OH"/>
    <s v="USA"/>
    <x v="0"/>
    <n v="142.20274900000001"/>
    <n v="3162.84"/>
    <s v=""/>
    <n v="25.773"/>
    <n v="25.745557000000002"/>
    <n v="1.3246000000000001E-2"/>
    <n v="1.4459E-2"/>
    <n v="25.773"/>
    <n v="25.745557000000002"/>
    <n v="1.3246000000000001E-2"/>
    <n v="1.4459E-2"/>
    <x v="1"/>
  </r>
  <r>
    <d v="2022-01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2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2-01T00:00:00"/>
    <x v="8"/>
    <s v="Manufacturing"/>
    <x v="8"/>
    <x v="0"/>
    <s v="707 Harco Drive"/>
    <s v="Englewood"/>
    <s v="OH"/>
    <s v="USA"/>
    <x v="0"/>
    <n v="136.53382300000001"/>
    <n v="3081.79"/>
    <s v=""/>
    <n v="24.745999999999999"/>
    <n v="24.719207999999998"/>
    <n v="1.2718E-2"/>
    <n v="1.3883E-2"/>
    <n v="24.745999999999999"/>
    <n v="24.719207999999998"/>
    <n v="1.2718E-2"/>
    <n v="1.3883E-2"/>
    <x v="1"/>
  </r>
  <r>
    <d v="2022-02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3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3-01T00:00:00"/>
    <x v="8"/>
    <s v="Manufacturing"/>
    <x v="8"/>
    <x v="0"/>
    <s v="707 Harco Drive"/>
    <s v="Englewood"/>
    <s v="OH"/>
    <s v="USA"/>
    <x v="0"/>
    <n v="98.168066999999994"/>
    <n v="2245.1"/>
    <s v=""/>
    <n v="17.792000000000002"/>
    <n v="17.773154999999999"/>
    <n v="9.1439999999999994E-3"/>
    <n v="9.9819999999999996E-3"/>
    <n v="17.792000000000002"/>
    <n v="17.773154999999999"/>
    <n v="9.1439999999999994E-3"/>
    <n v="9.9819999999999996E-3"/>
    <x v="1"/>
  </r>
  <r>
    <d v="2022-03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4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4-01T00:00:00"/>
    <x v="8"/>
    <s v="Manufacturing"/>
    <x v="8"/>
    <x v="0"/>
    <s v="707 Harco Drive"/>
    <s v="Englewood"/>
    <s v="OH"/>
    <s v="USA"/>
    <x v="0"/>
    <n v="95.879508999999999"/>
    <n v="2195.17"/>
    <s v=""/>
    <n v="17.376999999999999"/>
    <n v="17.358816000000001"/>
    <n v="8.9309999999999997E-3"/>
    <n v="9.7490000000000007E-3"/>
    <n v="17.376999999999999"/>
    <n v="17.358816000000001"/>
    <n v="8.9309999999999997E-3"/>
    <n v="9.7490000000000007E-3"/>
    <x v="1"/>
  </r>
  <r>
    <d v="2022-04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5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5-01T00:00:00"/>
    <x v="8"/>
    <s v="Manufacturing"/>
    <x v="8"/>
    <x v="0"/>
    <s v="707 Harco Drive"/>
    <s v="Englewood"/>
    <s v="OH"/>
    <s v="USA"/>
    <x v="0"/>
    <n v="62.537697000000001"/>
    <n v="1468.08"/>
    <s v=""/>
    <n v="11.335000000000001"/>
    <n v="11.322340000000001"/>
    <n v="5.8250000000000003E-3"/>
    <n v="6.3590000000000001E-3"/>
    <n v="11.335000000000001"/>
    <n v="11.322340000000001"/>
    <n v="5.8250000000000003E-3"/>
    <n v="6.3590000000000001E-3"/>
    <x v="1"/>
  </r>
  <r>
    <d v="2022-05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6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6-01T00:00:00"/>
    <x v="8"/>
    <s v="Manufacturing"/>
    <x v="8"/>
    <x v="0"/>
    <s v="707 Harco Drive"/>
    <s v="Englewood"/>
    <s v="OH"/>
    <s v="USA"/>
    <x v="0"/>
    <n v="50.824883999999997"/>
    <n v="1212.6199999999999"/>
    <s v=""/>
    <n v="9.2119999999999997"/>
    <n v="9.2017559999999996"/>
    <n v="4.7340000000000004E-3"/>
    <n v="5.1679999999999999E-3"/>
    <n v="9.2119999999999997"/>
    <n v="9.2017559999999996"/>
    <n v="4.7340000000000004E-3"/>
    <n v="5.1679999999999999E-3"/>
    <x v="1"/>
  </r>
  <r>
    <d v="2022-06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7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7-01T00:00:00"/>
    <x v="8"/>
    <s v="Manufacturing"/>
    <x v="8"/>
    <x v="0"/>
    <s v="707 Harco Drive"/>
    <s v="Englewood"/>
    <s v="OH"/>
    <s v="USA"/>
    <x v="0"/>
    <n v="48.809953999999998"/>
    <n v="1168.8"/>
    <s v=""/>
    <n v="8.8460000000000001"/>
    <n v="8.8369560000000007"/>
    <n v="4.5469999999999998E-3"/>
    <n v="4.9630000000000004E-3"/>
    <n v="8.8460000000000001"/>
    <n v="8.8369560000000007"/>
    <n v="4.5469999999999998E-3"/>
    <n v="4.9630000000000004E-3"/>
    <x v="1"/>
  </r>
  <r>
    <d v="2022-07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8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8-01T00:00:00"/>
    <x v="8"/>
    <s v="Manufacturing"/>
    <x v="8"/>
    <x v="0"/>
    <s v="707 Harco Drive"/>
    <s v="Englewood"/>
    <s v="OH"/>
    <s v="USA"/>
    <x v="0"/>
    <n v="54.093093000000003"/>
    <n v="1285.83"/>
    <s v=""/>
    <n v="9.8040000000000003"/>
    <n v="9.7934590000000004"/>
    <n v="5.0390000000000001E-3"/>
    <n v="5.4999999999999997E-3"/>
    <n v="9.8040000000000003"/>
    <n v="9.7934590000000004"/>
    <n v="5.0390000000000001E-3"/>
    <n v="5.4999999999999997E-3"/>
    <x v="1"/>
  </r>
  <r>
    <d v="2022-08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9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9-01T00:00:00"/>
    <x v="8"/>
    <s v="Manufacturing"/>
    <x v="8"/>
    <x v="0"/>
    <s v="707 Harco Drive"/>
    <s v="Englewood"/>
    <s v="OH"/>
    <s v="USA"/>
    <x v="0"/>
    <n v="52.498528999999998"/>
    <n v="1253.01"/>
    <s v=""/>
    <n v="9.5150000000000006"/>
    <n v="9.504766"/>
    <n v="4.8900000000000002E-3"/>
    <n v="5.3379999999999999E-3"/>
    <n v="9.5150000000000006"/>
    <n v="9.504766"/>
    <n v="4.8900000000000002E-3"/>
    <n v="5.3379999999999999E-3"/>
    <x v="1"/>
  </r>
  <r>
    <d v="2022-09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10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10-01T00:00:00"/>
    <x v="8"/>
    <s v="Manufacturing"/>
    <x v="8"/>
    <x v="0"/>
    <s v="707 Harco Drive"/>
    <s v="Englewood"/>
    <s v="OH"/>
    <s v="USA"/>
    <x v="0"/>
    <n v="78.895583999999999"/>
    <n v="1836.96"/>
    <s v=""/>
    <n v="14.298999999999999"/>
    <n v="14.283906"/>
    <n v="7.3489999999999996E-3"/>
    <n v="8.0219999999999996E-3"/>
    <n v="14.298999999999999"/>
    <n v="14.283906"/>
    <n v="7.3489999999999996E-3"/>
    <n v="8.0219999999999996E-3"/>
    <x v="1"/>
  </r>
  <r>
    <d v="2022-10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11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11-01T00:00:00"/>
    <x v="8"/>
    <s v="Manufacturing"/>
    <x v="8"/>
    <x v="0"/>
    <s v="707 Harco Drive"/>
    <s v="Englewood"/>
    <s v="OH"/>
    <s v="USA"/>
    <x v="0"/>
    <n v="89.492232000000001"/>
    <n v="2070.71"/>
    <s v=""/>
    <n v="16.22"/>
    <n v="16.202411000000001"/>
    <n v="8.3359999999999997E-3"/>
    <n v="9.1000000000000004E-3"/>
    <n v="16.22"/>
    <n v="16.202411000000001"/>
    <n v="8.3359999999999997E-3"/>
    <n v="9.1000000000000004E-3"/>
    <x v="1"/>
  </r>
  <r>
    <d v="2022-11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12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12-01T00:00:00"/>
    <x v="8"/>
    <s v="Manufacturing"/>
    <x v="8"/>
    <x v="0"/>
    <s v="707 Harco Drive"/>
    <s v="Englewood"/>
    <s v="OH"/>
    <s v="USA"/>
    <x v="0"/>
    <n v="111.61316100000001"/>
    <n v="2556.29"/>
    <s v=""/>
    <n v="20.228999999999999"/>
    <n v="20.207366"/>
    <n v="1.0397E-2"/>
    <n v="1.1349E-2"/>
    <n v="20.228999999999999"/>
    <n v="20.207366"/>
    <n v="1.0397E-2"/>
    <n v="1.1349E-2"/>
    <x v="1"/>
  </r>
  <r>
    <d v="2022-12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3-01-01T00:00:00"/>
    <x v="8"/>
    <s v="Manufacturing"/>
    <x v="8"/>
    <x v="0"/>
    <s v="707 Harco Drive"/>
    <s v="Englewood"/>
    <s v="OH"/>
    <s v="USA"/>
    <x v="0"/>
    <n v="120.680796"/>
    <n v="2741.44"/>
    <s v=""/>
    <n v="21.873000000000001"/>
    <n v="21.849045"/>
    <n v="1.1242E-2"/>
    <n v="1.2271000000000001E-2"/>
    <n v="21.873000000000001"/>
    <n v="21.849045"/>
    <n v="1.1242E-2"/>
    <n v="1.2271000000000001E-2"/>
    <x v="0"/>
  </r>
  <r>
    <d v="2023-02-01T00:00:00"/>
    <x v="8"/>
    <s v="Manufacturing"/>
    <x v="8"/>
    <x v="0"/>
    <s v="707 Harco Drive"/>
    <s v="Englewood"/>
    <s v="OH"/>
    <s v="USA"/>
    <x v="0"/>
    <n v="105.551232"/>
    <n v="2405.65"/>
    <s v=""/>
    <n v="19.13"/>
    <n v="19.109864000000002"/>
    <n v="9.8320000000000005E-3"/>
    <n v="1.0732999999999999E-2"/>
    <n v="19.13"/>
    <n v="19.109864000000002"/>
    <n v="9.8320000000000005E-3"/>
    <n v="1.0732999999999999E-2"/>
    <x v="0"/>
  </r>
  <r>
    <d v="2023-03-01T00:00:00"/>
    <x v="8"/>
    <s v="Manufacturing"/>
    <x v="8"/>
    <x v="0"/>
    <s v="707 Harco Drive"/>
    <s v="Englewood"/>
    <s v="OH"/>
    <s v="USA"/>
    <x v="0"/>
    <n v="79.555300000000003"/>
    <n v="1838.82"/>
    <s v=""/>
    <n v="14.419"/>
    <n v="14.403347"/>
    <n v="7.4110000000000001E-3"/>
    <n v="8.0890000000000007E-3"/>
    <n v="14.419"/>
    <n v="14.403347"/>
    <n v="7.4110000000000001E-3"/>
    <n v="8.0890000000000007E-3"/>
    <x v="0"/>
  </r>
  <r>
    <d v="2023-04-01T00:00:00"/>
    <x v="8"/>
    <s v="Manufacturing"/>
    <x v="8"/>
    <x v="0"/>
    <s v="707 Harco Drive"/>
    <s v="Englewood"/>
    <s v="OH"/>
    <s v="USA"/>
    <x v="0"/>
    <n v="56.522675999999997"/>
    <n v="1575.36"/>
    <s v=""/>
    <n v="10.244"/>
    <n v="10.233331"/>
    <n v="5.2649999999999997E-3"/>
    <n v="5.7470000000000004E-3"/>
    <n v="10.244"/>
    <n v="10.233331"/>
    <n v="5.2649999999999997E-3"/>
    <n v="5.7470000000000004E-3"/>
    <x v="0"/>
  </r>
  <r>
    <d v="2023-05-01T00:00:00"/>
    <x v="8"/>
    <s v="Manufacturing"/>
    <x v="8"/>
    <x v="0"/>
    <s v="707 Harco Drive"/>
    <s v="Englewood"/>
    <s v="OH"/>
    <s v="USA"/>
    <x v="0"/>
    <n v="61.860841999999998"/>
    <n v="1714.28"/>
    <s v=""/>
    <n v="11.212"/>
    <n v="11.199795999999999"/>
    <n v="5.7619999999999998E-3"/>
    <n v="6.2899999999999996E-3"/>
    <n v="11.212"/>
    <n v="11.199795999999999"/>
    <n v="5.7619999999999998E-3"/>
    <n v="6.2899999999999996E-3"/>
    <x v="0"/>
  </r>
  <r>
    <d v="2023-06-01T00:00:00"/>
    <x v="8"/>
    <s v="Manufacturing"/>
    <x v="8"/>
    <x v="0"/>
    <s v="707 Harco Drive"/>
    <s v="Englewood"/>
    <s v="OH"/>
    <s v="USA"/>
    <x v="0"/>
    <n v="47.096015999999999"/>
    <n v="1330.01"/>
    <s v=""/>
    <n v="8.5359999999999996"/>
    <n v="8.5266509999999993"/>
    <n v="4.3870000000000003E-3"/>
    <n v="4.7889999999999999E-3"/>
    <n v="8.5359999999999996"/>
    <n v="8.5266509999999993"/>
    <n v="4.3870000000000003E-3"/>
    <n v="4.7889999999999999E-3"/>
    <x v="0"/>
  </r>
  <r>
    <d v="2023-07-01T00:00:00"/>
    <x v="8"/>
    <s v="Manufacturing"/>
    <x v="8"/>
    <x v="0"/>
    <s v="707 Harco Drive"/>
    <s v="Englewood"/>
    <s v="OH"/>
    <s v="USA"/>
    <x v="0"/>
    <n v="41.093924000000001"/>
    <n v="1179.08"/>
    <s v=""/>
    <n v="7.4480000000000004"/>
    <n v="7.4399819999999997"/>
    <n v="3.8279999999999998E-3"/>
    <n v="4.1790000000000004E-3"/>
    <n v="7.4480000000000004"/>
    <n v="7.4399819999999997"/>
    <n v="3.8279999999999998E-3"/>
    <n v="4.1780000000000003E-3"/>
    <x v="0"/>
  </r>
  <r>
    <d v="2023-08-01T00:00:00"/>
    <x v="8"/>
    <s v="Manufacturing"/>
    <x v="8"/>
    <x v="0"/>
    <s v="707 Harco Drive"/>
    <s v="Englewood"/>
    <s v="OH"/>
    <s v="USA"/>
    <x v="0"/>
    <n v="56.457425999999998"/>
    <n v="1589.25"/>
    <s v=""/>
    <n v="10.233000000000001"/>
    <n v="10.221517"/>
    <n v="5.2589999999999998E-3"/>
    <n v="5.7409999999999996E-3"/>
    <n v="10.233000000000001"/>
    <n v="10.221517"/>
    <n v="5.2589999999999998E-3"/>
    <n v="5.7409999999999996E-3"/>
    <x v="0"/>
  </r>
  <r>
    <d v="2023-09-01T00:00:00"/>
    <x v="8"/>
    <s v="Manufacturing"/>
    <x v="8"/>
    <x v="0"/>
    <s v="707 Harco Drive"/>
    <s v="Englewood"/>
    <s v="OH"/>
    <s v="USA"/>
    <x v="0"/>
    <n v="59.28783"/>
    <n v="1669.29"/>
    <s v=""/>
    <n v="10.746"/>
    <n v="10.733957"/>
    <n v="5.5230000000000001E-3"/>
    <n v="6.0280000000000004E-3"/>
    <n v="10.746"/>
    <n v="10.733957"/>
    <n v="5.5230000000000001E-3"/>
    <n v="6.0280000000000004E-3"/>
    <x v="0"/>
  </r>
  <r>
    <d v="2023-10-01T00:00:00"/>
    <x v="8"/>
    <s v="Manufacturing"/>
    <x v="8"/>
    <x v="0"/>
    <s v="707 Harco Drive"/>
    <s v="Englewood"/>
    <s v="OH"/>
    <s v="USA"/>
    <x v="0"/>
    <n v="82.191156000000007"/>
    <n v="2251.75"/>
    <s v=""/>
    <n v="14.897"/>
    <n v="14.880564"/>
    <n v="7.6559999999999996E-3"/>
    <n v="8.3569999999999998E-3"/>
    <n v="14.897"/>
    <n v="14.880564"/>
    <n v="7.6559999999999996E-3"/>
    <n v="8.3569999999999998E-3"/>
    <x v="0"/>
  </r>
  <r>
    <d v="2023-11-01T00:00:00"/>
    <x v="8"/>
    <s v="Manufacturing"/>
    <x v="8"/>
    <x v="0"/>
    <s v="707 Harco Drive"/>
    <s v="Englewood"/>
    <s v="OH"/>
    <s v="USA"/>
    <x v="0"/>
    <n v="78.162800000000004"/>
    <n v="2108.38"/>
    <s v=""/>
    <n v="14.166"/>
    <n v="14.151237"/>
    <n v="7.2810000000000001E-3"/>
    <n v="7.9480000000000002E-3"/>
    <n v="14.166"/>
    <n v="14.151237"/>
    <n v="7.2810000000000001E-3"/>
    <n v="7.9480000000000002E-3"/>
    <x v="0"/>
  </r>
  <r>
    <d v="2023-12-01T00:00:00"/>
    <x v="8"/>
    <s v="Manufacturing"/>
    <x v="8"/>
    <x v="0"/>
    <s v="707 Harco Drive"/>
    <s v="Englewood"/>
    <s v="OH"/>
    <s v="USA"/>
    <x v="0"/>
    <n v="141.404415"/>
    <n v="3708.13"/>
    <s v=""/>
    <n v="25.629000000000001"/>
    <n v="25.601019999999998"/>
    <n v="1.3172E-2"/>
    <n v="1.4378E-2"/>
    <n v="25.629000000000001"/>
    <n v="25.601019999999998"/>
    <n v="1.3172E-2"/>
    <n v="1.4378E-2"/>
    <x v="0"/>
  </r>
  <r>
    <d v="2022-01-01T00:00:00"/>
    <x v="4"/>
    <s v="Manufacturing"/>
    <x v="8"/>
    <x v="1"/>
    <s v="707 Harco Drive"/>
    <s v="Englewood"/>
    <s v="OH"/>
    <s v="USA"/>
    <x v="0"/>
    <n v="151.49799999999999"/>
    <n v="9639.0400000000009"/>
    <s v=""/>
    <n v="72.015000000000001"/>
    <n v="72.015270999999998"/>
    <m/>
    <m/>
    <n v="72.332999999999998"/>
    <n v="71.888451000000003"/>
    <n v="0.26264100000000001"/>
    <n v="0.18213799999999999"/>
    <x v="1"/>
  </r>
  <r>
    <d v="2022-02-01T00:00:00"/>
    <x v="4"/>
    <s v="Manufacturing"/>
    <x v="8"/>
    <x v="1"/>
    <s v="707 Harco Drive"/>
    <s v="Englewood"/>
    <s v="OH"/>
    <s v="USA"/>
    <x v="0"/>
    <n v="135.29400000000001"/>
    <n v="13050.85"/>
    <s v=""/>
    <n v="64.313000000000002"/>
    <n v="64.312624999999997"/>
    <m/>
    <m/>
    <n v="64.596999999999994"/>
    <n v="64.199370000000002"/>
    <n v="0.23455000000000001"/>
    <n v="0.162657"/>
    <x v="1"/>
  </r>
  <r>
    <d v="2022-03-01T00:00:00"/>
    <x v="4"/>
    <s v="Manufacturing"/>
    <x v="8"/>
    <x v="1"/>
    <s v="707 Harco Drive"/>
    <s v="Englewood"/>
    <s v="OH"/>
    <s v="USA"/>
    <x v="0"/>
    <n v="143.48400000000001"/>
    <n v="13609.83"/>
    <s v=""/>
    <n v="68.206000000000003"/>
    <n v="68.205779000000007"/>
    <m/>
    <m/>
    <n v="68.507000000000005"/>
    <n v="68.085667999999998"/>
    <n v="0.248748"/>
    <n v="0.17250299999999999"/>
    <x v="1"/>
  </r>
  <r>
    <d v="2022-04-01T00:00:00"/>
    <x v="4"/>
    <s v="Manufacturing"/>
    <x v="8"/>
    <x v="1"/>
    <s v="707 Harco Drive"/>
    <s v="Englewood"/>
    <s v="OH"/>
    <s v="USA"/>
    <x v="0"/>
    <n v="134.06100000000001"/>
    <n v="12856.44"/>
    <s v=""/>
    <n v="63.726999999999997"/>
    <n v="63.726512999999997"/>
    <m/>
    <m/>
    <n v="64.007999999999996"/>
    <n v="63.614289999999997"/>
    <n v="0.23241200000000001"/>
    <n v="0.16117400000000001"/>
    <x v="1"/>
  </r>
  <r>
    <d v="2022-05-01T00:00:00"/>
    <x v="4"/>
    <s v="Manufacturing"/>
    <x v="8"/>
    <x v="1"/>
    <s v="707 Harco Drive"/>
    <s v="Englewood"/>
    <s v="OH"/>
    <s v="USA"/>
    <x v="0"/>
    <n v="152.53399999999999"/>
    <n v="14041.24"/>
    <s v=""/>
    <n v="72.507999999999996"/>
    <n v="72.507738000000003"/>
    <m/>
    <m/>
    <n v="72.828000000000003"/>
    <n v="72.380050999999995"/>
    <n v="0.26443800000000001"/>
    <n v="0.18338299999999999"/>
    <x v="1"/>
  </r>
  <r>
    <d v="2022-06-01T00:00:00"/>
    <x v="4"/>
    <s v="Manufacturing"/>
    <x v="8"/>
    <x v="1"/>
    <s v="707 Harco Drive"/>
    <s v="Englewood"/>
    <s v="OH"/>
    <s v="USA"/>
    <x v="0"/>
    <n v="163.65899999999999"/>
    <n v="14978.58"/>
    <s v=""/>
    <n v="77.796000000000006"/>
    <n v="77.796058000000002"/>
    <m/>
    <m/>
    <n v="78.14"/>
    <n v="77.659058000000002"/>
    <n v="0.28372399999999998"/>
    <n v="0.19675799999999999"/>
    <x v="1"/>
  </r>
  <r>
    <d v="2022-07-01T00:00:00"/>
    <x v="4"/>
    <s v="Manufacturing"/>
    <x v="8"/>
    <x v="1"/>
    <s v="707 Harco Drive"/>
    <s v="Englewood"/>
    <s v="OH"/>
    <s v="USA"/>
    <x v="0"/>
    <n v="166.03399999999999"/>
    <n v="15137.25"/>
    <s v=""/>
    <n v="78.924999999999997"/>
    <n v="78.925025000000005"/>
    <m/>
    <m/>
    <n v="79.272999999999996"/>
    <n v="78.786038000000005"/>
    <n v="0.28784199999999999"/>
    <n v="0.19961400000000001"/>
    <x v="1"/>
  </r>
  <r>
    <d v="2022-08-01T00:00:00"/>
    <x v="4"/>
    <s v="Manufacturing"/>
    <x v="8"/>
    <x v="1"/>
    <s v="707 Harco Drive"/>
    <s v="Englewood"/>
    <s v="OH"/>
    <s v="USA"/>
    <x v="0"/>
    <n v="189.18299999999999"/>
    <n v="17035.060000000001"/>
    <s v=""/>
    <n v="89.929000000000002"/>
    <n v="89.929008999999994"/>
    <m/>
    <m/>
    <n v="90.325999999999993"/>
    <n v="89.770643000000007"/>
    <n v="0.32797300000000001"/>
    <n v="0.22744500000000001"/>
    <x v="1"/>
  </r>
  <r>
    <d v="2022-09-01T00:00:00"/>
    <x v="4"/>
    <s v="Manufacturing"/>
    <x v="8"/>
    <x v="1"/>
    <s v="707 Harco Drive"/>
    <s v="Englewood"/>
    <s v="OH"/>
    <s v="USA"/>
    <x v="0"/>
    <n v="172.68799999999999"/>
    <n v="15753.14"/>
    <s v=""/>
    <n v="82.087999999999994"/>
    <n v="82.088035000000005"/>
    <m/>
    <m/>
    <n v="82.45"/>
    <n v="81.943477000000001"/>
    <n v="0.299377"/>
    <n v="0.20761399999999999"/>
    <x v="1"/>
  </r>
  <r>
    <d v="2022-10-01T00:00:00"/>
    <x v="4"/>
    <s v="Manufacturing"/>
    <x v="8"/>
    <x v="1"/>
    <s v="707 Harco Drive"/>
    <s v="Englewood"/>
    <s v="OH"/>
    <s v="USA"/>
    <x v="0"/>
    <n v="160.726"/>
    <n v="14445.86"/>
    <s v=""/>
    <n v="76.402000000000001"/>
    <n v="76.401843"/>
    <m/>
    <m/>
    <n v="76.739000000000004"/>
    <n v="76.267298999999994"/>
    <n v="0.27863900000000003"/>
    <n v="0.19323199999999999"/>
    <x v="1"/>
  </r>
  <r>
    <d v="2022-11-01T00:00:00"/>
    <x v="4"/>
    <s v="Manufacturing"/>
    <x v="8"/>
    <x v="1"/>
    <s v="707 Harco Drive"/>
    <s v="Englewood"/>
    <s v="OH"/>
    <s v="USA"/>
    <x v="0"/>
    <n v="139.89699999999999"/>
    <n v="12808.37"/>
    <s v=""/>
    <n v="66.501000000000005"/>
    <n v="66.500681999999998"/>
    <m/>
    <m/>
    <n v="66.793999999999997"/>
    <n v="66.383573999999996"/>
    <n v="0.24253"/>
    <n v="0.16819100000000001"/>
    <x v="1"/>
  </r>
  <r>
    <d v="2022-12-01T00:00:00"/>
    <x v="4"/>
    <s v="Manufacturing"/>
    <x v="8"/>
    <x v="1"/>
    <s v="707 Harco Drive"/>
    <s v="Englewood"/>
    <s v="OH"/>
    <s v="USA"/>
    <x v="0"/>
    <n v="132.63800000000001"/>
    <n v="12437.16"/>
    <s v=""/>
    <n v="63.05"/>
    <n v="63.050083000000001"/>
    <m/>
    <m/>
    <n v="63.328000000000003"/>
    <n v="62.939050999999999"/>
    <n v="0.22994500000000001"/>
    <n v="0.15946399999999999"/>
    <x v="1"/>
  </r>
  <r>
    <d v="2023-01-01T00:00:00"/>
    <x v="4"/>
    <s v="Manufacturing"/>
    <x v="8"/>
    <x v="1"/>
    <s v="707 Harco Drive"/>
    <s v="Englewood"/>
    <s v="OH"/>
    <s v="USA"/>
    <x v="0"/>
    <n v="156.209"/>
    <n v="14316.56"/>
    <s v=""/>
    <n v="74.254999999999995"/>
    <n v="74.254666"/>
    <m/>
    <m/>
    <n v="74.582999999999998"/>
    <n v="74.123902999999999"/>
    <n v="0.27080900000000002"/>
    <n v="0.187802"/>
    <x v="0"/>
  </r>
  <r>
    <d v="2023-02-01T00:00:00"/>
    <x v="4"/>
    <s v="Manufacturing"/>
    <x v="8"/>
    <x v="1"/>
    <s v="707 Harco Drive"/>
    <s v="Englewood"/>
    <s v="OH"/>
    <s v="USA"/>
    <x v="0"/>
    <n v="134.78299999999999"/>
    <n v="11303.74"/>
    <s v=""/>
    <n v="64.069999999999993"/>
    <n v="64.069719000000006"/>
    <m/>
    <m/>
    <n v="64.352999999999994"/>
    <n v="63.956890999999999"/>
    <n v="0.23366400000000001"/>
    <n v="0.16204199999999999"/>
    <x v="0"/>
  </r>
  <r>
    <d v="2023-03-01T00:00:00"/>
    <x v="4"/>
    <s v="Manufacturing"/>
    <x v="8"/>
    <x v="1"/>
    <s v="707 Harco Drive"/>
    <s v="Englewood"/>
    <s v="OH"/>
    <s v="USA"/>
    <x v="0"/>
    <n v="119.369"/>
    <n v="10009.81"/>
    <s v=""/>
    <n v="56.743000000000002"/>
    <n v="56.742603000000003"/>
    <m/>
    <m/>
    <n v="56.993000000000002"/>
    <n v="56.642679000000001"/>
    <n v="0.20694199999999999"/>
    <n v="0.143511"/>
    <x v="0"/>
  </r>
  <r>
    <d v="2023-04-01T00:00:00"/>
    <x v="4"/>
    <s v="Manufacturing"/>
    <x v="8"/>
    <x v="1"/>
    <s v="707 Harco Drive"/>
    <s v="Englewood"/>
    <s v="OH"/>
    <s v="USA"/>
    <x v="0"/>
    <n v="91.165000000000006"/>
    <n v="8009.8"/>
    <s v=""/>
    <n v="43.335999999999999"/>
    <n v="43.335701999999998"/>
    <m/>
    <m/>
    <n v="43.527000000000001"/>
    <n v="43.259386999999997"/>
    <n v="0.15804599999999999"/>
    <n v="0.10960300000000001"/>
    <x v="0"/>
  </r>
  <r>
    <d v="2023-05-01T00:00:00"/>
    <x v="4"/>
    <s v="Manufacturing"/>
    <x v="8"/>
    <x v="1"/>
    <s v="707 Harco Drive"/>
    <s v="Englewood"/>
    <s v="OH"/>
    <s v="USA"/>
    <x v="0"/>
    <n v="138.648"/>
    <n v="11560.38"/>
    <s v=""/>
    <n v="65.906999999999996"/>
    <n v="65.906964000000002"/>
    <m/>
    <m/>
    <n v="66.197999999999993"/>
    <n v="65.790901000000005"/>
    <n v="0.24036399999999999"/>
    <n v="0.166689"/>
    <x v="0"/>
  </r>
  <r>
    <d v="2023-06-01T00:00:00"/>
    <x v="4"/>
    <s v="Manufacturing"/>
    <x v="8"/>
    <x v="1"/>
    <s v="707 Harco Drive"/>
    <s v="Englewood"/>
    <s v="OH"/>
    <s v="USA"/>
    <x v="0"/>
    <n v="154.24799999999999"/>
    <n v="13074.78"/>
    <s v=""/>
    <n v="73.322000000000003"/>
    <n v="73.322496000000001"/>
    <m/>
    <m/>
    <n v="73.646000000000001"/>
    <n v="73.193374000000006"/>
    <n v="0.26740900000000001"/>
    <n v="0.185444"/>
    <x v="0"/>
  </r>
  <r>
    <d v="2023-07-01T00:00:00"/>
    <x v="4"/>
    <s v="Manufacturing"/>
    <x v="8"/>
    <x v="1"/>
    <s v="707 Harco Drive"/>
    <s v="Englewood"/>
    <s v="OH"/>
    <s v="USA"/>
    <x v="0"/>
    <n v="168.82400000000001"/>
    <n v="14073.18"/>
    <s v=""/>
    <n v="80.251000000000005"/>
    <n v="80.251265000000004"/>
    <m/>
    <m/>
    <n v="80.605999999999995"/>
    <n v="80.109941000000006"/>
    <n v="0.29267799999999999"/>
    <n v="0.20296800000000001"/>
    <x v="0"/>
  </r>
  <r>
    <d v="2023-08-01T00:00:00"/>
    <x v="4"/>
    <s v="Manufacturing"/>
    <x v="8"/>
    <x v="1"/>
    <s v="707 Harco Drive"/>
    <s v="Englewood"/>
    <s v="OH"/>
    <s v="USA"/>
    <x v="0"/>
    <n v="164.363"/>
    <n v="13965.44"/>
    <s v=""/>
    <n v="78.131"/>
    <n v="78.130707999999998"/>
    <m/>
    <m/>
    <n v="78.475999999999999"/>
    <n v="77.993118999999993"/>
    <n v="0.284945"/>
    <n v="0.197605"/>
    <x v="0"/>
  </r>
  <r>
    <d v="2023-09-01T00:00:00"/>
    <x v="4"/>
    <s v="Manufacturing"/>
    <x v="8"/>
    <x v="1"/>
    <s v="707 Harco Drive"/>
    <s v="Englewood"/>
    <s v="OH"/>
    <s v="USA"/>
    <x v="0"/>
    <n v="154.87"/>
    <n v="12887.29"/>
    <s v=""/>
    <n v="73.617999999999995"/>
    <n v="73.618167"/>
    <m/>
    <m/>
    <n v="73.942999999999998"/>
    <n v="73.488523999999998"/>
    <n v="0.26848699999999998"/>
    <n v="0.186192"/>
    <x v="0"/>
  </r>
  <r>
    <d v="2023-10-01T00:00:00"/>
    <x v="4"/>
    <s v="Manufacturing"/>
    <x v="8"/>
    <x v="1"/>
    <s v="707 Harco Drive"/>
    <s v="Englewood"/>
    <s v="OH"/>
    <s v="USA"/>
    <x v="0"/>
    <n v="154.45699999999999"/>
    <n v="12955.23"/>
    <s v=""/>
    <n v="73.421999999999997"/>
    <n v="73.421845000000005"/>
    <m/>
    <m/>
    <n v="73.745999999999995"/>
    <n v="73.292548999999994"/>
    <n v="0.26777099999999998"/>
    <n v="0.185695"/>
    <x v="0"/>
  </r>
  <r>
    <d v="2023-11-01T00:00:00"/>
    <x v="4"/>
    <s v="Manufacturing"/>
    <x v="8"/>
    <x v="1"/>
    <s v="707 Harco Drive"/>
    <s v="Englewood"/>
    <s v="OH"/>
    <s v="USA"/>
    <x v="0"/>
    <n v="135.33799999999999"/>
    <n v="11150.44"/>
    <s v=""/>
    <n v="64.334000000000003"/>
    <n v="64.333540999999997"/>
    <m/>
    <m/>
    <n v="64.617999999999995"/>
    <n v="64.220248999999995"/>
    <n v="0.234626"/>
    <n v="0.16270999999999999"/>
    <x v="0"/>
  </r>
  <r>
    <d v="2023-12-01T00:00:00"/>
    <x v="4"/>
    <s v="Manufacturing"/>
    <x v="8"/>
    <x v="1"/>
    <s v="707 Harco Drive"/>
    <s v="Englewood"/>
    <s v="OH"/>
    <s v="USA"/>
    <x v="0"/>
    <n v="112.22499999999999"/>
    <n v="9509.8799999999992"/>
    <s v=""/>
    <n v="53.347000000000001"/>
    <n v="53.346670000000003"/>
    <m/>
    <m/>
    <n v="53.582000000000001"/>
    <n v="53.252726000000003"/>
    <n v="0.19455700000000001"/>
    <n v="0.13492199999999999"/>
    <x v="0"/>
  </r>
  <r>
    <d v="2023-01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2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2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03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4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4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05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5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6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6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7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7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8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8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9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0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0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11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1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11-01T00:00:00"/>
    <x v="12"/>
    <s v="Manufacturing"/>
    <x v="8"/>
    <x v="2"/>
    <s v="707 Harco Drive"/>
    <s v="Englewood"/>
    <s v="OH"/>
    <s v="USA"/>
    <x v="3"/>
    <n v="0"/>
    <n v="378"/>
    <s v=""/>
    <n v="0"/>
    <n v="0"/>
    <m/>
    <m/>
    <n v="0"/>
    <n v="0"/>
    <m/>
    <m/>
    <x v="0"/>
  </r>
  <r>
    <d v="2023-12-01T00:00:00"/>
    <x v="11"/>
    <s v="Manufacturing"/>
    <x v="8"/>
    <x v="2"/>
    <s v="707 Harco Drive"/>
    <s v="Englewood"/>
    <s v="OH"/>
    <s v="USA"/>
    <x v="3"/>
    <n v="62.174309000000001"/>
    <m/>
    <s v=""/>
    <n v="32.350999999999999"/>
    <n v="32.351452999999999"/>
    <m/>
    <m/>
    <n v="32.350999999999999"/>
    <n v="32.351452999999999"/>
    <m/>
    <m/>
    <x v="0"/>
  </r>
  <r>
    <d v="2023-12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2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12-01T00:00:00"/>
    <x v="12"/>
    <s v="Manufacturing"/>
    <x v="8"/>
    <x v="2"/>
    <s v="707 Harco Drive"/>
    <s v="Englewood"/>
    <s v="OH"/>
    <s v="USA"/>
    <x v="3"/>
    <n v="0"/>
    <n v="29038.25"/>
    <s v=""/>
    <n v="0"/>
    <n v="0"/>
    <m/>
    <m/>
    <n v="0"/>
    <n v="0"/>
    <m/>
    <m/>
    <x v="0"/>
  </r>
  <r>
    <d v="2022-01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1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2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2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3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3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4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4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5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5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6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6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7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7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8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8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9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9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10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10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11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11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12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12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3-01-01T00:00:00"/>
    <x v="8"/>
    <s v="Manufacturing"/>
    <x v="9"/>
    <x v="0"/>
    <s v="16 Law Drive_x000a_"/>
    <s v="Fairfield"/>
    <s v="NJ"/>
    <s v="USA"/>
    <x v="0"/>
    <n v="131.88198199999999"/>
    <m/>
    <m/>
    <n v="23.902999999999999"/>
    <n v="23.876999999999999"/>
    <n v="1.2285000000000001E-2"/>
    <n v="1.341E-2"/>
    <n v="23.902999999999999"/>
    <n v="23.876999999999999"/>
    <n v="1.2285000000000001E-2"/>
    <n v="1.341E-2"/>
    <x v="0"/>
  </r>
  <r>
    <d v="2023-02-01T00:00:00"/>
    <x v="8"/>
    <s v="Manufacturing"/>
    <x v="9"/>
    <x v="0"/>
    <s v="16 Law Drive_x000a_"/>
    <s v="Fairfield"/>
    <s v="NJ"/>
    <s v="USA"/>
    <x v="0"/>
    <n v="55.683503000000002"/>
    <m/>
    <m/>
    <n v="10.092000000000001"/>
    <n v="10.0814"/>
    <n v="5.1869999999999998E-3"/>
    <n v="5.6620000000000004E-3"/>
    <n v="10.092000000000001"/>
    <n v="10.0814"/>
    <n v="5.1869999999999998E-3"/>
    <n v="5.6620000000000004E-3"/>
    <x v="0"/>
  </r>
  <r>
    <d v="2023-03-01T00:00:00"/>
    <x v="8"/>
    <s v="Manufacturing"/>
    <x v="9"/>
    <x v="0"/>
    <s v="16 Law Drive_x000a_"/>
    <s v="Fairfield"/>
    <s v="NJ"/>
    <s v="USA"/>
    <x v="0"/>
    <n v="96.113038000000003"/>
    <m/>
    <m/>
    <n v="17.420000000000002"/>
    <n v="17.401095999999999"/>
    <n v="8.9529999999999992E-3"/>
    <n v="9.7730000000000004E-3"/>
    <n v="17.420000000000002"/>
    <n v="17.401095999999999"/>
    <n v="8.9529999999999992E-3"/>
    <n v="9.7730000000000004E-3"/>
    <x v="0"/>
  </r>
  <r>
    <d v="2023-04-01T00:00:00"/>
    <x v="8"/>
    <s v="Manufacturing"/>
    <x v="9"/>
    <x v="0"/>
    <s v="16 Law Drive_x000a_"/>
    <s v="Fairfield"/>
    <s v="NJ"/>
    <s v="USA"/>
    <x v="0"/>
    <n v="156.61301800000001"/>
    <m/>
    <m/>
    <n v="28.385000000000002"/>
    <n v="28.354510999999999"/>
    <n v="1.4589E-2"/>
    <n v="1.5925000000000002E-2"/>
    <n v="28.385000000000002"/>
    <n v="28.354510999999999"/>
    <n v="1.4589E-2"/>
    <n v="1.5925000000000002E-2"/>
    <x v="0"/>
  </r>
  <r>
    <d v="2023-05-01T00:00:00"/>
    <x v="8"/>
    <s v="Manufacturing"/>
    <x v="9"/>
    <x v="0"/>
    <s v="16 Law Drive_x000a_"/>
    <s v="Fairfield"/>
    <s v="NJ"/>
    <s v="USA"/>
    <x v="0"/>
    <n v="29.307106999999998"/>
    <m/>
    <m/>
    <n v="5.3120000000000003"/>
    <n v="5.306"/>
    <n v="2.7299999999999998E-3"/>
    <n v="2.98E-3"/>
    <n v="5.3120000000000003"/>
    <n v="5.306"/>
    <n v="2.7299999999999998E-3"/>
    <n v="2.98E-3"/>
    <x v="0"/>
  </r>
  <r>
    <d v="2023-06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07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08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09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10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11-01T00:00:00"/>
    <x v="8"/>
    <s v="Manufacturing"/>
    <x v="9"/>
    <x v="0"/>
    <s v="16 Law Drive_x000a_"/>
    <s v="Fairfield"/>
    <s v="NJ"/>
    <s v="USA"/>
    <x v="0"/>
    <n v="6.9173859999999996"/>
    <m/>
    <m/>
    <n v="1.254"/>
    <n v="1.25238"/>
    <n v="6.4400000000000004E-4"/>
    <n v="7.0299999999999996E-4"/>
    <n v="1.254"/>
    <n v="1.25238"/>
    <n v="6.4400000000000004E-4"/>
    <n v="7.0299999999999996E-4"/>
    <x v="0"/>
  </r>
  <r>
    <d v="2023-12-01T00:00:00"/>
    <x v="8"/>
    <s v="Manufacturing"/>
    <x v="9"/>
    <x v="0"/>
    <s v="16 Law Drive_x000a_"/>
    <s v="Fairfield"/>
    <s v="NJ"/>
    <s v="USA"/>
    <x v="0"/>
    <n v="18.141099000000001"/>
    <n v="744.54"/>
    <m/>
    <n v="3.2879999999999998"/>
    <n v="3.2844139999999999"/>
    <n v="1.6900000000000001E-3"/>
    <n v="1.8450000000000001E-3"/>
    <n v="3.2879999999999998"/>
    <n v="3.2844139999999999"/>
    <n v="1.6900000000000001E-3"/>
    <n v="1.8450000000000001E-3"/>
    <x v="0"/>
  </r>
  <r>
    <d v="2022-01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2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3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4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5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6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7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8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9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10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11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12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3-01-01T00:00:00"/>
    <x v="4"/>
    <s v="Manufacturing"/>
    <x v="9"/>
    <x v="1"/>
    <s v="16 Law Drive_x000a_"/>
    <s v="Fairfield"/>
    <s v="NJ"/>
    <s v="USA"/>
    <x v="0"/>
    <n v="35.170999999999999"/>
    <m/>
    <m/>
    <n v="10.736000000000001"/>
    <n v="10.735671999999999"/>
    <m/>
    <m/>
    <n v="10.785"/>
    <n v="10.733171"/>
    <n v="3.0487E-2"/>
    <n v="2.181E-2"/>
    <x v="0"/>
  </r>
  <r>
    <d v="2023-02-01T00:00:00"/>
    <x v="4"/>
    <s v="Manufacturing"/>
    <x v="9"/>
    <x v="1"/>
    <s v="16 Law Drive_x000a_"/>
    <s v="Fairfield"/>
    <s v="NJ"/>
    <s v="USA"/>
    <x v="0"/>
    <n v="33.719000000000001"/>
    <m/>
    <m/>
    <n v="10.292"/>
    <n v="10.292460999999999"/>
    <m/>
    <m/>
    <n v="10.34"/>
    <n v="10.290063"/>
    <n v="2.9228000000000001E-2"/>
    <n v="2.0909000000000001E-2"/>
    <x v="0"/>
  </r>
  <r>
    <d v="2023-03-01T00:00:00"/>
    <x v="4"/>
    <s v="Manufacturing"/>
    <x v="9"/>
    <x v="1"/>
    <s v="16 Law Drive_x000a_"/>
    <s v="Fairfield"/>
    <s v="NJ"/>
    <s v="USA"/>
    <x v="0"/>
    <n v="41.51"/>
    <m/>
    <m/>
    <n v="12.670999999999999"/>
    <n v="12.670603"/>
    <m/>
    <m/>
    <n v="12.728999999999999"/>
    <n v="12.66765"/>
    <n v="3.5980999999999999E-2"/>
    <n v="2.5741E-2"/>
    <x v="0"/>
  </r>
  <r>
    <d v="2023-04-01T00:00:00"/>
    <x v="4"/>
    <s v="Manufacturing"/>
    <x v="9"/>
    <x v="1"/>
    <s v="16 Law Drive_x000a_"/>
    <s v="Fairfield"/>
    <s v="NJ"/>
    <s v="USA"/>
    <x v="0"/>
    <n v="35.750999999999998"/>
    <m/>
    <m/>
    <n v="10.913"/>
    <n v="10.912713"/>
    <m/>
    <m/>
    <n v="10.962999999999999"/>
    <n v="10.910170000000001"/>
    <n v="3.099E-2"/>
    <n v="2.2169000000000001E-2"/>
    <x v="0"/>
  </r>
  <r>
    <d v="2023-05-01T00:00:00"/>
    <x v="4"/>
    <s v="Manufacturing"/>
    <x v="9"/>
    <x v="1"/>
    <s v="16 Law Drive_x000a_"/>
    <s v="Fairfield"/>
    <s v="NJ"/>
    <s v="USA"/>
    <x v="0"/>
    <n v="34"/>
    <m/>
    <m/>
    <n v="10.378"/>
    <n v="10.378234000000001"/>
    <m/>
    <m/>
    <n v="10.426"/>
    <n v="10.375816"/>
    <n v="2.9472000000000002E-2"/>
    <n v="2.1083999999999999E-2"/>
    <x v="0"/>
  </r>
  <r>
    <d v="2023-06-01T00:00:00"/>
    <x v="4"/>
    <s v="Manufacturing"/>
    <x v="9"/>
    <x v="1"/>
    <s v="16 Law Drive_x000a_"/>
    <s v="Fairfield"/>
    <s v="NJ"/>
    <s v="USA"/>
    <x v="0"/>
    <n v="34"/>
    <m/>
    <m/>
    <n v="10.378"/>
    <n v="10.378234000000001"/>
    <m/>
    <m/>
    <n v="10.426"/>
    <n v="10.375816"/>
    <n v="2.9472000000000002E-2"/>
    <n v="2.1083999999999999E-2"/>
    <x v="0"/>
  </r>
  <r>
    <d v="2023-07-01T00:00:00"/>
    <x v="4"/>
    <s v="Manufacturing"/>
    <x v="9"/>
    <x v="1"/>
    <s v="16 Law Drive_x000a_"/>
    <s v="Fairfield"/>
    <s v="NJ"/>
    <s v="USA"/>
    <x v="0"/>
    <n v="34.29"/>
    <m/>
    <m/>
    <n v="10.467000000000001"/>
    <n v="10.466754"/>
    <m/>
    <m/>
    <n v="10.515000000000001"/>
    <n v="10.464314999999999"/>
    <n v="2.9722999999999999E-2"/>
    <n v="2.1263000000000001E-2"/>
    <x v="0"/>
  </r>
  <r>
    <d v="2023-08-01T00:00:00"/>
    <x v="4"/>
    <s v="Manufacturing"/>
    <x v="9"/>
    <x v="1"/>
    <s v="16 Law Drive_x000a_"/>
    <s v="Fairfield"/>
    <s v="NJ"/>
    <s v="USA"/>
    <x v="0"/>
    <n v="35.228000000000002"/>
    <m/>
    <m/>
    <n v="10.753"/>
    <n v="10.753071"/>
    <m/>
    <m/>
    <n v="10.803000000000001"/>
    <n v="10.750565999999999"/>
    <n v="3.0536000000000001E-2"/>
    <n v="2.1845E-2"/>
    <x v="0"/>
  </r>
  <r>
    <d v="2023-09-01T00:00:00"/>
    <x v="4"/>
    <s v="Manufacturing"/>
    <x v="9"/>
    <x v="1"/>
    <s v="16 Law Drive_x000a_"/>
    <s v="Fairfield"/>
    <s v="NJ"/>
    <s v="USA"/>
    <x v="0"/>
    <n v="35"/>
    <m/>
    <m/>
    <n v="10.683"/>
    <n v="10.683476000000001"/>
    <m/>
    <m/>
    <n v="10.733000000000001"/>
    <n v="10.680987"/>
    <n v="3.0339000000000001E-2"/>
    <n v="2.1704000000000001E-2"/>
    <x v="0"/>
  </r>
  <r>
    <d v="2023-10-01T00:00:00"/>
    <x v="4"/>
    <s v="Manufacturing"/>
    <x v="9"/>
    <x v="1"/>
    <s v="16 Law Drive_x000a_"/>
    <s v="Fairfield"/>
    <s v="NJ"/>
    <s v="USA"/>
    <x v="0"/>
    <n v="31.872"/>
    <m/>
    <m/>
    <n v="9.7289999999999992"/>
    <n v="9.7286789999999996"/>
    <m/>
    <m/>
    <n v="9.7739999999999991"/>
    <n v="9.7264119999999998"/>
    <n v="2.7626999999999999E-2"/>
    <n v="1.9764E-2"/>
    <x v="0"/>
  </r>
  <r>
    <d v="2023-11-01T00:00:00"/>
    <x v="4"/>
    <s v="Manufacturing"/>
    <x v="9"/>
    <x v="1"/>
    <s v="16 Law Drive_x000a_"/>
    <s v="Fairfield"/>
    <s v="NJ"/>
    <s v="USA"/>
    <x v="0"/>
    <n v="31.975000000000001"/>
    <n v="5477.58"/>
    <m/>
    <n v="9.76"/>
    <n v="9.7601180000000003"/>
    <m/>
    <m/>
    <n v="9.8049999999999997"/>
    <n v="9.7578440000000004"/>
    <n v="2.7716000000000001E-2"/>
    <n v="1.9827999999999998E-2"/>
    <x v="0"/>
  </r>
  <r>
    <d v="2023-12-01T00:00:00"/>
    <x v="4"/>
    <s v="Manufacturing"/>
    <x v="9"/>
    <x v="1"/>
    <s v="16 Law Drive_x000a_"/>
    <s v="Fairfield"/>
    <s v="NJ"/>
    <s v="USA"/>
    <x v="0"/>
    <n v="0"/>
    <n v="5820.73"/>
    <m/>
    <n v="0"/>
    <n v="0"/>
    <m/>
    <m/>
    <n v="0"/>
    <n v="0"/>
    <n v="0"/>
    <n v="0"/>
    <x v="0"/>
  </r>
  <r>
    <d v="2023-11-01T00:00:00"/>
    <x v="12"/>
    <s v="Manufacturing"/>
    <x v="9"/>
    <x v="2"/>
    <s v="16 Law Drive_x000a_"/>
    <s v="Fairfield"/>
    <s v="NJ"/>
    <s v="USA"/>
    <x v="3"/>
    <n v="0"/>
    <n v="397.11"/>
    <m/>
    <n v="0"/>
    <n v="0"/>
    <m/>
    <m/>
    <n v="0"/>
    <n v="0"/>
    <m/>
    <m/>
    <x v="0"/>
  </r>
  <r>
    <d v="2023-12-01T00:00:00"/>
    <x v="11"/>
    <s v="Manufacturing"/>
    <x v="9"/>
    <x v="2"/>
    <s v="16 Law Drive_x000a_"/>
    <s v="Fairfield"/>
    <s v="NJ"/>
    <s v="USA"/>
    <x v="3"/>
    <n v="0.86182499999999995"/>
    <m/>
    <m/>
    <n v="0.44800000000000001"/>
    <n v="0.44843699999999997"/>
    <m/>
    <m/>
    <n v="0.44800000000000001"/>
    <n v="0.44843699999999997"/>
    <m/>
    <m/>
    <x v="0"/>
  </r>
  <r>
    <d v="2022-01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1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1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2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2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2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3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3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3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4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4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4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5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5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5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6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6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6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7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7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7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8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8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8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9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9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9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10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10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10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11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11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11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12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12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12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1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2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3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4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5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6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7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8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9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10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11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12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3-01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2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3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4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5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6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7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8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9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10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11-01T00:00:00"/>
    <x v="4"/>
    <s v="Office"/>
    <x v="10"/>
    <x v="1"/>
    <s v="C/Girona num.34"/>
    <s v="Granollers"/>
    <s v="ESP"/>
    <s v="Spain"/>
    <x v="0"/>
    <n v="1.698"/>
    <n v="260.96627100000001"/>
    <m/>
    <n v="0.46700000000000003"/>
    <n v="0.46713700000000002"/>
    <m/>
    <m/>
    <n v="0.25600000000000001"/>
    <n v="0.25435999999999998"/>
    <n v="7.7899999999999996E-4"/>
    <n v="5.6800000000000004E-4"/>
    <x v="0"/>
  </r>
  <r>
    <d v="2023-12-01T00:00:00"/>
    <x v="4"/>
    <s v="Office"/>
    <x v="10"/>
    <x v="1"/>
    <s v="C/Girona num.34"/>
    <s v="Granollers"/>
    <s v="ESP"/>
    <s v="Spain"/>
    <x v="0"/>
    <n v="2.754"/>
    <n v="154.53600499999999"/>
    <m/>
    <n v="0.75800000000000001"/>
    <n v="0.75765300000000002"/>
    <m/>
    <m/>
    <n v="0.41499999999999998"/>
    <n v="0.412549"/>
    <n v="1.263E-3"/>
    <n v="9.2199999999999997E-4"/>
    <x v="0"/>
  </r>
  <r>
    <d v="2022-01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1-01T00:00:00"/>
    <x v="8"/>
    <s v="Manufacturing"/>
    <x v="11"/>
    <x v="0"/>
    <s v="3938 Porett Drive"/>
    <s v="Gurnee"/>
    <s v="IL"/>
    <s v="USA"/>
    <x v="0"/>
    <n v="7304.4271550000003"/>
    <n v="123254.42"/>
    <s v=""/>
    <n v="1323.877"/>
    <n v="1322.4536439999999"/>
    <n v="0.68041799999999997"/>
    <n v="0.74272700000000003"/>
    <n v="1323.877"/>
    <n v="1322.4536439999999"/>
    <n v="0.68041799999999997"/>
    <n v="0.74272700000000003"/>
    <x v="1"/>
  </r>
  <r>
    <d v="2022-01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2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2-01T00:00:00"/>
    <x v="8"/>
    <s v="Manufacturing"/>
    <x v="11"/>
    <x v="0"/>
    <s v="3938 Porett Drive"/>
    <s v="Gurnee"/>
    <s v="IL"/>
    <s v="USA"/>
    <x v="0"/>
    <n v="6262.0319719999998"/>
    <n v="117692.32"/>
    <s v=""/>
    <n v="1134.95"/>
    <n v="1133.729836"/>
    <n v="0.58331699999999997"/>
    <n v="0.63673500000000005"/>
    <n v="1134.95"/>
    <n v="1133.729836"/>
    <n v="0.58331699999999997"/>
    <n v="0.63673500000000005"/>
    <x v="1"/>
  </r>
  <r>
    <d v="2022-02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3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3-01T00:00:00"/>
    <x v="8"/>
    <s v="Manufacturing"/>
    <x v="11"/>
    <x v="0"/>
    <s v="3938 Porett Drive"/>
    <s v="Gurnee"/>
    <s v="IL"/>
    <s v="USA"/>
    <x v="0"/>
    <n v="6070.4015920000002"/>
    <n v="114223.03"/>
    <s v=""/>
    <n v="1100.2180000000001"/>
    <n v="1099.035494"/>
    <n v="0.56546700000000005"/>
    <n v="0.61724900000000005"/>
    <n v="1100.2180000000001"/>
    <n v="1099.035494"/>
    <n v="0.56546700000000005"/>
    <n v="0.61724900000000005"/>
    <x v="1"/>
  </r>
  <r>
    <d v="2022-03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4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4-01T00:00:00"/>
    <x v="8"/>
    <s v="Manufacturing"/>
    <x v="11"/>
    <x v="0"/>
    <s v="3938 Porett Drive"/>
    <s v="Gurnee"/>
    <s v="IL"/>
    <s v="USA"/>
    <x v="0"/>
    <n v="5718.543396"/>
    <n v="107435.67"/>
    <s v=""/>
    <n v="1036.4459999999999"/>
    <n v="1035.332189"/>
    <n v="0.53269100000000003"/>
    <n v="0.58147199999999999"/>
    <n v="1036.4459999999999"/>
    <n v="1035.332189"/>
    <n v="0.53269100000000003"/>
    <n v="0.58147199999999999"/>
    <x v="1"/>
  </r>
  <r>
    <d v="2022-04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5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5-01T00:00:00"/>
    <x v="8"/>
    <s v="Manufacturing"/>
    <x v="11"/>
    <x v="0"/>
    <s v="3938 Porett Drive"/>
    <s v="Gurnee"/>
    <s v="IL"/>
    <s v="USA"/>
    <x v="0"/>
    <n v="5182.1764460000004"/>
    <n v="114546.08"/>
    <s v=""/>
    <n v="939.23400000000004"/>
    <n v="938.22389899999996"/>
    <n v="0.48272700000000002"/>
    <n v="0.52693299999999998"/>
    <n v="939.23400000000004"/>
    <n v="938.22389899999996"/>
    <n v="0.48272700000000002"/>
    <n v="0.52693299999999998"/>
    <x v="1"/>
  </r>
  <r>
    <d v="2022-05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6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6-01T00:00:00"/>
    <x v="8"/>
    <s v="Manufacturing"/>
    <x v="11"/>
    <x v="0"/>
    <s v="3938 Porett Drive"/>
    <s v="Gurnee"/>
    <s v="IL"/>
    <s v="USA"/>
    <x v="0"/>
    <n v="4903.3456990000004"/>
    <n v="129635.05"/>
    <s v=""/>
    <n v="888.697"/>
    <n v="887.74208499999997"/>
    <n v="0.45675399999999999"/>
    <n v="0.498581"/>
    <n v="888.697"/>
    <n v="887.74208499999997"/>
    <n v="0.45675399999999999"/>
    <n v="0.498581"/>
    <x v="1"/>
  </r>
  <r>
    <d v="2022-06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7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7-01T00:00:00"/>
    <x v="8"/>
    <s v="Manufacturing"/>
    <x v="11"/>
    <x v="0"/>
    <s v="3938 Porett Drive"/>
    <s v="Gurnee"/>
    <s v="IL"/>
    <s v="USA"/>
    <x v="0"/>
    <n v="5377.6841569999997"/>
    <n v="139487.01999999999"/>
    <s v=""/>
    <n v="974.66800000000001"/>
    <n v="973.620225"/>
    <n v="0.50093900000000002"/>
    <n v="0.54681299999999999"/>
    <n v="974.66800000000001"/>
    <n v="973.620225"/>
    <n v="0.50093900000000002"/>
    <n v="0.54681299999999999"/>
    <x v="1"/>
  </r>
  <r>
    <d v="2022-07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8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8-01T00:00:00"/>
    <x v="8"/>
    <s v="Manufacturing"/>
    <x v="11"/>
    <x v="0"/>
    <s v="3938 Porett Drive"/>
    <s v="Gurnee"/>
    <s v="IL"/>
    <s v="USA"/>
    <x v="0"/>
    <n v="5224.343511"/>
    <n v="165463.64000000001"/>
    <s v=""/>
    <n v="946.87599999999998"/>
    <n v="945.85817199999997"/>
    <n v="0.486655"/>
    <n v="0.53122100000000005"/>
    <n v="946.87599999999998"/>
    <n v="945.85817199999997"/>
    <n v="0.486655"/>
    <n v="0.53122100000000005"/>
    <x v="1"/>
  </r>
  <r>
    <d v="2022-08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9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9-01T00:00:00"/>
    <x v="8"/>
    <s v="Manufacturing"/>
    <x v="11"/>
    <x v="0"/>
    <s v="3938 Porett Drive"/>
    <s v="Gurnee"/>
    <s v="IL"/>
    <s v="USA"/>
    <x v="0"/>
    <n v="6119.0484589999996"/>
    <n v="136158.82"/>
    <s v=""/>
    <n v="1109.0350000000001"/>
    <n v="1107.842924"/>
    <n v="0.569998"/>
    <n v="0.62219599999999997"/>
    <n v="1109.0350000000001"/>
    <n v="1107.842924"/>
    <n v="0.569998"/>
    <n v="0.62219599999999997"/>
    <x v="1"/>
  </r>
  <r>
    <d v="2022-09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10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10-01T00:00:00"/>
    <x v="8"/>
    <s v="Manufacturing"/>
    <x v="11"/>
    <x v="0"/>
    <s v="3938 Porett Drive"/>
    <s v="Gurnee"/>
    <s v="IL"/>
    <s v="USA"/>
    <x v="0"/>
    <n v="4272.2112880000004"/>
    <n v="120355.14"/>
    <s v=""/>
    <n v="774.30899999999997"/>
    <n v="773.476313"/>
    <n v="0.39796300000000001"/>
    <n v="0.43440600000000001"/>
    <n v="774.30899999999997"/>
    <n v="773.476313"/>
    <n v="0.39796300000000001"/>
    <n v="0.43440600000000001"/>
    <x v="1"/>
  </r>
  <r>
    <d v="2022-10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11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11-01T00:00:00"/>
    <x v="8"/>
    <s v="Manufacturing"/>
    <x v="11"/>
    <x v="0"/>
    <s v="3938 Porett Drive"/>
    <s v="Gurnee"/>
    <s v="IL"/>
    <s v="USA"/>
    <x v="0"/>
    <n v="6625.574912"/>
    <n v="129154.32"/>
    <s v=""/>
    <n v="1200.8399999999999"/>
    <n v="1199.548644"/>
    <n v="0.61718200000000001"/>
    <n v="0.67370099999999999"/>
    <n v="1200.8399999999999"/>
    <n v="1199.548644"/>
    <n v="0.61718200000000001"/>
    <n v="0.67370099999999999"/>
    <x v="1"/>
  </r>
  <r>
    <d v="2022-11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12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12-01T00:00:00"/>
    <x v="8"/>
    <s v="Manufacturing"/>
    <x v="11"/>
    <x v="0"/>
    <s v="3938 Porett Drive"/>
    <s v="Gurnee"/>
    <s v="IL"/>
    <s v="USA"/>
    <x v="0"/>
    <n v="5596.7870190000003"/>
    <n v="156083.89000000001"/>
    <s v=""/>
    <n v="1014.379"/>
    <n v="1013.288412"/>
    <n v="0.52134899999999995"/>
    <n v="0.56909100000000001"/>
    <n v="1014.379"/>
    <n v="1013.288412"/>
    <n v="0.52134899999999995"/>
    <n v="0.56909100000000001"/>
    <x v="1"/>
  </r>
  <r>
    <d v="2022-12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3-01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1-01T00:00:00"/>
    <x v="8"/>
    <s v="Manufacturing"/>
    <x v="11"/>
    <x v="0"/>
    <s v="3938 Porett Drive"/>
    <s v="Gurnee"/>
    <s v="IL"/>
    <s v="USA"/>
    <x v="0"/>
    <n v="6965.5578679999999"/>
    <n v="156031.4"/>
    <s v=""/>
    <n v="1262.4590000000001"/>
    <n v="1261.101958"/>
    <n v="0.64885199999999998"/>
    <n v="0.70827099999999998"/>
    <n v="1262.4590000000001"/>
    <n v="1261.101958"/>
    <n v="0.64885199999999998"/>
    <n v="0.70827099999999998"/>
    <x v="0"/>
  </r>
  <r>
    <d v="2023-02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2-01T00:00:00"/>
    <x v="8"/>
    <s v="Manufacturing"/>
    <x v="11"/>
    <x v="0"/>
    <s v="3938 Porett Drive"/>
    <s v="Gurnee"/>
    <s v="IL"/>
    <s v="USA"/>
    <x v="0"/>
    <n v="5481.8914370000002"/>
    <n v="104896.67"/>
    <s v=""/>
    <n v="993.55499999999995"/>
    <n v="992.48676899999998"/>
    <n v="0.51064600000000004"/>
    <n v="0.55740900000000004"/>
    <n v="993.55499999999995"/>
    <n v="992.48676899999998"/>
    <n v="0.51064600000000004"/>
    <n v="0.55740900000000004"/>
    <x v="0"/>
  </r>
  <r>
    <d v="2023-03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3-01T00:00:00"/>
    <x v="8"/>
    <s v="Manufacturing"/>
    <x v="11"/>
    <x v="0"/>
    <s v="3938 Porett Drive"/>
    <s v="Gurnee"/>
    <s v="IL"/>
    <s v="USA"/>
    <x v="0"/>
    <n v="6199.8129840000001"/>
    <n v="100571.39"/>
    <s v=""/>
    <n v="1123.673"/>
    <n v="1122.4651980000001"/>
    <n v="0.57752199999999998"/>
    <n v="0.63040799999999997"/>
    <n v="1123.673"/>
    <n v="1122.4651980000001"/>
    <n v="0.57752199999999998"/>
    <n v="0.63040799999999997"/>
    <x v="0"/>
  </r>
  <r>
    <d v="2023-04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4-01T00:00:00"/>
    <x v="8"/>
    <s v="Manufacturing"/>
    <x v="11"/>
    <x v="0"/>
    <s v="3938 Porett Drive"/>
    <s v="Gurnee"/>
    <s v="IL"/>
    <s v="USA"/>
    <x v="0"/>
    <n v="4250.0463229999996"/>
    <n v="71619.13"/>
    <s v=""/>
    <n v="770.29100000000005"/>
    <n v="769.46338600000001"/>
    <n v="0.39589800000000003"/>
    <n v="0.43215199999999998"/>
    <n v="770.29100000000005"/>
    <n v="769.46338600000001"/>
    <n v="0.39589800000000003"/>
    <n v="0.43215199999999998"/>
    <x v="0"/>
  </r>
  <r>
    <d v="2023-05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5-01T00:00:00"/>
    <x v="8"/>
    <s v="Manufacturing"/>
    <x v="11"/>
    <x v="0"/>
    <s v="3938 Porett Drive"/>
    <s v="Gurnee"/>
    <s v="IL"/>
    <s v="USA"/>
    <x v="0"/>
    <n v="3481.499679"/>
    <n v="66923.899999999994"/>
    <s v=""/>
    <n v="630.99800000000005"/>
    <n v="630.31937200000004"/>
    <n v="0.32430700000000001"/>
    <n v="0.35400500000000001"/>
    <n v="630.99800000000005"/>
    <n v="630.31937200000004"/>
    <n v="0.32430700000000001"/>
    <n v="0.35400500000000001"/>
    <x v="0"/>
  </r>
  <r>
    <d v="2023-06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6-01T00:00:00"/>
    <x v="8"/>
    <s v="Manufacturing"/>
    <x v="11"/>
    <x v="0"/>
    <s v="3938 Porett Drive"/>
    <s v="Gurnee"/>
    <s v="IL"/>
    <s v="USA"/>
    <x v="0"/>
    <n v="4742.3705520000003"/>
    <n v="75213.41"/>
    <s v=""/>
    <n v="859.52200000000005"/>
    <n v="858.59781799999996"/>
    <n v="0.44175900000000001"/>
    <n v="0.482213"/>
    <n v="859.52200000000005"/>
    <n v="858.59781799999996"/>
    <n v="0.44175900000000001"/>
    <n v="0.482213"/>
    <x v="0"/>
  </r>
  <r>
    <d v="2023-07-01T00:00:00"/>
    <x v="8"/>
    <s v="Manufacturing"/>
    <x v="11"/>
    <x v="0"/>
    <s v="3938 Porett Drive"/>
    <s v="Gurnee"/>
    <s v="IL"/>
    <s v="USA"/>
    <x v="0"/>
    <n v="5374.0207680000003"/>
    <n v="76309.929999999993"/>
    <s v=""/>
    <n v="974.00400000000002"/>
    <n v="972.95697500000006"/>
    <n v="0.50059799999999999"/>
    <n v="0.54644000000000004"/>
    <n v="974.00400000000002"/>
    <n v="972.95697500000006"/>
    <n v="0.50059799999999999"/>
    <n v="0.54644000000000004"/>
    <x v="0"/>
  </r>
  <r>
    <d v="2023-08-01T00:00:00"/>
    <x v="8"/>
    <s v="Manufacturing"/>
    <x v="11"/>
    <x v="0"/>
    <s v="3938 Porett Drive"/>
    <s v="Gurnee"/>
    <s v="IL"/>
    <s v="USA"/>
    <x v="0"/>
    <n v="5277.6003860000001"/>
    <n v="86495.76"/>
    <s v=""/>
    <n v="956.52800000000002"/>
    <n v="955.50023499999998"/>
    <n v="0.491616"/>
    <n v="0.536636"/>
    <n v="956.52800000000002"/>
    <n v="955.50023499999998"/>
    <n v="0.491616"/>
    <n v="0.536636"/>
    <x v="0"/>
  </r>
  <r>
    <d v="2023-09-01T00:00:00"/>
    <x v="8"/>
    <s v="Manufacturing"/>
    <x v="11"/>
    <x v="0"/>
    <s v="3938 Porett Drive"/>
    <s v="Gurnee"/>
    <s v="IL"/>
    <s v="USA"/>
    <x v="0"/>
    <n v="5428.4792349999998"/>
    <n v="88320"/>
    <s v=""/>
    <n v="983.87400000000002"/>
    <n v="982.81658400000003"/>
    <n v="0.50567099999999998"/>
    <n v="0.55197799999999997"/>
    <n v="983.87400000000002"/>
    <n v="982.81658400000003"/>
    <n v="0.50567099999999998"/>
    <n v="0.55197799999999997"/>
    <x v="0"/>
  </r>
  <r>
    <d v="2023-10-01T00:00:00"/>
    <x v="0"/>
    <s v="Manufacturing"/>
    <x v="11"/>
    <x v="0"/>
    <s v="3938 Porett Drive"/>
    <s v="Gurnee"/>
    <s v="IL"/>
    <s v="USA"/>
    <x v="0"/>
    <n v="6.8204269999999996"/>
    <n v="1222.6199999999999"/>
    <s v=""/>
    <n v="1.5960000000000001"/>
    <n v="1.574559"/>
    <n v="2.1530000000000001E-2"/>
    <n v="1.9699999999999999E-4"/>
    <n v="1.5960000000000001"/>
    <n v="1.574559"/>
    <n v="2.1530000000000001E-2"/>
    <n v="1.9699999999999999E-4"/>
    <x v="0"/>
  </r>
  <r>
    <d v="2023-10-01T00:00:00"/>
    <x v="8"/>
    <s v="Manufacturing"/>
    <x v="11"/>
    <x v="0"/>
    <s v="3938 Porett Drive"/>
    <s v="Gurnee"/>
    <s v="IL"/>
    <s v="USA"/>
    <x v="0"/>
    <n v="3980.0985599999999"/>
    <n v="78460.89"/>
    <s v=""/>
    <n v="721.36500000000001"/>
    <n v="720.58982000000003"/>
    <n v="0.37075200000000003"/>
    <n v="0.40470400000000001"/>
    <n v="721.36500000000001"/>
    <n v="720.58982000000003"/>
    <n v="0.37075200000000003"/>
    <n v="0.40470400000000001"/>
    <x v="0"/>
  </r>
  <r>
    <d v="2023-11-01T00:00:00"/>
    <x v="8"/>
    <s v="Manufacturing"/>
    <x v="11"/>
    <x v="0"/>
    <s v="3938 Porett Drive"/>
    <s v="Gurnee"/>
    <s v="IL"/>
    <s v="USA"/>
    <x v="0"/>
    <n v="2044.8477089999999"/>
    <n v="23046.31"/>
    <s v=""/>
    <n v="370.61399999999998"/>
    <n v="370.216069"/>
    <n v="0.19048100000000001"/>
    <n v="0.207924"/>
    <n v="370.61399999999998"/>
    <n v="370.216069"/>
    <n v="0.19048100000000001"/>
    <n v="0.207924"/>
    <x v="0"/>
  </r>
  <r>
    <d v="2023-12-01T00:00:00"/>
    <x v="8"/>
    <s v="Manufacturing"/>
    <x v="11"/>
    <x v="0"/>
    <s v="3938 Porett Drive"/>
    <s v="Gurnee"/>
    <s v="IL"/>
    <s v="USA"/>
    <x v="0"/>
    <n v="2289.4448240000002"/>
    <n v="28085.39"/>
    <s v=""/>
    <n v="414.94600000000003"/>
    <n v="414.49994500000003"/>
    <n v="0.21326500000000001"/>
    <n v="0.232795"/>
    <n v="414.94600000000003"/>
    <n v="414.49994500000003"/>
    <n v="0.21326500000000001"/>
    <n v="0.232795"/>
    <x v="0"/>
  </r>
  <r>
    <d v="2023-12-01T00:00:00"/>
    <x v="9"/>
    <s v="Manufacturing"/>
    <x v="11"/>
    <x v="0"/>
    <s v="3938 Porett Drive"/>
    <s v="Gurnee"/>
    <s v="IL"/>
    <s v="USA"/>
    <x v="0"/>
    <n v="3.1123020000000001"/>
    <m/>
    <s v=""/>
    <n v="0.67"/>
    <n v="0.667655"/>
    <n v="1.7390000000000001E-3"/>
    <n v="9.4899999999999997E-4"/>
    <n v="0.67"/>
    <n v="0.667655"/>
    <n v="1.74E-3"/>
    <n v="9.4899999999999997E-4"/>
    <x v="0"/>
  </r>
  <r>
    <d v="2022-01-01T00:00:00"/>
    <x v="4"/>
    <s v="Manufacturing"/>
    <x v="11"/>
    <x v="1"/>
    <s v="3938 Porett Drive"/>
    <s v="Gurnee"/>
    <s v="IL"/>
    <s v="USA"/>
    <x v="0"/>
    <n v="1290.4880000000001"/>
    <n v="127004.03"/>
    <s v=""/>
    <n v="430.822"/>
    <n v="430.82165600000002"/>
    <m/>
    <m/>
    <n v="616.14800000000002"/>
    <n v="612.35913100000005"/>
    <n v="2.2372290000000001"/>
    <n v="1.551485"/>
    <x v="1"/>
  </r>
  <r>
    <d v="2022-02-01T00:00:00"/>
    <x v="4"/>
    <s v="Manufacturing"/>
    <x v="11"/>
    <x v="1"/>
    <s v="3938 Porett Drive"/>
    <s v="Gurnee"/>
    <s v="IL"/>
    <s v="USA"/>
    <x v="0"/>
    <n v="1267.4090000000001"/>
    <n v="121549.85"/>
    <s v=""/>
    <n v="423.11700000000002"/>
    <n v="423.116871"/>
    <m/>
    <m/>
    <n v="605.12900000000002"/>
    <n v="601.40774199999998"/>
    <n v="2.1972179999999999"/>
    <n v="1.523738"/>
    <x v="1"/>
  </r>
  <r>
    <d v="2022-03-01T00:00:00"/>
    <x v="4"/>
    <s v="Manufacturing"/>
    <x v="11"/>
    <x v="1"/>
    <s v="3938 Porett Drive"/>
    <s v="Gurnee"/>
    <s v="IL"/>
    <s v="USA"/>
    <x v="0"/>
    <n v="1215.8820000000001"/>
    <n v="116766.29"/>
    <s v=""/>
    <n v="405.91500000000002"/>
    <n v="405.91489200000001"/>
    <m/>
    <m/>
    <n v="580.52700000000004"/>
    <n v="576.95727899999997"/>
    <n v="2.1078899999999998"/>
    <n v="1.4617899999999999"/>
    <x v="1"/>
  </r>
  <r>
    <d v="2022-04-01T00:00:00"/>
    <x v="4"/>
    <s v="Manufacturing"/>
    <x v="11"/>
    <x v="1"/>
    <s v="3938 Porett Drive"/>
    <s v="Gurnee"/>
    <s v="IL"/>
    <s v="USA"/>
    <x v="0"/>
    <n v="1332.84"/>
    <n v="134527.03"/>
    <s v=""/>
    <n v="444.96100000000001"/>
    <n v="444.96061600000002"/>
    <m/>
    <m/>
    <n v="636.36900000000003"/>
    <n v="632.45589600000005"/>
    <n v="2.310651"/>
    <n v="1.6024020000000001"/>
    <x v="1"/>
  </r>
  <r>
    <d v="2022-05-01T00:00:00"/>
    <x v="4"/>
    <s v="Manufacturing"/>
    <x v="11"/>
    <x v="1"/>
    <s v="3938 Porett Drive"/>
    <s v="Gurnee"/>
    <s v="IL"/>
    <s v="USA"/>
    <x v="0"/>
    <n v="1155.28"/>
    <n v="88232.9"/>
    <s v=""/>
    <n v="385.68299999999999"/>
    <n v="385.68327900000003"/>
    <m/>
    <m/>
    <n v="551.59199999999998"/>
    <n v="548.20056999999997"/>
    <n v="2.0028280000000001"/>
    <n v="1.3889309999999999"/>
    <x v="1"/>
  </r>
  <r>
    <d v="2022-06-01T00:00:00"/>
    <x v="4"/>
    <s v="Manufacturing"/>
    <x v="11"/>
    <x v="1"/>
    <s v="3938 Porett Drive"/>
    <s v="Gurnee"/>
    <s v="IL"/>
    <s v="USA"/>
    <x v="0"/>
    <n v="1299.5409999999999"/>
    <n v="128009.61"/>
    <s v=""/>
    <n v="433.84399999999999"/>
    <n v="433.84394600000002"/>
    <m/>
    <m/>
    <n v="620.47"/>
    <n v="616.65493800000002"/>
    <n v="2.252923"/>
    <n v="1.5623689999999999"/>
    <x v="1"/>
  </r>
  <r>
    <d v="2022-07-01T00:00:00"/>
    <x v="4"/>
    <s v="Manufacturing"/>
    <x v="11"/>
    <x v="1"/>
    <s v="3938 Porett Drive"/>
    <s v="Gurnee"/>
    <s v="IL"/>
    <s v="USA"/>
    <x v="0"/>
    <n v="1388.364"/>
    <n v="140518.66"/>
    <s v=""/>
    <n v="463.49700000000001"/>
    <n v="463.49696999999998"/>
    <m/>
    <m/>
    <n v="662.87900000000002"/>
    <n v="658.80300499999998"/>
    <n v="2.4069099999999999"/>
    <n v="1.6691560000000001"/>
    <x v="1"/>
  </r>
  <r>
    <d v="2022-08-01T00:00:00"/>
    <x v="4"/>
    <s v="Manufacturing"/>
    <x v="11"/>
    <x v="1"/>
    <s v="3938 Porett Drive"/>
    <s v="Gurnee"/>
    <s v="IL"/>
    <s v="USA"/>
    <x v="0"/>
    <n v="1326.1803299999999"/>
    <n v="142816.04999999999"/>
    <s v=""/>
    <n v="442.73700000000002"/>
    <n v="442.737326"/>
    <m/>
    <m/>
    <n v="633.18899999999996"/>
    <n v="629.29576599999996"/>
    <n v="2.2991060000000001"/>
    <n v="1.5943959999999999"/>
    <x v="1"/>
  </r>
  <r>
    <d v="2022-09-01T00:00:00"/>
    <x v="4"/>
    <s v="Manufacturing"/>
    <x v="11"/>
    <x v="1"/>
    <s v="3938 Porett Drive"/>
    <s v="Gurnee"/>
    <s v="IL"/>
    <s v="USA"/>
    <x v="0"/>
    <n v="1156.5200199999999"/>
    <n v="96540.33"/>
    <s v=""/>
    <n v="386.09699999999998"/>
    <n v="386.09725200000003"/>
    <m/>
    <m/>
    <n v="552.18399999999997"/>
    <n v="548.78898100000004"/>
    <n v="2.0049779999999999"/>
    <n v="1.390422"/>
    <x v="1"/>
  </r>
  <r>
    <d v="2022-10-01T00:00:00"/>
    <x v="4"/>
    <s v="Manufacturing"/>
    <x v="11"/>
    <x v="1"/>
    <s v="3938 Porett Drive"/>
    <s v="Gurnee"/>
    <s v="IL"/>
    <s v="USA"/>
    <x v="0"/>
    <n v="1152.2306100000001"/>
    <n v="98730.61"/>
    <s v=""/>
    <n v="384.66500000000002"/>
    <n v="384.66525799999999"/>
    <m/>
    <m/>
    <n v="550.13599999999997"/>
    <n v="546.75358100000005"/>
    <n v="1.9975419999999999"/>
    <n v="1.385265"/>
    <x v="1"/>
  </r>
  <r>
    <d v="2022-11-01T00:00:00"/>
    <x v="4"/>
    <s v="Manufacturing"/>
    <x v="11"/>
    <x v="1"/>
    <s v="3938 Porett Drive"/>
    <s v="Gurnee"/>
    <s v="IL"/>
    <s v="USA"/>
    <x v="0"/>
    <n v="1297.42264"/>
    <n v="114751.13"/>
    <s v=""/>
    <n v="433.137"/>
    <n v="433.13674400000002"/>
    <m/>
    <m/>
    <n v="619.45899999999995"/>
    <n v="615.64973899999995"/>
    <n v="2.2492510000000001"/>
    <n v="1.559822"/>
    <x v="1"/>
  </r>
  <r>
    <d v="2022-12-01T00:00:00"/>
    <x v="4"/>
    <s v="Manufacturing"/>
    <x v="11"/>
    <x v="1"/>
    <s v="3938 Porett Drive"/>
    <s v="Gurnee"/>
    <s v="IL"/>
    <s v="USA"/>
    <x v="0"/>
    <n v="1294.3969999999999"/>
    <n v="98893.16"/>
    <s v=""/>
    <n v="432.12700000000001"/>
    <n v="432.12665199999998"/>
    <m/>
    <m/>
    <n v="618.01400000000001"/>
    <n v="614.21402"/>
    <n v="2.2440060000000002"/>
    <n v="1.556184"/>
    <x v="1"/>
  </r>
  <r>
    <d v="2023-01-01T00:00:00"/>
    <x v="4"/>
    <s v="Manufacturing"/>
    <x v="11"/>
    <x v="1"/>
    <s v="3938 Porett Drive"/>
    <s v="Gurnee"/>
    <s v="IL"/>
    <s v="USA"/>
    <x v="0"/>
    <n v="1119.5329999999999"/>
    <n v="80091.850000000006"/>
    <s v=""/>
    <n v="323.98399999999998"/>
    <n v="323.98381799999999"/>
    <m/>
    <m/>
    <n v="534.52499999999998"/>
    <n v="531.23799299999996"/>
    <n v="1.9408559999999999"/>
    <n v="1.345955"/>
    <x v="0"/>
  </r>
  <r>
    <d v="2023-02-01T00:00:00"/>
    <x v="4"/>
    <s v="Manufacturing"/>
    <x v="11"/>
    <x v="1"/>
    <s v="3938 Porett Drive"/>
    <s v="Gurnee"/>
    <s v="IL"/>
    <s v="USA"/>
    <x v="0"/>
    <n v="1140.443"/>
    <n v="81587.75"/>
    <s v=""/>
    <n v="330.03500000000003"/>
    <n v="330.03500300000002"/>
    <m/>
    <m/>
    <n v="544.50800000000004"/>
    <n v="541.16015400000003"/>
    <n v="1.977106"/>
    <n v="1.371094"/>
    <x v="0"/>
  </r>
  <r>
    <d v="2023-03-01T00:00:00"/>
    <x v="4"/>
    <s v="Manufacturing"/>
    <x v="11"/>
    <x v="1"/>
    <s v="3938 Porett Drive"/>
    <s v="Gurnee"/>
    <s v="IL"/>
    <s v="USA"/>
    <x v="0"/>
    <n v="1295.0889999999999"/>
    <n v="92651.13"/>
    <s v=""/>
    <n v="374.78800000000001"/>
    <n v="374.78830799999997"/>
    <m/>
    <m/>
    <n v="618.34500000000003"/>
    <n v="614.54238599999996"/>
    <n v="2.2452049999999999"/>
    <n v="1.557016"/>
    <x v="0"/>
  </r>
  <r>
    <d v="2023-04-01T00:00:00"/>
    <x v="4"/>
    <s v="Manufacturing"/>
    <x v="11"/>
    <x v="1"/>
    <s v="3938 Porett Drive"/>
    <s v="Gurnee"/>
    <s v="IL"/>
    <s v="USA"/>
    <x v="0"/>
    <n v="1025.288"/>
    <n v="73349.59"/>
    <s v=""/>
    <n v="296.70999999999998"/>
    <n v="296.71007500000002"/>
    <m/>
    <m/>
    <n v="489.52699999999999"/>
    <n v="486.51709199999999"/>
    <n v="1.7774700000000001"/>
    <n v="1.2326490000000001"/>
    <x v="0"/>
  </r>
  <r>
    <d v="2023-05-01T00:00:00"/>
    <x v="4"/>
    <s v="Manufacturing"/>
    <x v="11"/>
    <x v="1"/>
    <s v="3938 Porett Drive"/>
    <s v="Gurnee"/>
    <s v="IL"/>
    <s v="USA"/>
    <x v="0"/>
    <n v="1080.6980000000001"/>
    <n v="122607.75"/>
    <s v=""/>
    <n v="312.745"/>
    <n v="312.74528199999997"/>
    <m/>
    <m/>
    <n v="515.98299999999995"/>
    <n v="512.81010600000002"/>
    <n v="1.8735310000000001"/>
    <n v="1.2992649999999999"/>
    <x v="0"/>
  </r>
  <r>
    <d v="2023-06-01T00:00:00"/>
    <x v="4"/>
    <s v="Manufacturing"/>
    <x v="11"/>
    <x v="1"/>
    <s v="3938 Porett Drive"/>
    <s v="Gurnee"/>
    <s v="IL"/>
    <s v="USA"/>
    <x v="0"/>
    <n v="1120.982"/>
    <n v="128211.72"/>
    <s v=""/>
    <n v="324.40300000000002"/>
    <n v="324.40314699999999"/>
    <m/>
    <m/>
    <n v="535.21699999999998"/>
    <n v="531.925569"/>
    <n v="1.943368"/>
    <n v="1.3476969999999999"/>
    <x v="0"/>
  </r>
  <r>
    <d v="2023-07-01T00:00:00"/>
    <x v="4"/>
    <s v="Manufacturing"/>
    <x v="11"/>
    <x v="1"/>
    <s v="3938 Porett Drive"/>
    <s v="Gurnee"/>
    <s v="IL"/>
    <s v="USA"/>
    <x v="0"/>
    <n v="1072.9670000000001"/>
    <n v="123984.61"/>
    <s v=""/>
    <n v="310.50799999999998"/>
    <n v="310.507993"/>
    <m/>
    <m/>
    <n v="512.29200000000003"/>
    <n v="509.14161200000001"/>
    <n v="1.860128"/>
    <n v="1.289971"/>
    <x v="0"/>
  </r>
  <r>
    <d v="2023-08-01T00:00:00"/>
    <x v="4"/>
    <s v="Manufacturing"/>
    <x v="11"/>
    <x v="1"/>
    <s v="3938 Porett Drive"/>
    <s v="Gurnee"/>
    <s v="IL"/>
    <s v="USA"/>
    <x v="0"/>
    <n v="1129.1969999999999"/>
    <n v="129137.85"/>
    <s v=""/>
    <n v="326.78100000000001"/>
    <n v="326.78050200000001"/>
    <m/>
    <m/>
    <n v="539.13900000000001"/>
    <n v="535.82372999999995"/>
    <n v="1.9576100000000001"/>
    <n v="1.3575729999999999"/>
    <x v="0"/>
  </r>
  <r>
    <d v="2023-09-01T00:00:00"/>
    <x v="4"/>
    <s v="Manufacturing"/>
    <x v="11"/>
    <x v="1"/>
    <s v="3938 Porett Drive"/>
    <s v="Gurnee"/>
    <s v="IL"/>
    <s v="USA"/>
    <x v="0"/>
    <n v="1075.635"/>
    <n v="122061.41"/>
    <s v=""/>
    <n v="311.27999999999997"/>
    <n v="311.28009100000003"/>
    <m/>
    <m/>
    <n v="513.56600000000003"/>
    <n v="510.407624"/>
    <n v="1.8647530000000001"/>
    <n v="1.2931779999999999"/>
    <x v="0"/>
  </r>
  <r>
    <d v="2023-10-01T00:00:00"/>
    <x v="4"/>
    <s v="Manufacturing"/>
    <x v="11"/>
    <x v="1"/>
    <s v="3938 Porett Drive"/>
    <s v="Gurnee"/>
    <s v="IL"/>
    <s v="USA"/>
    <x v="0"/>
    <n v="1052.989"/>
    <n v="123105.19"/>
    <s v=""/>
    <n v="304.72699999999998"/>
    <n v="304.72652099999999"/>
    <m/>
    <m/>
    <n v="502.75299999999999"/>
    <n v="499.66170099999999"/>
    <n v="1.825493"/>
    <n v="1.265952"/>
    <x v="0"/>
  </r>
  <r>
    <d v="2023-11-01T00:00:00"/>
    <x v="4"/>
    <s v="Manufacturing"/>
    <x v="11"/>
    <x v="1"/>
    <s v="3938 Porett Drive"/>
    <s v="Gurnee"/>
    <s v="IL"/>
    <s v="USA"/>
    <x v="0"/>
    <n v="1202.5229999999999"/>
    <n v="140043.66"/>
    <s v=""/>
    <n v="348"/>
    <n v="348.00045499999999"/>
    <m/>
    <m/>
    <n v="574.149"/>
    <n v="570.6182"/>
    <n v="2.08473"/>
    <n v="1.445729"/>
    <x v="0"/>
  </r>
  <r>
    <d v="2023-12-01T00:00:00"/>
    <x v="4"/>
    <s v="Manufacturing"/>
    <x v="11"/>
    <x v="1"/>
    <s v="3938 Porett Drive"/>
    <s v="Gurnee"/>
    <s v="IL"/>
    <s v="USA"/>
    <x v="0"/>
    <n v="1212.3430000000001"/>
    <n v="146107.89000000001"/>
    <s v=""/>
    <n v="350.84199999999998"/>
    <n v="350.84228300000001"/>
    <m/>
    <m/>
    <n v="578.83699999999999"/>
    <n v="575.277962"/>
    <n v="2.1017540000000001"/>
    <n v="1.457535"/>
    <x v="0"/>
  </r>
  <r>
    <d v="2022-12-01T00:00:00"/>
    <x v="12"/>
    <s v="Manufacturing"/>
    <x v="11"/>
    <x v="2"/>
    <s v="3938 Porett Drive"/>
    <s v="Gurnee"/>
    <s v="IL"/>
    <s v="USA"/>
    <x v="3"/>
    <n v="0"/>
    <n v="8.5"/>
    <s v=""/>
    <n v="0"/>
    <n v="0"/>
    <m/>
    <m/>
    <n v="0"/>
    <n v="0"/>
    <m/>
    <m/>
    <x v="1"/>
  </r>
  <r>
    <d v="2023-01-01T00:00:00"/>
    <x v="12"/>
    <s v="Manufacturing"/>
    <x v="11"/>
    <x v="2"/>
    <s v="3938 Porett Drive"/>
    <s v="Gurnee"/>
    <s v="IL"/>
    <s v="USA"/>
    <x v="3"/>
    <n v="0"/>
    <n v="8.5"/>
    <s v=""/>
    <n v="0"/>
    <n v="0"/>
    <m/>
    <m/>
    <n v="0"/>
    <n v="0"/>
    <m/>
    <m/>
    <x v="0"/>
  </r>
  <r>
    <d v="2023-10-01T00:00:00"/>
    <x v="12"/>
    <s v="Manufacturing"/>
    <x v="11"/>
    <x v="2"/>
    <s v="3938 Porett Drive"/>
    <s v="Gurnee"/>
    <s v="IL"/>
    <s v="USA"/>
    <x v="3"/>
    <n v="0"/>
    <n v="4415.8100000000004"/>
    <s v=""/>
    <n v="0"/>
    <n v="0"/>
    <m/>
    <m/>
    <n v="0"/>
    <n v="0"/>
    <m/>
    <m/>
    <x v="0"/>
  </r>
  <r>
    <d v="2023-11-01T00:00:00"/>
    <x v="10"/>
    <s v="Manufacturing"/>
    <x v="11"/>
    <x v="2"/>
    <s v="3938 Porett Drive"/>
    <s v="Gurnee"/>
    <s v="IL"/>
    <s v="USA"/>
    <x v="3"/>
    <n v="16.782917999999999"/>
    <n v="5519.1"/>
    <s v=""/>
    <n v="8.7330000000000005"/>
    <n v="8.7327340000000007"/>
    <m/>
    <m/>
    <n v="8.7330000000000005"/>
    <n v="8.7327349999999999"/>
    <m/>
    <m/>
    <x v="0"/>
  </r>
  <r>
    <d v="2023-11-01T00:00:00"/>
    <x v="12"/>
    <s v="Manufacturing"/>
    <x v="11"/>
    <x v="2"/>
    <s v="3938 Porett Drive"/>
    <s v="Gurnee"/>
    <s v="IL"/>
    <s v="USA"/>
    <x v="3"/>
    <n v="0"/>
    <n v="12862.14"/>
    <s v=""/>
    <n v="0"/>
    <n v="0"/>
    <m/>
    <m/>
    <n v="0"/>
    <n v="0"/>
    <m/>
    <m/>
    <x v="0"/>
  </r>
  <r>
    <d v="2023-12-01T00:00:00"/>
    <x v="12"/>
    <s v="Manufacturing"/>
    <x v="11"/>
    <x v="2"/>
    <s v="3938 Porett Drive"/>
    <s v="Gurnee"/>
    <s v="IL"/>
    <s v="USA"/>
    <x v="3"/>
    <n v="0"/>
    <n v="11192.56"/>
    <s v=""/>
    <n v="0"/>
    <n v="0"/>
    <m/>
    <m/>
    <n v="0"/>
    <n v="0"/>
    <m/>
    <m/>
    <x v="0"/>
  </r>
  <r>
    <d v="2022-01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1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1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2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2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2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3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3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3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4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4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4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5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5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5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6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6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6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7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7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7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8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8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8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9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9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9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10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10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10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11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11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11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12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12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12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3-01-01T00:00:00"/>
    <x v="8"/>
    <s v="Manufacturing"/>
    <x v="12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0"/>
  </r>
  <r>
    <d v="2023-02-01T00:00:00"/>
    <x v="8"/>
    <s v="Manufacturing"/>
    <x v="12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0"/>
  </r>
  <r>
    <d v="2023-03-01T00:00:00"/>
    <x v="8"/>
    <s v="Manufacturing"/>
    <x v="12"/>
    <x v="0"/>
    <s v="Polígono Industrial Verdunes, 7 Bajo Parcela Num, 7"/>
    <s v="Les Borges Blanques"/>
    <s v="ESP"/>
    <s v="Spain"/>
    <x v="0"/>
    <n v="30.640999999999998"/>
    <m/>
    <m/>
    <n v="5.5529999999999999"/>
    <n v="5.5474990000000002"/>
    <n v="2.8540000000000002E-3"/>
    <n v="3.1159999999999998E-3"/>
    <n v="5.5529999999999999"/>
    <n v="5.5474990000000002"/>
    <n v="2.8540000000000002E-3"/>
    <n v="3.1159999999999998E-3"/>
    <x v="0"/>
  </r>
  <r>
    <d v="2023-04-01T00:00:00"/>
    <x v="8"/>
    <s v="Manufacturing"/>
    <x v="12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0"/>
  </r>
  <r>
    <d v="2023-05-01T00:00:00"/>
    <x v="8"/>
    <s v="Manufacturing"/>
    <x v="12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0"/>
  </r>
  <r>
    <d v="2023-06-01T00:00:00"/>
    <x v="8"/>
    <s v="Manufacturing"/>
    <x v="12"/>
    <x v="0"/>
    <s v="Polígono Industrial Verdunes, 7 Bajo Parcela Num, 7"/>
    <s v="Les Borges Blanques"/>
    <s v="ESP"/>
    <s v="Spain"/>
    <x v="0"/>
    <n v="32.997999999999998"/>
    <m/>
    <m/>
    <n v="5.9809999999999999"/>
    <n v="5.9742300000000004"/>
    <n v="3.0739999999999999E-3"/>
    <n v="3.3549999999999999E-3"/>
    <n v="5.9809999999999999"/>
    <n v="5.9742300000000004"/>
    <n v="3.0739999999999999E-3"/>
    <n v="3.3549999999999999E-3"/>
    <x v="0"/>
  </r>
  <r>
    <d v="2023-07-01T00:00:00"/>
    <x v="8"/>
    <s v="Manufacturing"/>
    <x v="12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0"/>
  </r>
  <r>
    <d v="2023-08-01T00:00:00"/>
    <x v="8"/>
    <s v="Manufacturing"/>
    <x v="12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0"/>
  </r>
  <r>
    <d v="2023-09-01T00:00:00"/>
    <x v="8"/>
    <s v="Manufacturing"/>
    <x v="12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0"/>
  </r>
  <r>
    <d v="2023-10-01T00:00:00"/>
    <x v="8"/>
    <s v="Manufacturing"/>
    <x v="12"/>
    <x v="0"/>
    <s v="Polígono Industrial Verdunes, 7 Bajo Parcela Num, 7"/>
    <s v="Les Borges Blanques"/>
    <s v="ESP"/>
    <s v="Spain"/>
    <x v="0"/>
    <n v="43.604999999999997"/>
    <m/>
    <m/>
    <n v="7.9029999999999996"/>
    <n v="7.8946079999999998"/>
    <n v="4.0619999999999996E-3"/>
    <n v="4.4339999999999996E-3"/>
    <n v="7.9029999999999996"/>
    <n v="7.8946079999999998"/>
    <n v="4.0619999999999996E-3"/>
    <n v="4.4339999999999996E-3"/>
    <x v="0"/>
  </r>
  <r>
    <d v="2023-11-01T00:00:00"/>
    <x v="8"/>
    <s v="Manufacturing"/>
    <x v="12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0"/>
  </r>
  <r>
    <d v="2023-12-01T00:00:00"/>
    <x v="8"/>
    <s v="Manufacturing"/>
    <x v="12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0"/>
  </r>
  <r>
    <d v="2022-01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2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3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4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5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6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7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8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9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10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11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12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3-01-01T00:00:00"/>
    <x v="4"/>
    <s v="Manufacturing"/>
    <x v="12"/>
    <x v="1"/>
    <s v="Polígono Industrial Verdunes, 7 Bajo Parcela Num, 7"/>
    <s v="Les Borges Blanques"/>
    <s v="ESP"/>
    <s v="Spain"/>
    <x v="0"/>
    <n v="15.018000000000001"/>
    <m/>
    <m/>
    <n v="4.1319999999999997"/>
    <n v="4.131602"/>
    <m/>
    <m/>
    <n v="2.262"/>
    <n v="2.2496960000000001"/>
    <n v="6.888E-3"/>
    <n v="5.0280000000000004E-3"/>
    <x v="0"/>
  </r>
  <r>
    <d v="2023-02-01T00:00:00"/>
    <x v="4"/>
    <s v="Manufacturing"/>
    <x v="12"/>
    <x v="1"/>
    <s v="Polígono Industrial Verdunes, 7 Bajo Parcela Num, 7"/>
    <s v="Les Borges Blanques"/>
    <s v="ESP"/>
    <s v="Spain"/>
    <x v="0"/>
    <n v="13.615"/>
    <m/>
    <m/>
    <n v="3.746"/>
    <n v="3.7456230000000001"/>
    <m/>
    <m/>
    <n v="2.0499999999999998"/>
    <n v="2.0395270000000001"/>
    <n v="6.2440000000000004E-3"/>
    <n v="4.5580000000000004E-3"/>
    <x v="0"/>
  </r>
  <r>
    <d v="2023-03-01T00:00:00"/>
    <x v="4"/>
    <s v="Manufacturing"/>
    <x v="12"/>
    <x v="1"/>
    <s v="Polígono Industrial Verdunes, 7 Bajo Parcela Num, 7"/>
    <s v="Les Borges Blanques"/>
    <s v="ESP"/>
    <s v="Spain"/>
    <x v="0"/>
    <n v="13.696"/>
    <m/>
    <m/>
    <n v="3.7679999999999998"/>
    <n v="3.7679070000000001"/>
    <m/>
    <m/>
    <n v="2.0630000000000002"/>
    <n v="2.0516610000000002"/>
    <n v="6.2820000000000003E-3"/>
    <n v="4.5849999999999997E-3"/>
    <x v="0"/>
  </r>
  <r>
    <d v="2023-04-01T00:00:00"/>
    <x v="4"/>
    <s v="Manufacturing"/>
    <x v="12"/>
    <x v="1"/>
    <s v="Polígono Industrial Verdunes, 7 Bajo Parcela Num, 7"/>
    <s v="Les Borges Blanques"/>
    <s v="ESP"/>
    <s v="Spain"/>
    <x v="0"/>
    <n v="9.8670000000000009"/>
    <m/>
    <m/>
    <n v="2.7149999999999999"/>
    <n v="2.7145100000000002"/>
    <m/>
    <m/>
    <n v="1.486"/>
    <n v="1.4780770000000001"/>
    <n v="4.5250000000000004E-3"/>
    <n v="3.3029999999999999E-3"/>
    <x v="0"/>
  </r>
  <r>
    <d v="2023-05-01T00:00:00"/>
    <x v="4"/>
    <s v="Manufacturing"/>
    <x v="12"/>
    <x v="1"/>
    <s v="Polígono Industrial Verdunes, 7 Bajo Parcela Num, 7"/>
    <s v="Les Borges Blanques"/>
    <s v="ESP"/>
    <s v="Spain"/>
    <x v="0"/>
    <n v="11.255000000000001"/>
    <m/>
    <m/>
    <n v="3.0960000000000001"/>
    <n v="3.0963630000000002"/>
    <m/>
    <m/>
    <n v="1.6950000000000001"/>
    <n v="1.685999"/>
    <n v="5.1619999999999999E-3"/>
    <n v="3.7680000000000001E-3"/>
    <x v="0"/>
  </r>
  <r>
    <d v="2023-06-01T00:00:00"/>
    <x v="4"/>
    <s v="Manufacturing"/>
    <x v="12"/>
    <x v="1"/>
    <s v="Polígono Industrial Verdunes, 7 Bajo Parcela Num, 7"/>
    <s v="Les Borges Blanques"/>
    <s v="ESP"/>
    <s v="Spain"/>
    <x v="0"/>
    <n v="11.893000000000001"/>
    <m/>
    <m/>
    <n v="3.2719999999999998"/>
    <n v="3.2718829999999999"/>
    <m/>
    <m/>
    <n v="1.7909999999999999"/>
    <n v="1.781571"/>
    <n v="5.4549999999999998E-3"/>
    <n v="3.9820000000000003E-3"/>
    <x v="0"/>
  </r>
  <r>
    <d v="2023-07-01T00:00:00"/>
    <x v="4"/>
    <s v="Manufacturing"/>
    <x v="12"/>
    <x v="1"/>
    <s v="Polígono Industrial Verdunes, 7 Bajo Parcela Num, 7"/>
    <s v="Les Borges Blanques"/>
    <s v="ESP"/>
    <s v="Spain"/>
    <x v="0"/>
    <n v="12.323"/>
    <m/>
    <m/>
    <n v="3.39"/>
    <n v="3.3901810000000001"/>
    <m/>
    <m/>
    <n v="1.8560000000000001"/>
    <n v="1.845985"/>
    <n v="5.6519999999999999E-3"/>
    <n v="4.1260000000000003E-3"/>
    <x v="0"/>
  </r>
  <r>
    <d v="2023-08-01T00:00:00"/>
    <x v="4"/>
    <s v="Manufacturing"/>
    <x v="12"/>
    <x v="1"/>
    <s v="Polígono Industrial Verdunes, 7 Bajo Parcela Num, 7"/>
    <s v="Les Borges Blanques"/>
    <s v="ESP"/>
    <s v="Spain"/>
    <x v="0"/>
    <n v="13.497"/>
    <m/>
    <m/>
    <n v="3.7130000000000001"/>
    <n v="3.7131599999999998"/>
    <m/>
    <m/>
    <n v="2.0329999999999999"/>
    <n v="2.0218509999999998"/>
    <n v="6.1900000000000002E-3"/>
    <n v="4.5189999999999996E-3"/>
    <x v="0"/>
  </r>
  <r>
    <d v="2023-09-01T00:00:00"/>
    <x v="4"/>
    <s v="Manufacturing"/>
    <x v="12"/>
    <x v="1"/>
    <s v="Polígono Industrial Verdunes, 7 Bajo Parcela Num, 7"/>
    <s v="Les Borges Blanques"/>
    <s v="ESP"/>
    <s v="Spain"/>
    <x v="0"/>
    <n v="11.023999999999999"/>
    <m/>
    <m/>
    <n v="3.0329999999999999"/>
    <n v="3.032813"/>
    <m/>
    <m/>
    <n v="1.66"/>
    <n v="1.6513949999999999"/>
    <n v="5.0559999999999997E-3"/>
    <n v="3.6909999999999998E-3"/>
    <x v="0"/>
  </r>
  <r>
    <d v="2023-10-01T00:00:00"/>
    <x v="4"/>
    <s v="Manufacturing"/>
    <x v="12"/>
    <x v="1"/>
    <s v="Polígono Industrial Verdunes, 7 Bajo Parcela Num, 7"/>
    <s v="Les Borges Blanques"/>
    <s v="ESP"/>
    <s v="Spain"/>
    <x v="0"/>
    <n v="10.714"/>
    <n v="2064.0269109999999"/>
    <m/>
    <n v="2.948"/>
    <n v="2.9475289999999998"/>
    <m/>
    <m/>
    <n v="1.613"/>
    <n v="1.604957"/>
    <n v="4.914E-3"/>
    <n v="3.5869999999999999E-3"/>
    <x v="0"/>
  </r>
  <r>
    <d v="2023-11-01T00:00:00"/>
    <x v="4"/>
    <s v="Manufacturing"/>
    <x v="12"/>
    <x v="1"/>
    <s v="Polígono Industrial Verdunes, 7 Bajo Parcela Num, 7"/>
    <s v="Les Borges Blanques"/>
    <s v="ESP"/>
    <s v="Spain"/>
    <x v="0"/>
    <n v="10.718"/>
    <m/>
    <m/>
    <n v="2.9489999999999998"/>
    <n v="2.9486289999999999"/>
    <m/>
    <m/>
    <n v="1.6140000000000001"/>
    <n v="1.605556"/>
    <n v="4.9160000000000002E-3"/>
    <n v="3.588E-3"/>
    <x v="0"/>
  </r>
  <r>
    <d v="2023-12-01T00:00:00"/>
    <x v="4"/>
    <s v="Manufacturing"/>
    <x v="12"/>
    <x v="1"/>
    <s v="Polígono Industrial Verdunes, 7 Bajo Parcela Num, 7"/>
    <s v="Les Borges Blanques"/>
    <s v="ESP"/>
    <s v="Spain"/>
    <x v="0"/>
    <n v="11.08"/>
    <m/>
    <m/>
    <n v="3.048"/>
    <n v="3.048219"/>
    <m/>
    <m/>
    <n v="1.669"/>
    <n v="1.6597839999999999"/>
    <n v="5.0819999999999997E-3"/>
    <n v="3.7100000000000002E-3"/>
    <x v="0"/>
  </r>
  <r>
    <d v="2023-01-01T00:00:00"/>
    <x v="10"/>
    <s v="Manufacturing"/>
    <x v="12"/>
    <x v="2"/>
    <s v="Polígono Industrial Verdunes, 7 Bajo Parcela Num, 7"/>
    <s v="Les Borges Blanques"/>
    <s v="ESP"/>
    <s v="Spain"/>
    <x v="3"/>
    <n v="1.3"/>
    <m/>
    <m/>
    <n v="0.67600000000000005"/>
    <n v="0.67643500000000001"/>
    <m/>
    <m/>
    <n v="0.67600000000000005"/>
    <n v="0.67643500000000001"/>
    <m/>
    <m/>
    <x v="0"/>
  </r>
  <r>
    <d v="2023-02-01T00:00:00"/>
    <x v="11"/>
    <s v="Manufacturing"/>
    <x v="12"/>
    <x v="2"/>
    <s v="Polígono Industrial Verdunes, 7 Bajo Parcela Num, 7"/>
    <s v="Les Borges Blanques"/>
    <s v="ESP"/>
    <s v="Spain"/>
    <x v="3"/>
    <n v="0.42"/>
    <m/>
    <m/>
    <n v="0.219"/>
    <n v="0.21854100000000001"/>
    <m/>
    <m/>
    <n v="0.219"/>
    <n v="0.21854100000000001"/>
    <m/>
    <m/>
    <x v="0"/>
  </r>
  <r>
    <d v="2023-02-01T00:00:00"/>
    <x v="10"/>
    <s v="Manufacturing"/>
    <x v="12"/>
    <x v="2"/>
    <s v="Polígono Industrial Verdunes, 7 Bajo Parcela Num, 7"/>
    <s v="Les Borges Blanques"/>
    <s v="ESP"/>
    <s v="Spain"/>
    <x v="3"/>
    <n v="32"/>
    <m/>
    <m/>
    <n v="16.651"/>
    <n v="16.65071"/>
    <m/>
    <m/>
    <n v="16.651"/>
    <n v="16.65071"/>
    <m/>
    <m/>
    <x v="0"/>
  </r>
  <r>
    <d v="2023-03-01T00:00:00"/>
    <x v="10"/>
    <s v="Manufacturing"/>
    <x v="12"/>
    <x v="2"/>
    <s v="Polígono Industrial Verdunes, 7 Bajo Parcela Num, 7"/>
    <s v="Les Borges Blanques"/>
    <s v="ESP"/>
    <s v="Spain"/>
    <x v="3"/>
    <n v="20"/>
    <m/>
    <m/>
    <n v="10.407"/>
    <n v="10.406694"/>
    <m/>
    <m/>
    <n v="10.407"/>
    <n v="10.406694"/>
    <m/>
    <m/>
    <x v="0"/>
  </r>
  <r>
    <d v="2023-04-01T00:00:00"/>
    <x v="10"/>
    <s v="Manufacturing"/>
    <x v="12"/>
    <x v="2"/>
    <s v="Polígono Industrial Verdunes, 7 Bajo Parcela Num, 7"/>
    <s v="Les Borges Blanques"/>
    <s v="ESP"/>
    <s v="Spain"/>
    <x v="3"/>
    <n v="1.3"/>
    <m/>
    <m/>
    <n v="0.67600000000000005"/>
    <n v="0.67643500000000001"/>
    <m/>
    <m/>
    <n v="0.67600000000000005"/>
    <n v="0.67643500000000001"/>
    <m/>
    <m/>
    <x v="0"/>
  </r>
  <r>
    <d v="2023-05-01T00:00:00"/>
    <x v="10"/>
    <s v="Manufacturing"/>
    <x v="12"/>
    <x v="2"/>
    <s v="Polígono Industrial Verdunes, 7 Bajo Parcela Num, 7"/>
    <s v="Les Borges Blanques"/>
    <s v="ESP"/>
    <s v="Spain"/>
    <x v="3"/>
    <n v="14.795999999999999"/>
    <m/>
    <m/>
    <n v="7.6989999999999998"/>
    <n v="7.6988719999999997"/>
    <m/>
    <m/>
    <n v="7.6989999999999998"/>
    <n v="7.6988719999999997"/>
    <m/>
    <m/>
    <x v="0"/>
  </r>
  <r>
    <d v="2023-06-01T00:00:00"/>
    <x v="10"/>
    <s v="Manufacturing"/>
    <x v="12"/>
    <x v="2"/>
    <s v="Polígono Industrial Verdunes, 7 Bajo Parcela Num, 7"/>
    <s v="Les Borges Blanques"/>
    <s v="ESP"/>
    <s v="Spain"/>
    <x v="3"/>
    <n v="1.9"/>
    <m/>
    <m/>
    <n v="0.98899999999999999"/>
    <n v="0.98863599999999996"/>
    <m/>
    <m/>
    <n v="0.98899999999999999"/>
    <n v="0.98863599999999996"/>
    <m/>
    <m/>
    <x v="0"/>
  </r>
  <r>
    <d v="2023-07-01T00:00:00"/>
    <x v="10"/>
    <s v="Manufacturing"/>
    <x v="12"/>
    <x v="2"/>
    <s v="Polígono Industrial Verdunes, 7 Bajo Parcela Num, 7"/>
    <s v="Les Borges Blanques"/>
    <s v="ESP"/>
    <s v="Spain"/>
    <x v="3"/>
    <n v="2.1960000000000002"/>
    <m/>
    <m/>
    <n v="1.143"/>
    <n v="1.142655"/>
    <m/>
    <m/>
    <n v="1.143"/>
    <n v="1.142655"/>
    <m/>
    <m/>
    <x v="0"/>
  </r>
  <r>
    <d v="2023-08-01T00:00:00"/>
    <x v="11"/>
    <s v="Manufacturing"/>
    <x v="12"/>
    <x v="2"/>
    <s v="Polígono Industrial Verdunes, 7 Bajo Parcela Num, 7"/>
    <s v="Les Borges Blanques"/>
    <s v="ESP"/>
    <s v="Spain"/>
    <x v="3"/>
    <n v="0.3"/>
    <m/>
    <m/>
    <n v="0.156"/>
    <n v="0.15609999999999999"/>
    <m/>
    <m/>
    <n v="0.156"/>
    <n v="0.15609999999999999"/>
    <m/>
    <m/>
    <x v="0"/>
  </r>
  <r>
    <d v="2023-09-01T00:00:00"/>
    <x v="11"/>
    <s v="Manufacturing"/>
    <x v="12"/>
    <x v="2"/>
    <s v="Polígono Industrial Verdunes, 7 Bajo Parcela Num, 7"/>
    <s v="Les Borges Blanques"/>
    <s v="ESP"/>
    <s v="Spain"/>
    <x v="3"/>
    <n v="14.859674"/>
    <n v="0"/>
    <m/>
    <n v="7.7320000000000002"/>
    <n v="7.732005"/>
    <m/>
    <m/>
    <n v="7.7320000000000002"/>
    <n v="7.732005"/>
    <m/>
    <m/>
    <x v="0"/>
  </r>
  <r>
    <d v="2023-09-01T00:00:00"/>
    <x v="10"/>
    <s v="Manufacturing"/>
    <x v="12"/>
    <x v="2"/>
    <s v="Polígono Industrial Verdunes, 7 Bajo Parcela Num, 7"/>
    <s v="Les Borges Blanques"/>
    <s v="ESP"/>
    <s v="Spain"/>
    <x v="3"/>
    <n v="2.1960000000000002"/>
    <m/>
    <m/>
    <n v="1.143"/>
    <n v="1.142655"/>
    <m/>
    <m/>
    <n v="1.143"/>
    <n v="1.142655"/>
    <m/>
    <m/>
    <x v="0"/>
  </r>
  <r>
    <d v="2023-10-01T00:00:00"/>
    <x v="10"/>
    <s v="Manufacturing"/>
    <x v="12"/>
    <x v="2"/>
    <s v="Polígono Industrial Verdunes, 7 Bajo Parcela Num, 7"/>
    <s v="Les Borges Blanques"/>
    <s v="ESP"/>
    <s v="Spain"/>
    <x v="3"/>
    <n v="2.6671230000000001"/>
    <n v="0"/>
    <m/>
    <n v="1.3879999999999999"/>
    <n v="1.3877969999999999"/>
    <m/>
    <m/>
    <n v="1.3879999999999999"/>
    <n v="1.3877969999999999"/>
    <m/>
    <m/>
    <x v="0"/>
  </r>
  <r>
    <d v="2023-11-01T00:00:00"/>
    <x v="10"/>
    <s v="Manufacturing"/>
    <x v="12"/>
    <x v="2"/>
    <s v="Polígono Industrial Verdunes, 7 Bajo Parcela Num, 7"/>
    <s v="Les Borges Blanques"/>
    <s v="ESP"/>
    <s v="Spain"/>
    <x v="3"/>
    <n v="5.4521800000000002"/>
    <n v="0"/>
    <m/>
    <n v="2.8370000000000002"/>
    <n v="2.8369589999999998"/>
    <m/>
    <m/>
    <n v="2.8370000000000002"/>
    <n v="2.8369589999999998"/>
    <m/>
    <m/>
    <x v="0"/>
  </r>
  <r>
    <d v="2023-12-01T00:00:00"/>
    <x v="10"/>
    <s v="Manufacturing"/>
    <x v="12"/>
    <x v="2"/>
    <s v="Polígono Industrial Verdunes, 7 Bajo Parcela Num, 7"/>
    <s v="Les Borges Blanques"/>
    <s v="ESP"/>
    <s v="Spain"/>
    <x v="3"/>
    <n v="0.34472999999999998"/>
    <n v="0"/>
    <m/>
    <n v="0.17899999999999999"/>
    <n v="0.17937500000000001"/>
    <m/>
    <m/>
    <n v="0.17899999999999999"/>
    <n v="0.17937500000000001"/>
    <m/>
    <m/>
    <x v="0"/>
  </r>
  <r>
    <d v="2022-01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1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1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2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2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2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3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3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3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4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4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4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5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5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5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6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6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6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7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7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7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8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8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8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9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9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9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10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10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10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11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11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11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12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12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12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3-01-01T00:00:00"/>
    <x v="0"/>
    <s v="Manufacturing"/>
    <x v="13"/>
    <x v="0"/>
    <s v="Am Haupttor, Gebäude 7302"/>
    <s v="Leuna"/>
    <s v="GER"/>
    <s v="Germany"/>
    <x v="0"/>
    <n v="4.1706919999999998"/>
    <m/>
    <m/>
    <n v="0.97599999999999998"/>
    <n v="0.962843"/>
    <n v="1.3166000000000001E-2"/>
    <n v="1.2E-4"/>
    <n v="0.97599999999999998"/>
    <n v="0.962843"/>
    <n v="1.3166000000000001E-2"/>
    <n v="1.2E-4"/>
    <x v="0"/>
  </r>
  <r>
    <d v="2023-01-01T00:00:00"/>
    <x v="3"/>
    <s v="Manufacturing"/>
    <x v="13"/>
    <x v="0"/>
    <s v="Am Haupttor, Gebäude 7302"/>
    <s v="Leuna"/>
    <s v="GER"/>
    <s v="Germany"/>
    <x v="2"/>
    <n v="705.6"/>
    <m/>
    <m/>
    <n v="5.6040000000000001"/>
    <n v="5.5651070000000002"/>
    <n v="1.6150999999999999E-2"/>
    <n v="2.2922999999999999E-2"/>
    <n v="5.6040000000000001"/>
    <n v="5.5651070000000002"/>
    <n v="1.6150999999999999E-2"/>
    <n v="2.2922999999999999E-2"/>
    <x v="0"/>
  </r>
  <r>
    <d v="2023-01-01T00:00:00"/>
    <x v="8"/>
    <s v="Manufacturing"/>
    <x v="13"/>
    <x v="0"/>
    <s v="Am Haupttor, Gebäude 7302"/>
    <s v="Leuna"/>
    <s v="GER"/>
    <s v="Germany"/>
    <x v="0"/>
    <n v="9.8000000000000004E-2"/>
    <m/>
    <m/>
    <n v="1.7999999999999999E-2"/>
    <n v="1.7742999999999998E-2"/>
    <n v="9.0000000000000002E-6"/>
    <n v="1.0000000000000001E-5"/>
    <n v="1.7999999999999999E-2"/>
    <n v="1.7742999999999998E-2"/>
    <n v="9.0000000000000002E-6"/>
    <n v="1.0000000000000001E-5"/>
    <x v="0"/>
  </r>
  <r>
    <d v="2023-02-01T00:00:00"/>
    <x v="0"/>
    <s v="Manufacturing"/>
    <x v="13"/>
    <x v="0"/>
    <s v="Am Haupttor, Gebäude 7302"/>
    <s v="Leuna"/>
    <s v="GER"/>
    <s v="Germany"/>
    <x v="0"/>
    <n v="3.4511660000000002"/>
    <m/>
    <m/>
    <n v="0.80800000000000005"/>
    <n v="0.79673400000000005"/>
    <n v="1.0893999999999999E-2"/>
    <n v="1E-4"/>
    <n v="0.80800000000000005"/>
    <n v="0.79673400000000005"/>
    <n v="1.0893999999999999E-2"/>
    <n v="1E-4"/>
    <x v="0"/>
  </r>
  <r>
    <d v="2023-02-01T00:00:00"/>
    <x v="3"/>
    <s v="Manufacturing"/>
    <x v="13"/>
    <x v="0"/>
    <s v="Am Haupttor, Gebäude 7302"/>
    <s v="Leuna"/>
    <s v="GER"/>
    <s v="Germany"/>
    <x v="2"/>
    <n v="564.38"/>
    <m/>
    <m/>
    <n v="4.4829999999999997"/>
    <n v="4.4512970000000003"/>
    <n v="1.2919E-2"/>
    <n v="1.8336000000000002E-2"/>
    <n v="4.4829999999999997"/>
    <n v="4.4512970000000003"/>
    <n v="1.2919E-2"/>
    <n v="1.8336000000000002E-2"/>
    <x v="0"/>
  </r>
  <r>
    <d v="2023-02-01T00:00:00"/>
    <x v="8"/>
    <s v="Manufacturing"/>
    <x v="13"/>
    <x v="0"/>
    <s v="Am Haupttor, Gebäude 7302"/>
    <s v="Leuna"/>
    <s v="GER"/>
    <s v="Germany"/>
    <x v="0"/>
    <n v="2.5000000000000001E-2"/>
    <m/>
    <m/>
    <n v="5.0000000000000001E-3"/>
    <n v="4.5259999999999996E-3"/>
    <n v="1.9999999999999999E-6"/>
    <n v="3.0000000000000001E-6"/>
    <n v="5.0000000000000001E-3"/>
    <n v="4.5259999999999996E-3"/>
    <n v="1.9999999999999999E-6"/>
    <n v="3.0000000000000001E-6"/>
    <x v="0"/>
  </r>
  <r>
    <d v="2023-03-01T00:00:00"/>
    <x v="0"/>
    <s v="Manufacturing"/>
    <x v="13"/>
    <x v="0"/>
    <s v="Am Haupttor, Gebäude 7302"/>
    <s v="Leuna"/>
    <s v="GER"/>
    <s v="Germany"/>
    <x v="0"/>
    <n v="11.176748999999999"/>
    <m/>
    <m/>
    <n v="2.6160000000000001"/>
    <n v="2.5802559999999999"/>
    <n v="3.5282000000000001E-2"/>
    <n v="3.2299999999999999E-4"/>
    <n v="2.6160000000000001"/>
    <n v="2.5802559999999999"/>
    <n v="3.5282000000000001E-2"/>
    <n v="3.2299999999999999E-4"/>
    <x v="0"/>
  </r>
  <r>
    <d v="2023-03-01T00:00:00"/>
    <x v="3"/>
    <s v="Manufacturing"/>
    <x v="13"/>
    <x v="0"/>
    <s v="Am Haupttor, Gebäude 7302"/>
    <s v="Leuna"/>
    <s v="GER"/>
    <s v="Germany"/>
    <x v="2"/>
    <n v="871.71"/>
    <m/>
    <m/>
    <n v="6.9240000000000004"/>
    <n v="6.8752259999999996"/>
    <n v="1.9954E-2"/>
    <n v="2.8320000000000001E-2"/>
    <n v="6.9240000000000004"/>
    <n v="6.8752259999999996"/>
    <n v="1.9954E-2"/>
    <n v="2.8320000000000001E-2"/>
    <x v="0"/>
  </r>
  <r>
    <d v="2023-03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4-01T00:00:00"/>
    <x v="0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4-01T00:00:00"/>
    <x v="3"/>
    <s v="Manufacturing"/>
    <x v="13"/>
    <x v="0"/>
    <s v="Am Haupttor, Gebäude 7302"/>
    <s v="Leuna"/>
    <s v="GER"/>
    <s v="Germany"/>
    <x v="2"/>
    <n v="556.98"/>
    <m/>
    <m/>
    <n v="4.4240000000000004"/>
    <n v="4.3929330000000002"/>
    <n v="1.2749E-2"/>
    <n v="1.8095E-2"/>
    <n v="4.4240000000000004"/>
    <n v="4.3929330000000002"/>
    <n v="1.2749E-2"/>
    <n v="1.8095E-2"/>
    <x v="0"/>
  </r>
  <r>
    <d v="2023-04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5-01T00:00:00"/>
    <x v="0"/>
    <s v="Manufacturing"/>
    <x v="13"/>
    <x v="0"/>
    <s v="Am Haupttor, Gebäude 7302"/>
    <s v="Leuna"/>
    <s v="GER"/>
    <s v="Germany"/>
    <x v="0"/>
    <n v="1.7740629999999999"/>
    <m/>
    <m/>
    <n v="0.41499999999999998"/>
    <n v="0.40955900000000001"/>
    <n v="5.5999999999999999E-3"/>
    <n v="5.1E-5"/>
    <n v="0.41499999999999998"/>
    <n v="0.40955900000000001"/>
    <n v="5.5999999999999999E-3"/>
    <n v="5.1E-5"/>
    <x v="0"/>
  </r>
  <r>
    <d v="2023-05-01T00:00:00"/>
    <x v="3"/>
    <s v="Manufacturing"/>
    <x v="13"/>
    <x v="0"/>
    <s v="Am Haupttor, Gebäude 7302"/>
    <s v="Leuna"/>
    <s v="GER"/>
    <s v="Germany"/>
    <x v="2"/>
    <n v="703.48"/>
    <m/>
    <m/>
    <n v="5.5869999999999997"/>
    <n v="5.548387"/>
    <n v="1.6102999999999999E-2"/>
    <n v="2.2855E-2"/>
    <n v="5.5869999999999997"/>
    <n v="5.548387"/>
    <n v="1.6102999999999999E-2"/>
    <n v="2.2855E-2"/>
    <x v="0"/>
  </r>
  <r>
    <d v="2023-05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6-01T00:00:00"/>
    <x v="0"/>
    <s v="Manufacturing"/>
    <x v="13"/>
    <x v="0"/>
    <s v="Am Haupttor, Gebäude 7302"/>
    <s v="Leuna"/>
    <s v="GER"/>
    <s v="Germany"/>
    <x v="0"/>
    <n v="9.8980110000000003"/>
    <m/>
    <m/>
    <n v="2.3170000000000002"/>
    <n v="2.2850470000000001"/>
    <n v="3.1244999999999998E-2"/>
    <n v="2.8600000000000001E-4"/>
    <n v="2.3170000000000002"/>
    <n v="2.2850470000000001"/>
    <n v="3.1244999999999998E-2"/>
    <n v="2.8600000000000001E-4"/>
    <x v="0"/>
  </r>
  <r>
    <d v="2023-06-01T00:00:00"/>
    <x v="3"/>
    <s v="Manufacturing"/>
    <x v="13"/>
    <x v="0"/>
    <s v="Am Haupttor, Gebäude 7302"/>
    <s v="Leuna"/>
    <s v="GER"/>
    <s v="Germany"/>
    <x v="2"/>
    <n v="414.48"/>
    <m/>
    <m/>
    <n v="3.2919999999999998"/>
    <n v="3.2690269999999999"/>
    <n v="9.4879999999999999E-3"/>
    <n v="1.3466000000000001E-2"/>
    <n v="3.2919999999999998"/>
    <n v="3.2690269999999999"/>
    <n v="9.4879999999999999E-3"/>
    <n v="1.3466000000000001E-2"/>
    <x v="0"/>
  </r>
  <r>
    <d v="2023-06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7-01T00:00:00"/>
    <x v="0"/>
    <s v="Manufacturing"/>
    <x v="13"/>
    <x v="0"/>
    <s v="Am Haupttor, Gebäude 7302"/>
    <s v="Leuna"/>
    <s v="GER"/>
    <s v="Germany"/>
    <x v="0"/>
    <n v="0.56447499999999995"/>
    <m/>
    <m/>
    <n v="0.13200000000000001"/>
    <n v="0.13031400000000001"/>
    <n v="1.7819999999999999E-3"/>
    <n v="1.5999999999999999E-5"/>
    <n v="0.13200000000000001"/>
    <n v="0.13031400000000001"/>
    <n v="1.7819999999999999E-3"/>
    <n v="1.5999999999999999E-5"/>
    <x v="0"/>
  </r>
  <r>
    <d v="2023-07-01T00:00:00"/>
    <x v="3"/>
    <s v="Manufacturing"/>
    <x v="13"/>
    <x v="0"/>
    <s v="Am Haupttor, Gebäude 7302"/>
    <s v="Leuna"/>
    <s v="GER"/>
    <s v="Germany"/>
    <x v="2"/>
    <n v="624.54999999999995"/>
    <m/>
    <m/>
    <n v="4.96"/>
    <n v="4.9258610000000003"/>
    <n v="1.4296E-2"/>
    <n v="2.0289999999999999E-2"/>
    <n v="4.96"/>
    <n v="4.9258610000000003"/>
    <n v="1.4296E-2"/>
    <n v="2.0289999999999999E-2"/>
    <x v="0"/>
  </r>
  <r>
    <d v="2023-07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8-01T00:00:00"/>
    <x v="0"/>
    <s v="Manufacturing"/>
    <x v="13"/>
    <x v="0"/>
    <s v="Am Haupttor, Gebäude 7302"/>
    <s v="Leuna"/>
    <s v="GER"/>
    <s v="Germany"/>
    <x v="0"/>
    <n v="1.0821339999999999"/>
    <m/>
    <m/>
    <n v="0.253"/>
    <n v="0.24982099999999999"/>
    <n v="3.4160000000000002E-3"/>
    <n v="3.1000000000000001E-5"/>
    <n v="0.253"/>
    <n v="0.24982099999999999"/>
    <n v="3.4160000000000002E-3"/>
    <n v="3.1000000000000001E-5"/>
    <x v="0"/>
  </r>
  <r>
    <d v="2023-08-01T00:00:00"/>
    <x v="3"/>
    <s v="Manufacturing"/>
    <x v="13"/>
    <x v="0"/>
    <s v="Am Haupttor, Gebäude 7302"/>
    <s v="Leuna"/>
    <s v="GER"/>
    <s v="Germany"/>
    <x v="2"/>
    <n v="566.34"/>
    <m/>
    <m/>
    <n v="4.4980000000000002"/>
    <n v="4.4667560000000002"/>
    <n v="1.2964E-2"/>
    <n v="1.8398999999999999E-2"/>
    <n v="4.4980000000000002"/>
    <n v="4.4667560000000002"/>
    <n v="1.2964E-2"/>
    <n v="1.8398999999999999E-2"/>
    <x v="0"/>
  </r>
  <r>
    <d v="2023-08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9-01T00:00:00"/>
    <x v="0"/>
    <s v="Manufacturing"/>
    <x v="13"/>
    <x v="0"/>
    <s v="Am Haupttor, Gebäude 7302"/>
    <s v="Leuna"/>
    <s v="GER"/>
    <s v="Germany"/>
    <x v="0"/>
    <n v="9.6606030000000001"/>
    <m/>
    <m/>
    <n v="2.2610000000000001"/>
    <n v="2.2302390000000001"/>
    <n v="3.0495999999999999E-2"/>
    <n v="2.7900000000000001E-4"/>
    <n v="2.2610000000000001"/>
    <n v="2.2302390000000001"/>
    <n v="3.0495999999999999E-2"/>
    <n v="2.7900000000000001E-4"/>
    <x v="0"/>
  </r>
  <r>
    <d v="2023-09-01T00:00:00"/>
    <x v="3"/>
    <s v="Manufacturing"/>
    <x v="13"/>
    <x v="0"/>
    <s v="Am Haupttor, Gebäude 7302"/>
    <s v="Leuna"/>
    <s v="GER"/>
    <s v="Germany"/>
    <x v="2"/>
    <n v="513.79"/>
    <m/>
    <m/>
    <n v="4.0810000000000004"/>
    <n v="4.0522910000000003"/>
    <n v="1.1761000000000001E-2"/>
    <n v="1.6691999999999999E-2"/>
    <n v="4.0810000000000004"/>
    <n v="4.0522910000000003"/>
    <n v="1.1761000000000001E-2"/>
    <n v="1.6691999999999999E-2"/>
    <x v="0"/>
  </r>
  <r>
    <d v="2023-09-01T00:00:00"/>
    <x v="8"/>
    <s v="Manufacturing"/>
    <x v="13"/>
    <x v="0"/>
    <s v="Am Haupttor, Gebäude 7302"/>
    <s v="Leuna"/>
    <s v="GER"/>
    <s v="Germany"/>
    <x v="0"/>
    <n v="9.5000000000000001E-2"/>
    <m/>
    <m/>
    <n v="1.7000000000000001E-2"/>
    <n v="1.72E-2"/>
    <n v="9.0000000000000002E-6"/>
    <n v="1.0000000000000001E-5"/>
    <n v="1.7000000000000001E-2"/>
    <n v="1.72E-2"/>
    <n v="9.0000000000000002E-6"/>
    <n v="1.0000000000000001E-5"/>
    <x v="0"/>
  </r>
  <r>
    <d v="2023-10-01T00:00:00"/>
    <x v="0"/>
    <s v="Manufacturing"/>
    <x v="13"/>
    <x v="0"/>
    <s v="Am Haupttor, Gebäude 7302"/>
    <s v="Leuna"/>
    <s v="GER"/>
    <s v="Germany"/>
    <x v="0"/>
    <n v="2.161368"/>
    <m/>
    <m/>
    <n v="0.50600000000000001"/>
    <n v="0.49897200000000003"/>
    <n v="6.8230000000000001E-3"/>
    <n v="6.2000000000000003E-5"/>
    <n v="0.50600000000000001"/>
    <n v="0.49897200000000003"/>
    <n v="6.8230000000000001E-3"/>
    <n v="6.2000000000000003E-5"/>
    <x v="0"/>
  </r>
  <r>
    <d v="2023-10-01T00:00:00"/>
    <x v="3"/>
    <s v="Manufacturing"/>
    <x v="13"/>
    <x v="0"/>
    <s v="Am Haupttor, Gebäude 7302"/>
    <s v="Leuna"/>
    <s v="GER"/>
    <s v="Germany"/>
    <x v="2"/>
    <n v="533.89"/>
    <m/>
    <m/>
    <n v="4.24"/>
    <n v="4.2108210000000001"/>
    <n v="1.2220999999999999E-2"/>
    <n v="1.7344999999999999E-2"/>
    <n v="4.24"/>
    <n v="4.2108210000000001"/>
    <n v="1.2220999999999999E-2"/>
    <n v="1.7344999999999999E-2"/>
    <x v="0"/>
  </r>
  <r>
    <d v="2023-10-01T00:00:00"/>
    <x v="8"/>
    <s v="Manufacturing"/>
    <x v="13"/>
    <x v="0"/>
    <s v="Am Haupttor, Gebäude 7302"/>
    <s v="Leuna"/>
    <s v="GER"/>
    <s v="Germany"/>
    <x v="0"/>
    <n v="2.4E-2"/>
    <m/>
    <m/>
    <n v="4.0000000000000001E-3"/>
    <n v="4.3449999999999999E-3"/>
    <n v="1.9999999999999999E-6"/>
    <n v="1.9999999999999999E-6"/>
    <n v="4.0000000000000001E-3"/>
    <n v="4.3449999999999999E-3"/>
    <n v="1.9999999999999999E-6"/>
    <n v="1.9999999999999999E-6"/>
    <x v="0"/>
  </r>
  <r>
    <d v="2023-11-01T00:00:00"/>
    <x v="0"/>
    <s v="Manufacturing"/>
    <x v="13"/>
    <x v="0"/>
    <s v="Am Haupttor, Gebäude 7302"/>
    <s v="Leuna"/>
    <s v="GER"/>
    <s v="Germany"/>
    <x v="0"/>
    <n v="0.57821900000000004"/>
    <m/>
    <m/>
    <n v="0.13500000000000001"/>
    <n v="0.13348699999999999"/>
    <n v="1.825E-3"/>
    <n v="1.7E-5"/>
    <n v="0.13500000000000001"/>
    <n v="0.13348699999999999"/>
    <n v="1.825E-3"/>
    <n v="1.7E-5"/>
    <x v="0"/>
  </r>
  <r>
    <d v="2023-11-01T00:00:00"/>
    <x v="3"/>
    <s v="Manufacturing"/>
    <x v="13"/>
    <x v="0"/>
    <s v="Am Haupttor, Gebäude 7302"/>
    <s v="Leuna"/>
    <s v="GER"/>
    <s v="Germany"/>
    <x v="2"/>
    <n v="548.66"/>
    <m/>
    <m/>
    <n v="4.3579999999999997"/>
    <n v="4.3273130000000002"/>
    <n v="1.2559000000000001E-2"/>
    <n v="1.7825000000000001E-2"/>
    <n v="4.3579999999999997"/>
    <n v="4.3273130000000002"/>
    <n v="1.2559000000000001E-2"/>
    <n v="1.7825000000000001E-2"/>
    <x v="0"/>
  </r>
  <r>
    <d v="2023-11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12-01T00:00:00"/>
    <x v="0"/>
    <s v="Manufacturing"/>
    <x v="13"/>
    <x v="0"/>
    <s v="Am Haupttor, Gebäude 7302"/>
    <s v="Leuna"/>
    <s v="GER"/>
    <s v="Germany"/>
    <x v="0"/>
    <n v="9.9088560000000001"/>
    <m/>
    <m/>
    <n v="2.319"/>
    <n v="2.2875510000000001"/>
    <n v="3.1280000000000002E-2"/>
    <n v="2.8600000000000001E-4"/>
    <n v="2.319"/>
    <n v="2.2875510000000001"/>
    <n v="3.1280000000000002E-2"/>
    <n v="2.8600000000000001E-4"/>
    <x v="0"/>
  </r>
  <r>
    <d v="2023-12-01T00:00:00"/>
    <x v="3"/>
    <s v="Manufacturing"/>
    <x v="13"/>
    <x v="0"/>
    <s v="Am Haupttor, Gebäude 7302"/>
    <s v="Leuna"/>
    <s v="GER"/>
    <s v="Germany"/>
    <x v="2"/>
    <n v="531.02"/>
    <m/>
    <m/>
    <n v="4.218"/>
    <n v="4.1881849999999998"/>
    <n v="1.2154999999999999E-2"/>
    <n v="1.7252E-2"/>
    <n v="4.218"/>
    <n v="4.1881849999999998"/>
    <n v="1.2154999999999999E-2"/>
    <n v="1.7252E-2"/>
    <x v="0"/>
  </r>
  <r>
    <d v="2023-12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2-01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2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3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4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5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6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7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8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9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10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11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12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3-01-01T00:00:00"/>
    <x v="4"/>
    <s v="Manufacturing"/>
    <x v="13"/>
    <x v="1"/>
    <s v="Am Haupttor, Gebäude 7302"/>
    <s v="Leuna"/>
    <s v="GER"/>
    <s v="Germany"/>
    <x v="0"/>
    <n v="1251.98"/>
    <m/>
    <m/>
    <n v="856.39200000000005"/>
    <n v="856.39187900000002"/>
    <m/>
    <m/>
    <n v="436.82600000000002"/>
    <n v="434.687456"/>
    <n v="1.719206"/>
    <n v="0.41916300000000001"/>
    <x v="0"/>
  </r>
  <r>
    <d v="2023-02-01T00:00:00"/>
    <x v="4"/>
    <s v="Manufacturing"/>
    <x v="13"/>
    <x v="1"/>
    <s v="Am Haupttor, Gebäude 7302"/>
    <s v="Leuna"/>
    <s v="GER"/>
    <s v="Germany"/>
    <x v="0"/>
    <n v="1118.7829999999999"/>
    <m/>
    <m/>
    <n v="765.28099999999995"/>
    <n v="765.28113499999995"/>
    <m/>
    <m/>
    <n v="390.35199999999998"/>
    <n v="388.44145800000001"/>
    <n v="1.5363020000000001"/>
    <n v="0.37456899999999999"/>
    <x v="0"/>
  </r>
  <r>
    <d v="2023-03-01T00:00:00"/>
    <x v="4"/>
    <s v="Manufacturing"/>
    <x v="13"/>
    <x v="1"/>
    <s v="Am Haupttor, Gebäude 7302"/>
    <s v="Leuna"/>
    <s v="GER"/>
    <s v="Germany"/>
    <x v="0"/>
    <n v="1277.6400000000001"/>
    <m/>
    <m/>
    <n v="873.94399999999996"/>
    <n v="873.94408899999996"/>
    <m/>
    <m/>
    <n v="445.779"/>
    <n v="443.596608"/>
    <n v="1.7544420000000001"/>
    <n v="0.42775400000000002"/>
    <x v="0"/>
  </r>
  <r>
    <d v="2023-04-01T00:00:00"/>
    <x v="4"/>
    <s v="Manufacturing"/>
    <x v="13"/>
    <x v="1"/>
    <s v="Am Haupttor, Gebäude 7302"/>
    <s v="Leuna"/>
    <s v="GER"/>
    <s v="Germany"/>
    <x v="0"/>
    <n v="1216.952"/>
    <m/>
    <m/>
    <n v="832.43200000000002"/>
    <n v="832.43167700000004"/>
    <m/>
    <m/>
    <n v="424.60399999999998"/>
    <n v="422.525734"/>
    <n v="1.671106"/>
    <n v="0.40743600000000002"/>
    <x v="0"/>
  </r>
  <r>
    <d v="2023-05-01T00:00:00"/>
    <x v="4"/>
    <s v="Manufacturing"/>
    <x v="13"/>
    <x v="1"/>
    <s v="Am Haupttor, Gebäude 7302"/>
    <s v="Leuna"/>
    <s v="GER"/>
    <s v="Germany"/>
    <x v="0"/>
    <n v="1129.105"/>
    <m/>
    <m/>
    <n v="772.34199999999998"/>
    <n v="772.34169299999996"/>
    <m/>
    <m/>
    <n v="393.95400000000001"/>
    <n v="392.02525600000001"/>
    <n v="1.550476"/>
    <n v="0.37802400000000003"/>
    <x v="0"/>
  </r>
  <r>
    <d v="2023-06-01T00:00:00"/>
    <x v="4"/>
    <s v="Manufacturing"/>
    <x v="13"/>
    <x v="1"/>
    <s v="Am Haupttor, Gebäude 7302"/>
    <s v="Leuna"/>
    <s v="GER"/>
    <s v="Germany"/>
    <x v="0"/>
    <n v="991.22500000000002"/>
    <m/>
    <m/>
    <n v="678.02800000000002"/>
    <n v="678.02763700000003"/>
    <m/>
    <m/>
    <n v="345.846"/>
    <n v="344.15332000000001"/>
    <n v="1.36114"/>
    <n v="0.33186199999999999"/>
    <x v="0"/>
  </r>
  <r>
    <d v="2023-07-01T00:00:00"/>
    <x v="4"/>
    <s v="Manufacturing"/>
    <x v="13"/>
    <x v="1"/>
    <s v="Am Haupttor, Gebäude 7302"/>
    <s v="Leuna"/>
    <s v="GER"/>
    <s v="Germany"/>
    <x v="0"/>
    <n v="744.97900000000004"/>
    <m/>
    <m/>
    <n v="509.58800000000002"/>
    <n v="509.587985"/>
    <m/>
    <m/>
    <n v="259.92899999999997"/>
    <n v="258.65670899999998"/>
    <n v="1.0229980000000001"/>
    <n v="0.249419"/>
    <x v="0"/>
  </r>
  <r>
    <d v="2023-08-01T00:00:00"/>
    <x v="4"/>
    <s v="Manufacturing"/>
    <x v="13"/>
    <x v="1"/>
    <s v="Am Haupttor, Gebäude 7302"/>
    <s v="Leuna"/>
    <s v="GER"/>
    <s v="Germany"/>
    <x v="0"/>
    <n v="622.61"/>
    <m/>
    <m/>
    <n v="425.88400000000001"/>
    <n v="425.88391799999999"/>
    <m/>
    <m/>
    <n v="217.23400000000001"/>
    <n v="216.17019199999999"/>
    <n v="0.854962"/>
    <n v="0.20845"/>
    <x v="0"/>
  </r>
  <r>
    <d v="2023-09-01T00:00:00"/>
    <x v="4"/>
    <s v="Manufacturing"/>
    <x v="13"/>
    <x v="1"/>
    <s v="Am Haupttor, Gebäude 7302"/>
    <s v="Leuna"/>
    <s v="GER"/>
    <s v="Germany"/>
    <x v="0"/>
    <n v="779.37199999999996"/>
    <m/>
    <m/>
    <n v="533.11400000000003"/>
    <n v="533.11382900000001"/>
    <m/>
    <m/>
    <n v="271.92899999999997"/>
    <n v="270.59795800000001"/>
    <n v="1.0702259999999999"/>
    <n v="0.260934"/>
    <x v="0"/>
  </r>
  <r>
    <d v="2023-10-01T00:00:00"/>
    <x v="4"/>
    <s v="Manufacturing"/>
    <x v="13"/>
    <x v="1"/>
    <s v="Am Haupttor, Gebäude 7302"/>
    <s v="Leuna"/>
    <s v="GER"/>
    <s v="Germany"/>
    <x v="0"/>
    <n v="914.93100000000004"/>
    <m/>
    <m/>
    <n v="625.84"/>
    <n v="625.84025199999996"/>
    <m/>
    <m/>
    <n v="319.22699999999998"/>
    <n v="317.66404299999999"/>
    <n v="1.2563740000000001"/>
    <n v="0.30631900000000001"/>
    <x v="0"/>
  </r>
  <r>
    <d v="2023-11-01T00:00:00"/>
    <x v="4"/>
    <s v="Manufacturing"/>
    <x v="13"/>
    <x v="1"/>
    <s v="Am Haupttor, Gebäude 7302"/>
    <s v="Leuna"/>
    <s v="GER"/>
    <s v="Germany"/>
    <x v="0"/>
    <n v="1077.4159999999999"/>
    <m/>
    <m/>
    <n v="736.98500000000001"/>
    <n v="736.98486600000001"/>
    <m/>
    <m/>
    <n v="375.91899999999998"/>
    <n v="374.07883500000003"/>
    <n v="1.4794970000000001"/>
    <n v="0.36071900000000001"/>
    <x v="0"/>
  </r>
  <r>
    <d v="2023-12-01T00:00:00"/>
    <x v="4"/>
    <s v="Manufacturing"/>
    <x v="13"/>
    <x v="1"/>
    <s v="Am Haupttor, Gebäude 7302"/>
    <s v="Leuna"/>
    <s v="GER"/>
    <s v="Germany"/>
    <x v="0"/>
    <n v="1128.8900000000001"/>
    <n v="291654.64613100002"/>
    <m/>
    <n v="772.19500000000005"/>
    <n v="772.19462699999997"/>
    <m/>
    <m/>
    <n v="393.87900000000002"/>
    <n v="391.95060799999999"/>
    <n v="1.5501799999999999"/>
    <n v="0.37795200000000001"/>
    <x v="0"/>
  </r>
  <r>
    <d v="2023-12-01T00:00:00"/>
    <x v="11"/>
    <s v="Manufacturing"/>
    <x v="13"/>
    <x v="2"/>
    <s v="Am Haupttor, Gebäude 7302"/>
    <s v="Leuna"/>
    <s v="GER"/>
    <s v="Germany"/>
    <x v="3"/>
    <n v="140.59"/>
    <m/>
    <m/>
    <n v="73.153999999999996"/>
    <n v="73.153861000000006"/>
    <m/>
    <m/>
    <n v="73.153999999999996"/>
    <n v="73.153861000000006"/>
    <m/>
    <m/>
    <x v="0"/>
  </r>
  <r>
    <d v="2023-12-01T00:00:00"/>
    <x v="10"/>
    <s v="Manufacturing"/>
    <x v="13"/>
    <x v="2"/>
    <s v="Am Haupttor, Gebäude 7302"/>
    <s v="Leuna"/>
    <s v="GER"/>
    <s v="Germany"/>
    <x v="3"/>
    <n v="293.91000000000003"/>
    <m/>
    <m/>
    <n v="152.93199999999999"/>
    <n v="152.93157199999999"/>
    <m/>
    <m/>
    <n v="152.93199999999999"/>
    <n v="152.93157199999999"/>
    <m/>
    <m/>
    <x v="0"/>
  </r>
  <r>
    <d v="2022-01-01T00:00:00"/>
    <x v="8"/>
    <s v="Warehouse"/>
    <x v="14"/>
    <x v="0"/>
    <s v="1525 West Blancke Street"/>
    <s v="Linden"/>
    <s v="NJ"/>
    <s v="USA"/>
    <x v="0"/>
    <n v="14.744111999999999"/>
    <n v="708.02"/>
    <s v=""/>
    <n v="2.6720000000000002"/>
    <n v="2.6693959999999999"/>
    <n v="1.3730000000000001E-3"/>
    <n v="1.4989999999999999E-3"/>
    <n v="2.6720000000000002"/>
    <n v="2.6693959999999999"/>
    <n v="1.3730000000000001E-3"/>
    <n v="1.4989999999999999E-3"/>
    <x v="1"/>
  </r>
  <r>
    <d v="2022-01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2-01T00:00:00"/>
    <x v="8"/>
    <s v="Warehouse"/>
    <x v="14"/>
    <x v="0"/>
    <s v="1525 West Blancke Street"/>
    <s v="Linden"/>
    <s v="NJ"/>
    <s v="USA"/>
    <x v="0"/>
    <n v="11.555498999999999"/>
    <n v="637.11"/>
    <s v=""/>
    <n v="2.0939999999999999"/>
    <n v="2.0921029999999998"/>
    <n v="1.0759999999999999E-3"/>
    <n v="1.175E-3"/>
    <n v="2.0939999999999999"/>
    <n v="2.0921029999999998"/>
    <n v="1.0759999999999999E-3"/>
    <n v="1.175E-3"/>
    <x v="1"/>
  </r>
  <r>
    <d v="2022-02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3-01T00:00:00"/>
    <x v="8"/>
    <s v="Warehouse"/>
    <x v="14"/>
    <x v="0"/>
    <s v="1525 West Blancke Street"/>
    <s v="Linden"/>
    <s v="NJ"/>
    <s v="USA"/>
    <x v="0"/>
    <n v="5.652755"/>
    <n v="387.41"/>
    <s v=""/>
    <n v="1.0249999999999999"/>
    <n v="1.0234209999999999"/>
    <n v="5.2700000000000002E-4"/>
    <n v="5.7499999999999999E-4"/>
    <n v="1.0249999999999999"/>
    <n v="1.0234209999999999"/>
    <n v="5.2700000000000002E-4"/>
    <n v="5.7499999999999999E-4"/>
    <x v="1"/>
  </r>
  <r>
    <d v="2022-03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4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5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6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7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8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9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10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11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12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1-01T00:00:00"/>
    <x v="4"/>
    <s v="Warehouse"/>
    <x v="14"/>
    <x v="1"/>
    <s v="1525 West Blancke Street"/>
    <s v="Linden"/>
    <s v="NJ"/>
    <s v="USA"/>
    <x v="0"/>
    <n v="97.350999999999999"/>
    <n v="12516.10333"/>
    <s v=""/>
    <n v="39.874000000000002"/>
    <n v="39.874377000000003"/>
    <m/>
    <m/>
    <n v="29.853000000000002"/>
    <n v="29.708707"/>
    <n v="8.4385000000000002E-2"/>
    <n v="6.0367999999999998E-2"/>
    <x v="1"/>
  </r>
  <r>
    <d v="2022-02-01T00:00:00"/>
    <x v="4"/>
    <s v="Warehouse"/>
    <x v="14"/>
    <x v="1"/>
    <s v="1525 West Blancke Street"/>
    <s v="Linden"/>
    <s v="NJ"/>
    <s v="USA"/>
    <x v="0"/>
    <n v="107.251"/>
    <n v="13050.69333"/>
    <s v=""/>
    <n v="43.929000000000002"/>
    <n v="43.929355999999999"/>
    <m/>
    <m/>
    <n v="32.889000000000003"/>
    <n v="32.729900000000001"/>
    <n v="9.2966999999999994E-2"/>
    <n v="6.6506999999999997E-2"/>
    <x v="1"/>
  </r>
  <r>
    <d v="2022-03-01T00:00:00"/>
    <x v="4"/>
    <s v="Warehouse"/>
    <x v="14"/>
    <x v="1"/>
    <s v="1525 West Blancke Street"/>
    <s v="Linden"/>
    <s v="NJ"/>
    <s v="USA"/>
    <x v="0"/>
    <n v="99.597999999999999"/>
    <n v="14213.84333"/>
    <s v=""/>
    <n v="40.795000000000002"/>
    <n v="40.794733999999998"/>
    <m/>
    <m/>
    <n v="30.542999999999999"/>
    <n v="30.394425999999999"/>
    <n v="8.6332999999999993E-2"/>
    <n v="6.1761000000000003E-2"/>
    <x v="1"/>
  </r>
  <r>
    <d v="2022-04-01T00:00:00"/>
    <x v="4"/>
    <s v="Warehouse"/>
    <x v="14"/>
    <x v="1"/>
    <s v="1525 West Blancke Street"/>
    <s v="Linden"/>
    <s v="NJ"/>
    <s v="USA"/>
    <x v="0"/>
    <n v="96.251000000000005"/>
    <n v="13942.383330000001"/>
    <s v=""/>
    <n v="39.423999999999999"/>
    <n v="39.423822999999999"/>
    <m/>
    <m/>
    <n v="29.515999999999998"/>
    <n v="29.373018999999999"/>
    <n v="8.3432000000000006E-2"/>
    <n v="5.9686000000000003E-2"/>
    <x v="1"/>
  </r>
  <r>
    <d v="2022-05-01T00:00:00"/>
    <x v="4"/>
    <s v="Warehouse"/>
    <x v="14"/>
    <x v="1"/>
    <s v="1525 West Blancke Street"/>
    <s v="Linden"/>
    <s v="NJ"/>
    <s v="USA"/>
    <x v="0"/>
    <n v="107.337"/>
    <n v="17618.463329999999"/>
    <s v=""/>
    <n v="43.965000000000003"/>
    <n v="43.964582"/>
    <m/>
    <m/>
    <n v="32.915999999999997"/>
    <n v="32.756144999999997"/>
    <n v="9.3040999999999999E-2"/>
    <n v="6.6559999999999994E-2"/>
    <x v="1"/>
  </r>
  <r>
    <d v="2022-06-01T00:00:00"/>
    <x v="4"/>
    <s v="Warehouse"/>
    <x v="14"/>
    <x v="1"/>
    <s v="1525 West Blancke Street"/>
    <s v="Linden"/>
    <s v="NJ"/>
    <s v="USA"/>
    <x v="0"/>
    <n v="104.979"/>
    <n v="18045.490000000002"/>
    <s v=""/>
    <n v="42.999000000000002"/>
    <n v="42.998759"/>
    <m/>
    <m/>
    <n v="32.192999999999998"/>
    <n v="32.036552"/>
    <n v="9.0996999999999995E-2"/>
    <n v="6.5098000000000003E-2"/>
    <x v="1"/>
  </r>
  <r>
    <d v="2022-07-01T00:00:00"/>
    <x v="4"/>
    <s v="Warehouse"/>
    <x v="14"/>
    <x v="1"/>
    <s v="1525 West Blancke Street"/>
    <s v="Linden"/>
    <s v="NJ"/>
    <s v="USA"/>
    <x v="0"/>
    <n v="116.724"/>
    <n v="19123.904999999999"/>
    <s v=""/>
    <n v="47.808999999999997"/>
    <n v="47.809440000000002"/>
    <m/>
    <m/>
    <n v="35.793999999999997"/>
    <n v="35.620786000000003"/>
    <n v="0.101178"/>
    <n v="7.2381000000000001E-2"/>
    <x v="1"/>
  </r>
  <r>
    <d v="2022-08-01T00:00:00"/>
    <x v="4"/>
    <s v="Warehouse"/>
    <x v="14"/>
    <x v="1"/>
    <s v="1525 West Blancke Street"/>
    <s v="Linden"/>
    <s v="NJ"/>
    <s v="USA"/>
    <x v="0"/>
    <n v="105.44499999999999"/>
    <n v="17941.014999999999"/>
    <s v=""/>
    <n v="43.19"/>
    <n v="43.189630000000001"/>
    <m/>
    <m/>
    <n v="32.335999999999999"/>
    <n v="32.178761000000002"/>
    <n v="9.1400999999999996E-2"/>
    <n v="6.5387000000000001E-2"/>
    <x v="1"/>
  </r>
  <r>
    <d v="2022-09-01T00:00:00"/>
    <x v="4"/>
    <s v="Warehouse"/>
    <x v="14"/>
    <x v="1"/>
    <s v="1525 West Blancke Street"/>
    <s v="Linden"/>
    <s v="NJ"/>
    <s v="USA"/>
    <x v="0"/>
    <n v="75.994"/>
    <n v="11101.745000000001"/>
    <s v=""/>
    <n v="31.126999999999999"/>
    <n v="31.12668"/>
    <m/>
    <m/>
    <n v="23.303999999999998"/>
    <n v="23.191168999999999"/>
    <n v="6.5873000000000001E-2"/>
    <n v="4.7123999999999999E-2"/>
    <x v="1"/>
  </r>
  <r>
    <d v="2022-10-01T00:00:00"/>
    <x v="4"/>
    <s v="Warehouse"/>
    <x v="14"/>
    <x v="1"/>
    <s v="1525 West Blancke Street"/>
    <s v="Linden"/>
    <s v="NJ"/>
    <s v="USA"/>
    <x v="0"/>
    <n v="60.276000000000003"/>
    <n v="10109.344999999999"/>
    <s v=""/>
    <n v="24.689"/>
    <n v="24.688683000000001"/>
    <m/>
    <m/>
    <n v="18.484000000000002"/>
    <n v="18.394490000000001"/>
    <n v="5.2248000000000003E-2"/>
    <n v="3.7378000000000002E-2"/>
    <x v="1"/>
  </r>
  <r>
    <d v="2022-11-01T00:00:00"/>
    <x v="4"/>
    <s v="Warehouse"/>
    <x v="14"/>
    <x v="1"/>
    <s v="1525 West Blancke Street"/>
    <s v="Linden"/>
    <s v="NJ"/>
    <s v="USA"/>
    <x v="0"/>
    <n v="68.7"/>
    <n v="10762.905000000001"/>
    <s v=""/>
    <n v="28.138999999999999"/>
    <n v="28.139102000000001"/>
    <m/>
    <m/>
    <n v="21.067"/>
    <n v="20.965250999999999"/>
    <n v="5.9549999999999999E-2"/>
    <n v="4.2601E-2"/>
    <x v="1"/>
  </r>
  <r>
    <d v="2022-12-01T00:00:00"/>
    <x v="4"/>
    <s v="Warehouse"/>
    <x v="14"/>
    <x v="1"/>
    <s v="1525 West Blancke Street"/>
    <s v="Linden"/>
    <s v="NJ"/>
    <s v="USA"/>
    <x v="0"/>
    <n v="67.337999999999994"/>
    <n v="11494.115"/>
    <s v=""/>
    <n v="27.581"/>
    <n v="27.581235"/>
    <m/>
    <m/>
    <n v="20.65"/>
    <n v="20.549607999999999"/>
    <n v="5.8369999999999998E-2"/>
    <n v="4.1757000000000002E-2"/>
    <x v="1"/>
  </r>
  <r>
    <d v="2023-01-01T00:00:00"/>
    <x v="4"/>
    <s v="Warehouse"/>
    <x v="14"/>
    <x v="1"/>
    <s v="1525 West Blancke Street"/>
    <s v="Linden"/>
    <s v="NJ"/>
    <s v="USA"/>
    <x v="0"/>
    <n v="54.201999999999998"/>
    <n v="8912.36"/>
    <s v=""/>
    <n v="16.545000000000002"/>
    <n v="16.544736"/>
    <m/>
    <m/>
    <n v="16.620999999999999"/>
    <n v="16.540880999999999"/>
    <n v="4.6982999999999997E-2"/>
    <n v="3.3611000000000002E-2"/>
    <x v="0"/>
  </r>
  <r>
    <d v="2023-01-01T00:00:00"/>
    <x v="10"/>
    <s v="Warehouse"/>
    <x v="14"/>
    <x v="2"/>
    <s v="1525 West Blancke Street"/>
    <s v="Linden"/>
    <s v="NJ"/>
    <s v="USA"/>
    <x v="3"/>
    <n v="18.660789999999999"/>
    <m/>
    <s v=""/>
    <n v="9.7100000000000009"/>
    <n v="9.7098569999999995"/>
    <m/>
    <m/>
    <n v="9.7100000000000009"/>
    <n v="9.7098569999999995"/>
    <m/>
    <m/>
    <x v="0"/>
  </r>
  <r>
    <d v="2023-12-01T00:00:00"/>
    <x v="12"/>
    <s v="Warehouse"/>
    <x v="14"/>
    <x v="2"/>
    <s v="1525 West Blancke Street"/>
    <s v="Linden"/>
    <s v="NJ"/>
    <s v="USA"/>
    <x v="3"/>
    <n v="0"/>
    <n v="8.5"/>
    <s v=""/>
    <n v="0"/>
    <n v="0"/>
    <m/>
    <m/>
    <n v="0"/>
    <n v="0"/>
    <m/>
    <m/>
    <x v="0"/>
  </r>
  <r>
    <d v="2022-01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2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3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4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5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6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7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8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9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10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11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12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3-04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189999999999999"/>
    <m/>
    <m/>
    <n v="0.44600000000000001"/>
    <n v="0.446322"/>
    <m/>
    <m/>
    <n v="0.44600000000000001"/>
    <n v="0.446322"/>
    <m/>
    <m/>
    <x v="0"/>
  </r>
  <r>
    <d v="2023-05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549999999999999"/>
    <m/>
    <m/>
    <n v="0.46200000000000002"/>
    <n v="0.46209"/>
    <m/>
    <m/>
    <n v="0.46200000000000002"/>
    <n v="0.46209"/>
    <m/>
    <m/>
    <x v="0"/>
  </r>
  <r>
    <d v="2023-06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780000000000001"/>
    <m/>
    <m/>
    <n v="0.47199999999999998"/>
    <n v="0.47216399999999997"/>
    <m/>
    <m/>
    <n v="0.47199999999999998"/>
    <n v="0.47216399999999997"/>
    <m/>
    <m/>
    <x v="0"/>
  </r>
  <r>
    <d v="2023-07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91500000000000004"/>
    <m/>
    <m/>
    <n v="0.40100000000000002"/>
    <n v="0.40077000000000002"/>
    <m/>
    <m/>
    <n v="0.40100000000000002"/>
    <n v="0.40077000000000002"/>
    <m/>
    <m/>
    <x v="0"/>
  </r>
  <r>
    <d v="2023-08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149999999999999"/>
    <m/>
    <m/>
    <n v="0.44500000000000001"/>
    <n v="0.44457000000000002"/>
    <m/>
    <m/>
    <n v="0.44500000000000001"/>
    <n v="0.44457000000000002"/>
    <m/>
    <m/>
    <x v="0"/>
  </r>
  <r>
    <d v="2023-09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88100000000000001"/>
    <m/>
    <m/>
    <n v="0.38600000000000001"/>
    <n v="0.385878"/>
    <m/>
    <m/>
    <n v="0.38600000000000001"/>
    <n v="0.385878"/>
    <m/>
    <m/>
    <x v="0"/>
  </r>
  <r>
    <d v="2023-10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88100000000000001"/>
    <m/>
    <m/>
    <n v="0.38600000000000001"/>
    <n v="0.385878"/>
    <m/>
    <m/>
    <n v="0.38600000000000001"/>
    <n v="0.385878"/>
    <m/>
    <m/>
    <x v="0"/>
  </r>
  <r>
    <d v="2023-11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81599999999999995"/>
    <m/>
    <m/>
    <n v="0.35699999999999998"/>
    <n v="0.357408"/>
    <m/>
    <m/>
    <n v="0.35699999999999998"/>
    <n v="0.357408"/>
    <m/>
    <m/>
    <x v="0"/>
  </r>
  <r>
    <d v="2023-12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71699999999999997"/>
    <n v="159.42764500000001"/>
    <m/>
    <n v="0.314"/>
    <n v="0.31404599999999999"/>
    <m/>
    <m/>
    <n v="0.314"/>
    <n v="0.31404599999999999"/>
    <m/>
    <m/>
    <x v="0"/>
  </r>
  <r>
    <d v="2022-01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1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2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2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3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3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4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4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5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5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6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6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7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7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8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8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9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9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10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10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11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11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12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12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1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2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3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4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5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6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7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8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9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10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11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12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3-01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2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3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4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5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6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7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8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9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10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11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12-01T00:00:00"/>
    <x v="4"/>
    <s v="Warehouse"/>
    <x v="16"/>
    <x v="1"/>
    <s v="Rhenus Prolog Logistics Ltd, B5 &amp; B6,Arham Logipark,Vill Walshind_x000a_"/>
    <s v="Tal Bhiwandi Dist Thane"/>
    <s v="IND"/>
    <s v="India"/>
    <x v="0"/>
    <n v="0.05"/>
    <m/>
    <m/>
    <n v="3.5999999999999997E-2"/>
    <n v="3.5645000000000003E-2"/>
    <n v="1.56E-4"/>
    <n v="1.7E-5"/>
    <n v="3.5999999999999997E-2"/>
    <n v="3.5645000000000003E-2"/>
    <n v="1.56E-4"/>
    <n v="1.7E-5"/>
    <x v="0"/>
  </r>
  <r>
    <d v="2022-01-01T00:00:00"/>
    <x v="8"/>
    <s v="Food"/>
    <x v="17"/>
    <x v="0"/>
    <s v="563 Napor Blvd"/>
    <s v="Pittsburgh"/>
    <s v="PA"/>
    <s v="USA"/>
    <x v="0"/>
    <n v="75.834249999999997"/>
    <n v="2334.98"/>
    <s v=""/>
    <n v="13.744"/>
    <n v="13.729657"/>
    <n v="7.064E-3"/>
    <n v="7.711E-3"/>
    <n v="13.744"/>
    <n v="13.729657"/>
    <n v="7.064E-3"/>
    <n v="7.711E-3"/>
    <x v="1"/>
  </r>
  <r>
    <d v="2022-01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2-01T00:00:00"/>
    <x v="8"/>
    <s v="Food"/>
    <x v="17"/>
    <x v="0"/>
    <s v="563 Napor Blvd"/>
    <s v="Pittsburgh"/>
    <s v="PA"/>
    <s v="USA"/>
    <x v="0"/>
    <n v="41.525416"/>
    <n v="1296.6099999999999"/>
    <s v=""/>
    <n v="7.5259999999999998"/>
    <n v="7.518103"/>
    <n v="3.8679999999999999E-3"/>
    <n v="4.2220000000000001E-3"/>
    <n v="7.5259999999999998"/>
    <n v="7.518103"/>
    <n v="3.8679999999999999E-3"/>
    <n v="4.2220000000000001E-3"/>
    <x v="1"/>
  </r>
  <r>
    <d v="2022-02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3-01T00:00:00"/>
    <x v="8"/>
    <s v="Food"/>
    <x v="17"/>
    <x v="0"/>
    <s v="563 Napor Blvd"/>
    <s v="Pittsburgh"/>
    <s v="PA"/>
    <s v="USA"/>
    <x v="0"/>
    <n v="27.092251999999998"/>
    <n v="865.45"/>
    <s v=""/>
    <n v="4.91"/>
    <n v="4.9050039999999999"/>
    <n v="2.5240000000000002E-3"/>
    <n v="2.7550000000000001E-3"/>
    <n v="4.91"/>
    <n v="4.9050039999999999"/>
    <n v="2.5240000000000002E-3"/>
    <n v="2.7550000000000001E-3"/>
    <x v="1"/>
  </r>
  <r>
    <d v="2022-03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4-01T00:00:00"/>
    <x v="8"/>
    <s v="Food"/>
    <x v="17"/>
    <x v="0"/>
    <s v="563 Napor Blvd"/>
    <s v="Pittsburgh"/>
    <s v="PA"/>
    <s v="USA"/>
    <x v="0"/>
    <n v="13.080055"/>
    <n v="441.76"/>
    <s v=""/>
    <n v="2.371"/>
    <n v="2.3681209999999999"/>
    <n v="1.2179999999999999E-3"/>
    <n v="1.33E-3"/>
    <n v="2.371"/>
    <n v="2.3681209999999999"/>
    <n v="1.2179999999999999E-3"/>
    <n v="1.33E-3"/>
    <x v="1"/>
  </r>
  <r>
    <d v="2022-04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5-01T00:00:00"/>
    <x v="8"/>
    <s v="Food"/>
    <x v="17"/>
    <x v="0"/>
    <s v="563 Napor Blvd"/>
    <s v="Pittsburgh"/>
    <s v="PA"/>
    <s v="USA"/>
    <x v="0"/>
    <n v="6.0137999999999997E-2"/>
    <n v="41.62"/>
    <s v=""/>
    <n v="1.0999999999999999E-2"/>
    <n v="1.0888E-2"/>
    <n v="6.0000000000000002E-6"/>
    <n v="6.0000000000000002E-6"/>
    <n v="1.0999999999999999E-2"/>
    <n v="1.0888E-2"/>
    <n v="6.0000000000000002E-6"/>
    <n v="6.0000000000000002E-6"/>
    <x v="1"/>
  </r>
  <r>
    <d v="2022-05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6-01T00:00:00"/>
    <x v="8"/>
    <s v="Food"/>
    <x v="17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1"/>
  </r>
  <r>
    <d v="2022-06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7-01T00:00:00"/>
    <x v="8"/>
    <s v="Food"/>
    <x v="17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1"/>
  </r>
  <r>
    <d v="2022-07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8-01T00:00:00"/>
    <x v="8"/>
    <s v="Food"/>
    <x v="17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1"/>
  </r>
  <r>
    <d v="2022-08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9-01T00:00:00"/>
    <x v="8"/>
    <s v="Food"/>
    <x v="17"/>
    <x v="0"/>
    <s v="563 Napor Blvd"/>
    <s v="Pittsburgh"/>
    <s v="PA"/>
    <s v="USA"/>
    <x v="0"/>
    <n v="4.4201560000000004"/>
    <n v="235.86"/>
    <s v=""/>
    <n v="0.80100000000000005"/>
    <n v="0.80026200000000003"/>
    <n v="4.1199999999999999E-4"/>
    <n v="4.4900000000000002E-4"/>
    <n v="0.80100000000000005"/>
    <n v="0.80026200000000003"/>
    <n v="4.1199999999999999E-4"/>
    <n v="4.4900000000000002E-4"/>
    <x v="1"/>
  </r>
  <r>
    <d v="2022-09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10-01T00:00:00"/>
    <x v="8"/>
    <s v="Food"/>
    <x v="17"/>
    <x v="0"/>
    <s v="563 Napor Blvd"/>
    <s v="Pittsburgh"/>
    <s v="PA"/>
    <s v="USA"/>
    <x v="0"/>
    <n v="16.89883"/>
    <n v="770.53"/>
    <s v=""/>
    <n v="3.0630000000000002"/>
    <n v="3.0595029999999999"/>
    <n v="1.5740000000000001E-3"/>
    <n v="1.7179999999999999E-3"/>
    <n v="3.0630000000000002"/>
    <n v="3.0595029999999999"/>
    <n v="1.5740000000000001E-3"/>
    <n v="1.7179999999999999E-3"/>
    <x v="1"/>
  </r>
  <r>
    <d v="2022-10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11-01T00:00:00"/>
    <x v="8"/>
    <s v="Food"/>
    <x v="17"/>
    <x v="0"/>
    <s v="563 Napor Blvd"/>
    <s v="Pittsburgh"/>
    <s v="PA"/>
    <s v="USA"/>
    <x v="0"/>
    <n v="46.907783000000002"/>
    <n v="2068.2600000000002"/>
    <s v=""/>
    <n v="8.5020000000000007"/>
    <n v="8.4925709999999999"/>
    <n v="4.3699999999999998E-3"/>
    <n v="4.7699999999999999E-3"/>
    <n v="8.5020000000000007"/>
    <n v="8.4925709999999999"/>
    <n v="4.3699999999999998E-3"/>
    <n v="4.7699999999999999E-3"/>
    <x v="1"/>
  </r>
  <r>
    <d v="2022-11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12-01T00:00:00"/>
    <x v="8"/>
    <s v="Food"/>
    <x v="17"/>
    <x v="0"/>
    <s v="563 Napor Blvd"/>
    <s v="Pittsburgh"/>
    <s v="PA"/>
    <s v="USA"/>
    <x v="0"/>
    <n v="62.333227000000001"/>
    <n v="2583.88"/>
    <s v=""/>
    <n v="11.297000000000001"/>
    <n v="11.285321"/>
    <n v="5.8060000000000004E-3"/>
    <n v="6.3379999999999999E-3"/>
    <n v="11.297000000000001"/>
    <n v="11.285321"/>
    <n v="5.8060000000000004E-3"/>
    <n v="6.3379999999999999E-3"/>
    <x v="1"/>
  </r>
  <r>
    <d v="2022-12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3-01-01T00:00:00"/>
    <x v="8"/>
    <s v="Food"/>
    <x v="17"/>
    <x v="0"/>
    <s v="563 Napor Blvd"/>
    <s v="Pittsburgh"/>
    <s v="PA"/>
    <s v="USA"/>
    <x v="0"/>
    <n v="47.118267000000003"/>
    <n v="1848.5"/>
    <s v=""/>
    <n v="8.5399999999999991"/>
    <n v="8.5306789999999992"/>
    <n v="4.3889999999999997E-3"/>
    <n v="4.7910000000000001E-3"/>
    <n v="8.5399999999999991"/>
    <n v="8.5306789999999992"/>
    <n v="4.3889999999999997E-3"/>
    <n v="4.7910000000000001E-3"/>
    <x v="0"/>
  </r>
  <r>
    <d v="2023-02-01T00:00:00"/>
    <x v="8"/>
    <s v="Food"/>
    <x v="17"/>
    <x v="0"/>
    <s v="563 Napor Blvd"/>
    <s v="Pittsburgh"/>
    <s v="PA"/>
    <s v="USA"/>
    <x v="0"/>
    <n v="39.480718000000003"/>
    <n v="1555.33"/>
    <s v=""/>
    <n v="7.1559999999999997"/>
    <n v="7.1479140000000001"/>
    <n v="3.6779999999999998E-3"/>
    <n v="4.0140000000000002E-3"/>
    <n v="7.1559999999999997"/>
    <n v="7.1479140000000001"/>
    <n v="3.6779999999999998E-3"/>
    <n v="4.0140000000000002E-3"/>
    <x v="0"/>
  </r>
  <r>
    <d v="2023-03-01T00:00:00"/>
    <x v="8"/>
    <s v="Food"/>
    <x v="17"/>
    <x v="0"/>
    <s v="563 Napor Blvd"/>
    <s v="Pittsburgh"/>
    <s v="PA"/>
    <s v="USA"/>
    <x v="0"/>
    <n v="23.514030000000002"/>
    <n v="759.06"/>
    <s v=""/>
    <n v="4.2619999999999996"/>
    <n v="4.257174"/>
    <n v="2.1900000000000001E-3"/>
    <n v="2.3909999999999999E-3"/>
    <n v="4.2619999999999996"/>
    <n v="4.257174"/>
    <n v="2.1900000000000001E-3"/>
    <n v="2.3909999999999999E-3"/>
    <x v="0"/>
  </r>
  <r>
    <d v="2023-04-01T00:00:00"/>
    <x v="8"/>
    <s v="Food"/>
    <x v="17"/>
    <x v="0"/>
    <s v="563 Napor Blvd"/>
    <s v="Pittsburgh"/>
    <s v="PA"/>
    <s v="USA"/>
    <x v="0"/>
    <n v="11.125564000000001"/>
    <n v="303.86"/>
    <s v=""/>
    <n v="2.016"/>
    <n v="2.0142639999999998"/>
    <n v="1.036E-3"/>
    <n v="1.1310000000000001E-3"/>
    <n v="2.016"/>
    <n v="2.0142639999999998"/>
    <n v="1.036E-3"/>
    <n v="1.1310000000000001E-3"/>
    <x v="0"/>
  </r>
  <r>
    <d v="2023-05-01T00:00:00"/>
    <x v="8"/>
    <s v="Food"/>
    <x v="17"/>
    <x v="0"/>
    <s v="563 Napor Blvd"/>
    <s v="Pittsburgh"/>
    <s v="PA"/>
    <s v="USA"/>
    <x v="0"/>
    <n v="0.36082900000000001"/>
    <n v="48.43"/>
    <s v=""/>
    <n v="6.5000000000000002E-2"/>
    <n v="6.5326999999999996E-2"/>
    <n v="3.4E-5"/>
    <n v="3.6999999999999998E-5"/>
    <n v="6.5000000000000002E-2"/>
    <n v="6.5326999999999996E-2"/>
    <n v="3.4E-5"/>
    <n v="3.6999999999999998E-5"/>
    <x v="0"/>
  </r>
  <r>
    <d v="2023-06-01T00:00:00"/>
    <x v="8"/>
    <s v="Food"/>
    <x v="17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0"/>
  </r>
  <r>
    <d v="2023-07-01T00:00:00"/>
    <x v="8"/>
    <s v="Food"/>
    <x v="17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0"/>
  </r>
  <r>
    <d v="2023-08-01T00:00:00"/>
    <x v="8"/>
    <s v="Food"/>
    <x v="17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0"/>
  </r>
  <r>
    <d v="2023-09-01T00:00:00"/>
    <x v="8"/>
    <s v="Food"/>
    <x v="17"/>
    <x v="0"/>
    <s v="563 Napor Blvd"/>
    <s v="Pittsburgh"/>
    <s v="PA"/>
    <s v="USA"/>
    <x v="0"/>
    <n v="1.8642840000000001"/>
    <n v="72.7"/>
    <s v=""/>
    <n v="0.33800000000000002"/>
    <n v="0.33752500000000002"/>
    <n v="1.74E-4"/>
    <n v="1.9000000000000001E-4"/>
    <n v="0.33800000000000002"/>
    <n v="0.33752500000000002"/>
    <n v="1.74E-4"/>
    <n v="1.9000000000000001E-4"/>
    <x v="0"/>
  </r>
  <r>
    <d v="2023-10-01T00:00:00"/>
    <x v="8"/>
    <s v="Food"/>
    <x v="17"/>
    <x v="0"/>
    <s v="563 Napor Blvd"/>
    <s v="Pittsburgh"/>
    <s v="PA"/>
    <s v="USA"/>
    <x v="0"/>
    <n v="19.304357"/>
    <n v="291.43"/>
    <s v=""/>
    <n v="3.4990000000000001"/>
    <n v="3.4950199999999998"/>
    <n v="1.7979999999999999E-3"/>
    <n v="1.9629999999999999E-3"/>
    <n v="3.4990000000000001"/>
    <n v="3.4950199999999998"/>
    <n v="1.7979999999999999E-3"/>
    <n v="1.9629999999999999E-3"/>
    <x v="0"/>
  </r>
  <r>
    <d v="2023-11-01T00:00:00"/>
    <x v="8"/>
    <s v="Food"/>
    <x v="17"/>
    <x v="0"/>
    <s v="563 Napor Blvd"/>
    <s v="Pittsburgh"/>
    <s v="PA"/>
    <s v="USA"/>
    <x v="0"/>
    <n v="44.141427"/>
    <n v="612.35"/>
    <s v=""/>
    <n v="8"/>
    <n v="7.991727"/>
    <n v="4.1120000000000002E-3"/>
    <n v="4.4879999999999998E-3"/>
    <n v="8"/>
    <n v="7.991727"/>
    <n v="4.1120000000000002E-3"/>
    <n v="4.4879999999999998E-3"/>
    <x v="0"/>
  </r>
  <r>
    <d v="2023-12-01T00:00:00"/>
    <x v="8"/>
    <s v="Food"/>
    <x v="17"/>
    <x v="0"/>
    <s v="563 Napor Blvd"/>
    <s v="Pittsburgh"/>
    <s v="PA"/>
    <s v="USA"/>
    <x v="0"/>
    <n v="60.559151"/>
    <n v="1228.1500000000001"/>
    <s v=""/>
    <n v="10.976000000000001"/>
    <n v="10.964127"/>
    <n v="5.6410000000000002E-3"/>
    <n v="6.1580000000000003E-3"/>
    <n v="10.976000000000001"/>
    <n v="10.964127"/>
    <n v="5.6410000000000002E-3"/>
    <n v="6.1580000000000003E-3"/>
    <x v="0"/>
  </r>
  <r>
    <d v="2022-01-01T00:00:00"/>
    <x v="4"/>
    <s v="Food"/>
    <x v="17"/>
    <x v="1"/>
    <s v="563 Napor Blvd"/>
    <s v="Pittsburgh"/>
    <s v="PA"/>
    <s v="USA"/>
    <x v="0"/>
    <n v="124.66524"/>
    <n v="13388.83"/>
    <s v=""/>
    <n v="59.26"/>
    <n v="59.260195000000003"/>
    <m/>
    <m/>
    <n v="59.521999999999998"/>
    <n v="59.155836999999998"/>
    <n v="0.21612300000000001"/>
    <n v="0.14987800000000001"/>
    <x v="1"/>
  </r>
  <r>
    <d v="2022-02-01T00:00:00"/>
    <x v="4"/>
    <s v="Food"/>
    <x v="17"/>
    <x v="1"/>
    <s v="563 Napor Blvd"/>
    <s v="Pittsburgh"/>
    <s v="PA"/>
    <s v="USA"/>
    <x v="0"/>
    <n v="126.23650000000001"/>
    <n v="13529.52"/>
    <s v=""/>
    <n v="60.006999999999998"/>
    <n v="60.007100999999999"/>
    <m/>
    <m/>
    <n v="60.271999999999998"/>
    <n v="59.901428000000003"/>
    <n v="0.21884700000000001"/>
    <n v="0.15176700000000001"/>
    <x v="1"/>
  </r>
  <r>
    <d v="2022-03-01T00:00:00"/>
    <x v="4"/>
    <s v="Food"/>
    <x v="17"/>
    <x v="1"/>
    <s v="563 Napor Blvd"/>
    <s v="Pittsburgh"/>
    <s v="PA"/>
    <s v="USA"/>
    <x v="0"/>
    <n v="211.87961000000001"/>
    <n v="22595.54"/>
    <s v=""/>
    <n v="100.718"/>
    <n v="100.717947"/>
    <m/>
    <m/>
    <n v="101.163"/>
    <n v="100.540581"/>
    <n v="0.36732100000000001"/>
    <n v="0.25473200000000001"/>
    <x v="1"/>
  </r>
  <r>
    <d v="2022-04-01T00:00:00"/>
    <x v="4"/>
    <s v="Food"/>
    <x v="17"/>
    <x v="1"/>
    <s v="563 Napor Blvd"/>
    <s v="Pittsburgh"/>
    <s v="PA"/>
    <s v="USA"/>
    <x v="0"/>
    <n v="9.6556499999999996"/>
    <n v="1232.33"/>
    <s v=""/>
    <n v="4.59"/>
    <n v="4.5898580000000004"/>
    <m/>
    <m/>
    <n v="4.6100000000000003"/>
    <n v="4.5817750000000004"/>
    <n v="1.6739E-2"/>
    <n v="1.1608E-2"/>
    <x v="1"/>
  </r>
  <r>
    <d v="2022-05-01T00:00:00"/>
    <x v="4"/>
    <s v="Food"/>
    <x v="17"/>
    <x v="1"/>
    <s v="563 Napor Blvd"/>
    <s v="Pittsburgh"/>
    <s v="PA"/>
    <s v="USA"/>
    <x v="0"/>
    <n v="9.7034000000000002"/>
    <n v="1238.32"/>
    <s v=""/>
    <n v="4.6130000000000004"/>
    <n v="4.6125559999999997"/>
    <m/>
    <m/>
    <n v="4.633"/>
    <n v="4.6044330000000002"/>
    <n v="1.6822E-2"/>
    <n v="1.1665999999999999E-2"/>
    <x v="1"/>
  </r>
  <r>
    <d v="2022-06-01T00:00:00"/>
    <x v="4"/>
    <s v="Food"/>
    <x v="17"/>
    <x v="1"/>
    <s v="563 Napor Blvd"/>
    <s v="Pittsburgh"/>
    <s v="PA"/>
    <s v="USA"/>
    <x v="0"/>
    <n v="12.07025"/>
    <n v="1570.69"/>
    <s v=""/>
    <n v="5.7380000000000004"/>
    <n v="5.7376490000000002"/>
    <m/>
    <m/>
    <n v="5.7629999999999999"/>
    <n v="5.7275450000000001"/>
    <n v="2.0924999999999999E-2"/>
    <n v="1.4511E-2"/>
    <x v="1"/>
  </r>
  <r>
    <d v="2022-07-01T00:00:00"/>
    <x v="4"/>
    <s v="Food"/>
    <x v="17"/>
    <x v="1"/>
    <s v="563 Napor Blvd"/>
    <s v="Pittsburgh"/>
    <s v="PA"/>
    <s v="USA"/>
    <x v="0"/>
    <n v="12.1874"/>
    <n v="1611"/>
    <s v=""/>
    <n v="5.7930000000000001"/>
    <n v="5.7933370000000002"/>
    <m/>
    <m/>
    <n v="5.819"/>
    <n v="5.7831349999999997"/>
    <n v="2.1128000000000001E-2"/>
    <n v="1.4652E-2"/>
    <x v="1"/>
  </r>
  <r>
    <d v="2022-08-01T00:00:00"/>
    <x v="4"/>
    <s v="Food"/>
    <x v="17"/>
    <x v="1"/>
    <s v="563 Napor Blvd"/>
    <s v="Pittsburgh"/>
    <s v="PA"/>
    <s v="USA"/>
    <x v="0"/>
    <n v="11.748200000000001"/>
    <n v="1575.58"/>
    <s v=""/>
    <n v="5.585"/>
    <n v="5.5845609999999999"/>
    <m/>
    <m/>
    <n v="5.609"/>
    <n v="5.5747260000000001"/>
    <n v="2.0367E-2"/>
    <n v="1.4123999999999999E-2"/>
    <x v="1"/>
  </r>
  <r>
    <d v="2022-09-01T00:00:00"/>
    <x v="4"/>
    <s v="Food"/>
    <x v="17"/>
    <x v="1"/>
    <s v="563 Napor Blvd"/>
    <s v="Pittsburgh"/>
    <s v="PA"/>
    <s v="USA"/>
    <x v="0"/>
    <n v="12.058149999999999"/>
    <n v="1594.05"/>
    <s v=""/>
    <n v="5.7320000000000002"/>
    <n v="5.731897"/>
    <m/>
    <m/>
    <n v="5.7569999999999997"/>
    <n v="5.7218030000000004"/>
    <n v="2.0903999999999999E-2"/>
    <n v="1.4496999999999999E-2"/>
    <x v="1"/>
  </r>
  <r>
    <d v="2022-10-01T00:00:00"/>
    <x v="4"/>
    <s v="Food"/>
    <x v="17"/>
    <x v="1"/>
    <s v="563 Napor Blvd"/>
    <s v="Pittsburgh"/>
    <s v="PA"/>
    <s v="USA"/>
    <x v="0"/>
    <n v="9.1091999999999995"/>
    <n v="1273.76"/>
    <s v=""/>
    <n v="4.33"/>
    <n v="4.3300999999999998"/>
    <m/>
    <m/>
    <n v="4.3490000000000002"/>
    <n v="4.3224749999999998"/>
    <n v="1.5792E-2"/>
    <n v="1.0952E-2"/>
    <x v="1"/>
  </r>
  <r>
    <d v="2022-11-01T00:00:00"/>
    <x v="4"/>
    <s v="Food"/>
    <x v="17"/>
    <x v="1"/>
    <s v="563 Napor Blvd"/>
    <s v="Pittsburgh"/>
    <s v="PA"/>
    <s v="USA"/>
    <x v="0"/>
    <n v="10.1333"/>
    <n v="1394.54"/>
    <s v=""/>
    <n v="4.8170000000000002"/>
    <n v="4.8169110000000002"/>
    <m/>
    <m/>
    <n v="4.8380000000000001"/>
    <n v="4.8084280000000001"/>
    <n v="1.7566999999999999E-2"/>
    <n v="1.2182999999999999E-2"/>
    <x v="1"/>
  </r>
  <r>
    <d v="2022-12-01T00:00:00"/>
    <x v="4"/>
    <s v="Food"/>
    <x v="17"/>
    <x v="1"/>
    <s v="563 Napor Blvd"/>
    <s v="Pittsburgh"/>
    <s v="PA"/>
    <s v="USA"/>
    <x v="0"/>
    <n v="10.1341"/>
    <n v="1587.4"/>
    <s v=""/>
    <n v="4.8170000000000002"/>
    <n v="4.817291"/>
    <m/>
    <m/>
    <n v="4.8390000000000004"/>
    <n v="4.808808"/>
    <n v="1.7569000000000001E-2"/>
    <n v="1.2184E-2"/>
    <x v="1"/>
  </r>
  <r>
    <d v="2023-01-01T00:00:00"/>
    <x v="4"/>
    <s v="Food"/>
    <x v="17"/>
    <x v="1"/>
    <s v="563 Napor Blvd"/>
    <s v="Pittsburgh"/>
    <s v="PA"/>
    <s v="USA"/>
    <x v="0"/>
    <n v="10.932399999999999"/>
    <n v="1732.97"/>
    <s v=""/>
    <n v="5.1970000000000001"/>
    <n v="5.1967670000000004"/>
    <m/>
    <m/>
    <n v="5.22"/>
    <n v="5.1876150000000001"/>
    <n v="1.8953000000000001E-2"/>
    <n v="1.3143E-2"/>
    <x v="0"/>
  </r>
  <r>
    <d v="2023-02-01T00:00:00"/>
    <x v="4"/>
    <s v="Food"/>
    <x v="17"/>
    <x v="1"/>
    <s v="563 Napor Blvd"/>
    <s v="Pittsburgh"/>
    <s v="PA"/>
    <s v="USA"/>
    <x v="0"/>
    <n v="9.5213000000000001"/>
    <n v="1522.04"/>
    <s v=""/>
    <n v="4.5259999999999998"/>
    <n v="4.5259939999999999"/>
    <m/>
    <m/>
    <n v="4.5460000000000003"/>
    <n v="4.5180230000000003"/>
    <n v="1.6506E-2"/>
    <n v="1.1447000000000001E-2"/>
    <x v="0"/>
  </r>
  <r>
    <d v="2023-03-01T00:00:00"/>
    <x v="4"/>
    <s v="Food"/>
    <x v="17"/>
    <x v="1"/>
    <s v="563 Napor Blvd"/>
    <s v="Pittsburgh"/>
    <s v="PA"/>
    <s v="USA"/>
    <x v="0"/>
    <n v="9.5334000000000003"/>
    <n v="1565.34"/>
    <s v=""/>
    <n v="4.532"/>
    <n v="4.5317460000000001"/>
    <m/>
    <m/>
    <n v="4.5519999999999996"/>
    <n v="4.523765"/>
    <n v="1.6527E-2"/>
    <n v="1.1461000000000001E-2"/>
    <x v="0"/>
  </r>
  <r>
    <d v="2023-04-01T00:00:00"/>
    <x v="4"/>
    <s v="Food"/>
    <x v="17"/>
    <x v="1"/>
    <s v="563 Napor Blvd"/>
    <s v="Pittsburgh"/>
    <s v="PA"/>
    <s v="USA"/>
    <x v="0"/>
    <n v="10.32865"/>
    <n v="1762.75"/>
    <s v=""/>
    <n v="4.91"/>
    <n v="4.9097710000000001"/>
    <m/>
    <m/>
    <n v="4.931"/>
    <n v="4.9011250000000004"/>
    <n v="1.7905999999999998E-2"/>
    <n v="1.2418E-2"/>
    <x v="0"/>
  </r>
  <r>
    <d v="2023-05-01T00:00:00"/>
    <x v="4"/>
    <s v="Food"/>
    <x v="17"/>
    <x v="1"/>
    <s v="563 Napor Blvd"/>
    <s v="Pittsburgh"/>
    <s v="PA"/>
    <s v="USA"/>
    <x v="0"/>
    <n v="10.9566"/>
    <n v="1794.77"/>
    <s v=""/>
    <n v="5.2080000000000002"/>
    <n v="5.2082699999999997"/>
    <m/>
    <m/>
    <n v="5.2309999999999999"/>
    <n v="5.1990980000000002"/>
    <n v="1.8995000000000001E-2"/>
    <n v="1.3173000000000001E-2"/>
    <x v="0"/>
  </r>
  <r>
    <d v="2023-06-01T00:00:00"/>
    <x v="4"/>
    <s v="Food"/>
    <x v="17"/>
    <x v="1"/>
    <s v="563 Napor Blvd"/>
    <s v="Pittsburgh"/>
    <s v="PA"/>
    <s v="USA"/>
    <x v="0"/>
    <n v="10.467449999999999"/>
    <n v="1853.38"/>
    <s v=""/>
    <n v="4.976"/>
    <n v="4.9757499999999997"/>
    <m/>
    <m/>
    <n v="4.9980000000000002"/>
    <n v="4.9669879999999997"/>
    <n v="1.8147E-2"/>
    <n v="1.2584E-2"/>
    <x v="0"/>
  </r>
  <r>
    <d v="2023-07-01T00:00:00"/>
    <x v="4"/>
    <s v="Food"/>
    <x v="17"/>
    <x v="1"/>
    <s v="563 Napor Blvd"/>
    <s v="Pittsburgh"/>
    <s v="PA"/>
    <s v="USA"/>
    <x v="0"/>
    <n v="12.0756"/>
    <n v="2143.41"/>
    <s v=""/>
    <n v="5.74"/>
    <n v="5.7401920000000004"/>
    <m/>
    <m/>
    <n v="5.766"/>
    <n v="5.7300829999999996"/>
    <n v="2.0934999999999999E-2"/>
    <n v="1.4518E-2"/>
    <x v="0"/>
  </r>
  <r>
    <d v="2023-08-01T00:00:00"/>
    <x v="4"/>
    <s v="Food"/>
    <x v="17"/>
    <x v="1"/>
    <s v="563 Napor Blvd"/>
    <s v="Pittsburgh"/>
    <s v="PA"/>
    <s v="USA"/>
    <x v="0"/>
    <n v="12.510400000000001"/>
    <n v="2203.87"/>
    <s v=""/>
    <n v="5.9470000000000001"/>
    <n v="5.9468759999999996"/>
    <m/>
    <m/>
    <n v="5.9729999999999999"/>
    <n v="5.9364039999999996"/>
    <n v="2.1687999999999999E-2"/>
    <n v="1.5041000000000001E-2"/>
    <x v="0"/>
  </r>
  <r>
    <d v="2023-09-01T00:00:00"/>
    <x v="4"/>
    <s v="Food"/>
    <x v="17"/>
    <x v="1"/>
    <s v="563 Napor Blvd"/>
    <s v="Pittsburgh"/>
    <s v="PA"/>
    <s v="USA"/>
    <x v="0"/>
    <n v="11.637449999999999"/>
    <n v="2100.16"/>
    <s v=""/>
    <n v="5.532"/>
    <n v="5.5319149999999997"/>
    <m/>
    <m/>
    <n v="5.556"/>
    <n v="5.5221739999999997"/>
    <n v="2.0174999999999998E-2"/>
    <n v="1.3991E-2"/>
    <x v="0"/>
  </r>
  <r>
    <d v="2023-10-01T00:00:00"/>
    <x v="4"/>
    <s v="Food"/>
    <x v="17"/>
    <x v="1"/>
    <s v="563 Napor Blvd"/>
    <s v="Pittsburgh"/>
    <s v="PA"/>
    <s v="USA"/>
    <x v="0"/>
    <n v="9.7694500000000009"/>
    <n v="1807.51"/>
    <s v=""/>
    <n v="4.6440000000000001"/>
    <n v="4.6439529999999998"/>
    <m/>
    <m/>
    <n v="4.6639999999999997"/>
    <n v="4.6357749999999998"/>
    <n v="1.6937000000000001E-2"/>
    <n v="1.1745E-2"/>
    <x v="0"/>
  </r>
  <r>
    <d v="2023-11-01T00:00:00"/>
    <x v="4"/>
    <s v="Food"/>
    <x v="17"/>
    <x v="1"/>
    <s v="563 Napor Blvd"/>
    <s v="Pittsburgh"/>
    <s v="PA"/>
    <s v="USA"/>
    <x v="0"/>
    <n v="9.9039999999999999"/>
    <n v="1766.11"/>
    <s v=""/>
    <n v="4.7080000000000002"/>
    <n v="4.7079120000000003"/>
    <m/>
    <m/>
    <n v="4.7290000000000001"/>
    <n v="4.6996209999999996"/>
    <n v="1.7170000000000001E-2"/>
    <n v="1.1906999999999999E-2"/>
    <x v="0"/>
  </r>
  <r>
    <d v="2023-12-01T00:00:00"/>
    <x v="4"/>
    <s v="Food"/>
    <x v="17"/>
    <x v="1"/>
    <s v="563 Napor Blvd"/>
    <s v="Pittsburgh"/>
    <s v="PA"/>
    <s v="USA"/>
    <x v="0"/>
    <n v="9.5680999999999994"/>
    <n v="1607.49"/>
    <s v=""/>
    <n v="4.548"/>
    <n v="4.5482399999999998"/>
    <m/>
    <m/>
    <n v="4.5679999999999996"/>
    <n v="4.5402310000000003"/>
    <n v="1.6587000000000001E-2"/>
    <n v="1.1502999999999999E-2"/>
    <x v="0"/>
  </r>
  <r>
    <d v="2023-01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1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2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2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3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3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4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4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5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5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6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6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7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7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8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8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9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9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10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10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11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11-01T00:00:00"/>
    <x v="17"/>
    <s v="Food"/>
    <x v="17"/>
    <x v="2"/>
    <s v="563 Napor Blvd"/>
    <s v="Pittsburgh"/>
    <s v="PA"/>
    <s v="USA"/>
    <x v="3"/>
    <n v="0"/>
    <n v="754.1"/>
    <s v=""/>
    <n v="0"/>
    <n v="0"/>
    <m/>
    <m/>
    <n v="0"/>
    <n v="0"/>
    <m/>
    <m/>
    <x v="0"/>
  </r>
  <r>
    <d v="2023-12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12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2-0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3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4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5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6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7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8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9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10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1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1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3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4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5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6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7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8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9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10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1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1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3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4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5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6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7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8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9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10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1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1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3-0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5030000000000001"/>
    <m/>
    <m/>
    <n v="9.6000000000000002E-2"/>
    <n v="9.6391000000000004E-2"/>
    <m/>
    <m/>
    <n v="9.6000000000000002E-2"/>
    <n v="9.6391000000000004E-2"/>
    <m/>
    <m/>
    <x v="0"/>
  </r>
  <r>
    <d v="2023-0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8359999999999999"/>
    <m/>
    <m/>
    <n v="0.109"/>
    <n v="0.10921400000000001"/>
    <m/>
    <m/>
    <n v="0.109"/>
    <n v="0.10921400000000001"/>
    <m/>
    <m/>
    <x v="0"/>
  </r>
  <r>
    <d v="2023-03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800000000000002"/>
    <m/>
    <m/>
    <n v="8.4000000000000005E-2"/>
    <n v="8.3951999999999999E-2"/>
    <m/>
    <m/>
    <n v="8.4000000000000005E-2"/>
    <n v="8.3951999999999999E-2"/>
    <m/>
    <m/>
    <x v="0"/>
  </r>
  <r>
    <d v="2023-04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3.488"/>
    <m/>
    <m/>
    <n v="0.13400000000000001"/>
    <n v="0.134323"/>
    <m/>
    <m/>
    <n v="0.13400000000000001"/>
    <n v="0.134323"/>
    <m/>
    <m/>
    <x v="0"/>
  </r>
  <r>
    <d v="2023-05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280000000000001"/>
    <m/>
    <m/>
    <n v="8.2000000000000003E-2"/>
    <n v="8.1948999999999994E-2"/>
    <m/>
    <m/>
    <n v="8.2000000000000003E-2"/>
    <n v="8.1948999999999994E-2"/>
    <m/>
    <m/>
    <x v="0"/>
  </r>
  <r>
    <d v="2023-06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440000000000001"/>
    <m/>
    <m/>
    <n v="8.3000000000000004E-2"/>
    <n v="8.2565E-2"/>
    <m/>
    <m/>
    <n v="8.3000000000000004E-2"/>
    <n v="8.2565E-2"/>
    <m/>
    <m/>
    <x v="0"/>
  </r>
  <r>
    <d v="2023-07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930000000000001"/>
    <m/>
    <m/>
    <n v="8.4000000000000005E-2"/>
    <n v="8.4451999999999999E-2"/>
    <m/>
    <m/>
    <n v="8.4000000000000005E-2"/>
    <n v="8.4451999999999999E-2"/>
    <m/>
    <m/>
    <x v="0"/>
  </r>
  <r>
    <d v="2023-08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5489999999999999"/>
    <m/>
    <m/>
    <n v="9.8000000000000004E-2"/>
    <n v="9.8161999999999999E-2"/>
    <m/>
    <m/>
    <n v="9.8000000000000004E-2"/>
    <n v="9.8161999999999999E-2"/>
    <m/>
    <m/>
    <x v="0"/>
  </r>
  <r>
    <d v="2023-09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5276999999999998"/>
    <m/>
    <m/>
    <n v="9.7000000000000003E-2"/>
    <n v="9.7341999999999998E-2"/>
    <m/>
    <m/>
    <n v="9.7000000000000003E-2"/>
    <n v="9.7341999999999998E-2"/>
    <m/>
    <m/>
    <x v="0"/>
  </r>
  <r>
    <d v="2023-10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1.8989"/>
    <m/>
    <m/>
    <n v="7.2999999999999995E-2"/>
    <n v="7.3126999999999998E-2"/>
    <m/>
    <m/>
    <n v="7.2999999999999995E-2"/>
    <n v="7.3126999999999998E-2"/>
    <m/>
    <m/>
    <x v="0"/>
  </r>
  <r>
    <d v="2023-1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8.7786039999999996"/>
    <m/>
    <m/>
    <n v="0.33800000000000002"/>
    <n v="0.33806399999999998"/>
    <m/>
    <m/>
    <n v="0.33800000000000002"/>
    <n v="0.33806399999999998"/>
    <m/>
    <m/>
    <x v="0"/>
  </r>
  <r>
    <d v="2023-1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3.0129999999999999"/>
    <n v="462.886799"/>
    <m/>
    <n v="0.11600000000000001"/>
    <n v="0.116031"/>
    <m/>
    <m/>
    <n v="0.11600000000000001"/>
    <n v="0.116031"/>
    <m/>
    <m/>
    <x v="0"/>
  </r>
  <r>
    <d v="2022-01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2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3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4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5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6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7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8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9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10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11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12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1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2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3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4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5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6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7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8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9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10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11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12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3-01-01T00:00:00"/>
    <x v="4"/>
    <s v="Warehouse"/>
    <x v="20"/>
    <x v="1"/>
    <s v="Room 302, Building B, No 388, North Fu Quan Rd"/>
    <s v="Shanghai"/>
    <s v="CHN"/>
    <s v="China"/>
    <x v="0"/>
    <n v="1.635"/>
    <n v="232.75917100000001"/>
    <m/>
    <n v="1.002"/>
    <n v="0.99636899999999995"/>
    <n v="4.4949999999999999E-3"/>
    <n v="7.2999999999999996E-4"/>
    <n v="1.002"/>
    <n v="0.99636899999999995"/>
    <n v="4.4949999999999999E-3"/>
    <n v="7.2999999999999996E-4"/>
    <x v="0"/>
  </r>
  <r>
    <d v="2023-02-01T00:00:00"/>
    <x v="4"/>
    <s v="Warehouse"/>
    <x v="20"/>
    <x v="1"/>
    <s v="Room 302, Building B, No 388, North Fu Quan Rd"/>
    <s v="Shanghai"/>
    <s v="CHN"/>
    <s v="China"/>
    <x v="0"/>
    <n v="2.2170000000000001"/>
    <n v="295.36958099999998"/>
    <m/>
    <n v="1.3580000000000001"/>
    <n v="1.35104"/>
    <n v="6.0949999999999997E-3"/>
    <n v="9.8999999999999999E-4"/>
    <n v="1.3580000000000001"/>
    <n v="1.35104"/>
    <n v="6.0949999999999997E-3"/>
    <n v="9.8999999999999999E-4"/>
    <x v="0"/>
  </r>
  <r>
    <d v="2023-03-01T00:00:00"/>
    <x v="4"/>
    <s v="Warehouse"/>
    <x v="20"/>
    <x v="1"/>
    <s v="Room 302, Building B, No 388, North Fu Quan Rd"/>
    <s v="Shanghai"/>
    <s v="CHN"/>
    <s v="China"/>
    <x v="0"/>
    <n v="1.327"/>
    <n v="169.52651700000001"/>
    <m/>
    <n v="0.81299999999999994"/>
    <n v="0.808674"/>
    <n v="3.6480000000000002E-3"/>
    <n v="5.9199999999999997E-4"/>
    <n v="0.81299999999999994"/>
    <n v="0.808674"/>
    <n v="3.6480000000000002E-3"/>
    <n v="5.9199999999999997E-4"/>
    <x v="0"/>
  </r>
  <r>
    <d v="2023-04-01T00:00:00"/>
    <x v="4"/>
    <s v="Warehouse"/>
    <x v="20"/>
    <x v="1"/>
    <s v="Room 302, Building B, No 388, North Fu Quan Rd"/>
    <s v="Shanghai"/>
    <s v="CHN"/>
    <s v="China"/>
    <x v="0"/>
    <n v="1.222"/>
    <n v="156.82397700000001"/>
    <m/>
    <n v="0.749"/>
    <n v="0.74468699999999999"/>
    <n v="3.359E-3"/>
    <n v="5.4600000000000004E-4"/>
    <n v="0.749"/>
    <n v="0.74468699999999999"/>
    <n v="3.359E-3"/>
    <n v="5.4600000000000004E-4"/>
    <x v="0"/>
  </r>
  <r>
    <d v="2023-05-01T00:00:00"/>
    <x v="4"/>
    <s v="Warehouse"/>
    <x v="20"/>
    <x v="1"/>
    <s v="Room 302, Building B, No 388, North Fu Quan Rd"/>
    <s v="Shanghai"/>
    <s v="CHN"/>
    <s v="China"/>
    <x v="0"/>
    <n v="3.0350000000000001"/>
    <n v="382.47020199999997"/>
    <m/>
    <n v="1.859"/>
    <n v="1.849529"/>
    <n v="8.3440000000000007E-3"/>
    <n v="1.3550000000000001E-3"/>
    <n v="1.859"/>
    <n v="1.849529"/>
    <n v="8.3440000000000007E-3"/>
    <n v="1.3550000000000001E-3"/>
    <x v="0"/>
  </r>
  <r>
    <d v="2023-06-01T00:00:00"/>
    <x v="4"/>
    <s v="Warehouse"/>
    <x v="20"/>
    <x v="1"/>
    <s v="Room 302, Building B, No 388, North Fu Quan Rd"/>
    <s v="Shanghai"/>
    <s v="CHN"/>
    <s v="China"/>
    <x v="0"/>
    <n v="4.8140000000000001"/>
    <n v="612.81815600000004"/>
    <m/>
    <n v="2.9489999999999998"/>
    <n v="2.9336519999999999"/>
    <n v="1.3233999999999999E-2"/>
    <n v="2.1489999999999999E-3"/>
    <n v="2.9489999999999998"/>
    <n v="2.9336519999999999"/>
    <n v="1.3233999999999999E-2"/>
    <n v="2.1489999999999999E-3"/>
    <x v="0"/>
  </r>
  <r>
    <d v="2023-07-01T00:00:00"/>
    <x v="4"/>
    <s v="Warehouse"/>
    <x v="20"/>
    <x v="1"/>
    <s v="Room 302, Building B, No 388, North Fu Quan Rd"/>
    <s v="Shanghai"/>
    <s v="CHN"/>
    <s v="China"/>
    <x v="0"/>
    <n v="5.1920000000000002"/>
    <n v="837.55100300000004"/>
    <m/>
    <n v="3.181"/>
    <n v="3.164005"/>
    <n v="1.4272999999999999E-2"/>
    <n v="2.3180000000000002E-3"/>
    <n v="3.181"/>
    <n v="3.164005"/>
    <n v="1.4272999999999999E-2"/>
    <n v="2.3180000000000002E-3"/>
    <x v="0"/>
  </r>
  <r>
    <d v="2023-08-01T00:00:00"/>
    <x v="4"/>
    <s v="Warehouse"/>
    <x v="20"/>
    <x v="1"/>
    <s v="Room 302, Building B, No 388, North Fu Quan Rd"/>
    <s v="Shanghai"/>
    <s v="CHN"/>
    <s v="China"/>
    <x v="0"/>
    <n v="5.5609999999999999"/>
    <n v="760.14703199999997"/>
    <m/>
    <n v="3.407"/>
    <n v="3.3888729999999998"/>
    <n v="1.5288E-2"/>
    <n v="2.4819999999999998E-3"/>
    <n v="3.407"/>
    <n v="3.3888729999999998"/>
    <n v="1.5288E-2"/>
    <n v="2.4819999999999998E-3"/>
    <x v="0"/>
  </r>
  <r>
    <d v="2023-09-01T00:00:00"/>
    <x v="4"/>
    <s v="Warehouse"/>
    <x v="20"/>
    <x v="1"/>
    <s v="Room 302, Building B, No 388, North Fu Quan Rd"/>
    <s v="Shanghai"/>
    <s v="CHN"/>
    <s v="China"/>
    <x v="0"/>
    <n v="3.09"/>
    <n v="457.90497499999998"/>
    <m/>
    <n v="1.893"/>
    <n v="1.883046"/>
    <n v="8.4950000000000008E-3"/>
    <n v="1.379E-3"/>
    <n v="1.893"/>
    <n v="1.883046"/>
    <n v="8.4950000000000008E-3"/>
    <n v="1.379E-3"/>
    <x v="0"/>
  </r>
  <r>
    <d v="2023-10-01T00:00:00"/>
    <x v="4"/>
    <s v="Warehouse"/>
    <x v="20"/>
    <x v="1"/>
    <s v="Room 302, Building B, No 388, North Fu Quan Rd"/>
    <s v="Shanghai"/>
    <s v="CHN"/>
    <s v="China"/>
    <x v="0"/>
    <n v="1.4650000000000001"/>
    <n v="166.970011"/>
    <m/>
    <n v="0.89700000000000002"/>
    <n v="0.89277099999999998"/>
    <n v="4.0270000000000002E-3"/>
    <n v="6.5399999999999996E-4"/>
    <n v="0.89700000000000002"/>
    <n v="0.89277099999999998"/>
    <n v="4.0270000000000002E-3"/>
    <n v="6.5399999999999996E-4"/>
    <x v="0"/>
  </r>
  <r>
    <d v="2023-11-01T00:00:00"/>
    <x v="4"/>
    <s v="Warehouse"/>
    <x v="20"/>
    <x v="1"/>
    <s v="Room 302, Building B, No 388, North Fu Quan Rd"/>
    <s v="Shanghai"/>
    <s v="CHN"/>
    <s v="China"/>
    <x v="0"/>
    <n v="1.748"/>
    <m/>
    <m/>
    <n v="1.071"/>
    <n v="1.065231"/>
    <n v="4.8050000000000002E-3"/>
    <n v="7.7999999999999999E-4"/>
    <n v="1.071"/>
    <n v="1.065231"/>
    <n v="4.8050000000000002E-3"/>
    <n v="7.7999999999999999E-4"/>
    <x v="0"/>
  </r>
  <r>
    <d v="2023-12-01T00:00:00"/>
    <x v="4"/>
    <s v="Warehouse"/>
    <x v="20"/>
    <x v="1"/>
    <s v="Room 302, Building B, No 388, North Fu Quan Rd"/>
    <s v="Shanghai"/>
    <s v="CHN"/>
    <s v="China"/>
    <x v="0"/>
    <n v="2.4"/>
    <m/>
    <m/>
    <n v="1.47"/>
    <n v="1.4625600000000001"/>
    <n v="6.5979999999999997E-3"/>
    <n v="1.0709999999999999E-3"/>
    <n v="1.47"/>
    <n v="1.4625600000000001"/>
    <n v="6.5979999999999997E-3"/>
    <n v="1.0709999999999999E-3"/>
    <x v="0"/>
  </r>
  <r>
    <d v="2022-01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2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3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4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5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6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7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8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9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10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11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12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1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2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3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4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5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6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7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8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9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10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11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12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3-01-01T00:00:00"/>
    <x v="4"/>
    <s v="Warehouse"/>
    <x v="21"/>
    <x v="1"/>
    <s v="Unit A, 35 Reedbuck Crescent"/>
    <s v="Midrand"/>
    <s v="ZAF"/>
    <s v="South Africa"/>
    <x v="0"/>
    <n v="3.27"/>
    <m/>
    <m/>
    <n v="2.9430000000000001"/>
    <n v="2.9292660000000001"/>
    <n v="1.2881999999999999E-2"/>
    <n v="1.0950000000000001E-3"/>
    <n v="2.9430000000000001"/>
    <n v="2.9292660000000001"/>
    <n v="1.2881999999999999E-2"/>
    <n v="1.0950000000000001E-3"/>
    <x v="0"/>
  </r>
  <r>
    <d v="2023-02-01T00:00:00"/>
    <x v="4"/>
    <s v="Warehouse"/>
    <x v="21"/>
    <x v="1"/>
    <s v="Unit A, 35 Reedbuck Crescent"/>
    <s v="Midrand"/>
    <s v="ZAF"/>
    <s v="South Africa"/>
    <x v="0"/>
    <n v="3.2189999999999999"/>
    <m/>
    <m/>
    <n v="2.8969999999999998"/>
    <n v="2.8835799999999998"/>
    <n v="1.2681E-2"/>
    <n v="1.078E-3"/>
    <n v="2.8969999999999998"/>
    <n v="2.8835799999999998"/>
    <n v="1.2681E-2"/>
    <n v="1.078E-3"/>
    <x v="0"/>
  </r>
  <r>
    <d v="2023-03-01T00:00:00"/>
    <x v="4"/>
    <s v="Warehouse"/>
    <x v="21"/>
    <x v="1"/>
    <s v="Unit A, 35 Reedbuck Crescent"/>
    <s v="Midrand"/>
    <s v="ZAF"/>
    <s v="South Africa"/>
    <x v="0"/>
    <n v="1.3109999999999999"/>
    <m/>
    <m/>
    <n v="1.18"/>
    <n v="1.1743939999999999"/>
    <n v="5.1650000000000003E-3"/>
    <n v="4.3899999999999999E-4"/>
    <n v="1.18"/>
    <n v="1.1743939999999999"/>
    <n v="5.1650000000000003E-3"/>
    <n v="4.3899999999999999E-4"/>
    <x v="0"/>
  </r>
  <r>
    <d v="2023-04-01T00:00:00"/>
    <x v="4"/>
    <s v="Warehouse"/>
    <x v="21"/>
    <x v="1"/>
    <s v="Unit A, 35 Reedbuck Crescent"/>
    <s v="Midrand"/>
    <s v="ZAF"/>
    <s v="South Africa"/>
    <x v="0"/>
    <n v="2.6190000000000002"/>
    <m/>
    <m/>
    <n v="2.3570000000000002"/>
    <n v="2.3460999999999999"/>
    <n v="1.0317E-2"/>
    <n v="8.7699999999999996E-4"/>
    <n v="2.3570000000000002"/>
    <n v="2.3460999999999999"/>
    <n v="1.0317E-2"/>
    <n v="8.7699999999999996E-4"/>
    <x v="0"/>
  </r>
  <r>
    <d v="2023-05-01T00:00:00"/>
    <x v="4"/>
    <s v="Warehouse"/>
    <x v="21"/>
    <x v="1"/>
    <s v="Unit A, 35 Reedbuck Crescent"/>
    <s v="Midrand"/>
    <s v="ZAF"/>
    <s v="South Africa"/>
    <x v="0"/>
    <n v="2.5409999999999999"/>
    <m/>
    <m/>
    <n v="2.2869999999999999"/>
    <n v="2.2762280000000001"/>
    <n v="1.001E-2"/>
    <n v="8.5099999999999998E-4"/>
    <n v="2.2869999999999999"/>
    <n v="2.2762280000000001"/>
    <n v="1.001E-2"/>
    <n v="8.5099999999999998E-4"/>
    <x v="0"/>
  </r>
  <r>
    <d v="2023-06-01T00:00:00"/>
    <x v="4"/>
    <s v="Warehouse"/>
    <x v="21"/>
    <x v="1"/>
    <s v="Unit A, 35 Reedbuck Crescent"/>
    <s v="Midrand"/>
    <s v="ZAF"/>
    <s v="South Africa"/>
    <x v="0"/>
    <n v="2.7570000000000001"/>
    <m/>
    <m/>
    <n v="2.4820000000000002"/>
    <n v="2.4697209999999998"/>
    <n v="1.0861000000000001E-2"/>
    <n v="9.2299999999999999E-4"/>
    <n v="2.4820000000000002"/>
    <n v="2.4697209999999998"/>
    <n v="1.0861000000000001E-2"/>
    <n v="9.2299999999999999E-4"/>
    <x v="0"/>
  </r>
  <r>
    <d v="2023-07-01T00:00:00"/>
    <x v="4"/>
    <s v="Warehouse"/>
    <x v="21"/>
    <x v="1"/>
    <s v="Unit A, 35 Reedbuck Crescent"/>
    <s v="Midrand"/>
    <s v="ZAF"/>
    <s v="South Africa"/>
    <x v="0"/>
    <n v="2.3969999999999998"/>
    <m/>
    <m/>
    <n v="2.157"/>
    <n v="2.1472329999999999"/>
    <n v="9.443E-3"/>
    <n v="8.03E-4"/>
    <n v="2.157"/>
    <n v="2.1472329999999999"/>
    <n v="9.443E-3"/>
    <n v="8.03E-4"/>
    <x v="0"/>
  </r>
  <r>
    <d v="2023-08-01T00:00:00"/>
    <x v="4"/>
    <s v="Warehouse"/>
    <x v="21"/>
    <x v="1"/>
    <s v="Unit A, 35 Reedbuck Crescent"/>
    <s v="Midrand"/>
    <s v="ZAF"/>
    <s v="South Africa"/>
    <x v="0"/>
    <n v="2.8290000000000002"/>
    <m/>
    <m/>
    <n v="2.5459999999999998"/>
    <n v="2.5342180000000001"/>
    <n v="1.1145E-2"/>
    <n v="9.4700000000000003E-4"/>
    <n v="2.5459999999999998"/>
    <n v="2.5342180000000001"/>
    <n v="1.1145E-2"/>
    <n v="9.4700000000000003E-4"/>
    <x v="0"/>
  </r>
  <r>
    <d v="2023-09-01T00:00:00"/>
    <x v="4"/>
    <s v="Warehouse"/>
    <x v="21"/>
    <x v="1"/>
    <s v="Unit A, 35 Reedbuck Crescent"/>
    <s v="Midrand"/>
    <s v="ZAF"/>
    <s v="South Africa"/>
    <x v="0"/>
    <n v="2.5409999999999999"/>
    <n v="523.69460400000003"/>
    <m/>
    <n v="2.2869999999999999"/>
    <n v="2.2762280000000001"/>
    <n v="1.001E-2"/>
    <n v="8.5099999999999998E-4"/>
    <n v="2.2869999999999999"/>
    <n v="2.2762280000000001"/>
    <n v="1.001E-2"/>
    <n v="8.5099999999999998E-4"/>
    <x v="0"/>
  </r>
  <r>
    <d v="2023-10-01T00:00:00"/>
    <x v="4"/>
    <s v="Warehouse"/>
    <x v="21"/>
    <x v="1"/>
    <s v="Unit A, 35 Reedbuck Crescent"/>
    <s v="Midrand"/>
    <s v="ZAF"/>
    <s v="South Africa"/>
    <x v="0"/>
    <n v="3.5249999999999999"/>
    <m/>
    <m/>
    <n v="3.173"/>
    <n v="3.1576949999999999"/>
    <n v="1.3886000000000001E-2"/>
    <n v="1.1800000000000001E-3"/>
    <n v="3.173"/>
    <n v="3.1576949999999999"/>
    <n v="1.3886000000000001E-2"/>
    <n v="1.1800000000000001E-3"/>
    <x v="0"/>
  </r>
  <r>
    <d v="2023-12-01T00:00:00"/>
    <x v="4"/>
    <s v="Warehouse"/>
    <x v="21"/>
    <x v="1"/>
    <s v="Unit A, 35 Reedbuck Crescent"/>
    <s v="Midrand"/>
    <s v="ZAF"/>
    <s v="South Africa"/>
    <x v="0"/>
    <n v="2.5409999999999999"/>
    <m/>
    <m/>
    <n v="2.2869999999999999"/>
    <n v="2.2762280000000001"/>
    <n v="1.001E-2"/>
    <n v="8.5099999999999998E-4"/>
    <n v="2.2869999999999999"/>
    <n v="2.2762280000000001"/>
    <n v="1.001E-2"/>
    <n v="8.5099999999999998E-4"/>
    <x v="0"/>
  </r>
  <r>
    <d v="2023-01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1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2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2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3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3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4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4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5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5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6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6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7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7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8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8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9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9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10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10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11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11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12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12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2-01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1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2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2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3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3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4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4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5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5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6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6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7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7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8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8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9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9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10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10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11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11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12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12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3-01-01T00:00:00"/>
    <x v="8"/>
    <s v="Manufacturing"/>
    <x v="22"/>
    <x v="0"/>
    <s v="2101 E. Beverly Drive_x000a_"/>
    <s v="Tucson"/>
    <s v="AZ"/>
    <s v="USA"/>
    <x v="0"/>
    <n v="7.7370760000000001"/>
    <m/>
    <m/>
    <n v="1.4019999999999999"/>
    <n v="1.400784"/>
    <n v="7.2099999999999996E-4"/>
    <n v="7.8700000000000005E-4"/>
    <n v="1.4019999999999999"/>
    <n v="1.400784"/>
    <n v="7.2099999999999996E-4"/>
    <n v="7.8700000000000005E-4"/>
    <x v="0"/>
  </r>
  <r>
    <d v="2023-01-01T00:00:00"/>
    <x v="9"/>
    <s v="Manufacturing"/>
    <x v="22"/>
    <x v="0"/>
    <s v="2101 E. Beverly Drive_x000a_"/>
    <s v="Tucson"/>
    <s v="AZ"/>
    <s v="USA"/>
    <x v="0"/>
    <n v="1.1900809999999999"/>
    <m/>
    <m/>
    <n v="0.25600000000000001"/>
    <n v="0.25529800000000002"/>
    <n v="6.6500000000000001E-4"/>
    <n v="3.6299999999999999E-4"/>
    <n v="0.25600000000000001"/>
    <n v="0.25529800000000002"/>
    <n v="6.6500000000000001E-4"/>
    <n v="3.6299999999999999E-4"/>
    <x v="0"/>
  </r>
  <r>
    <d v="2023-02-01T00:00:00"/>
    <x v="8"/>
    <s v="Manufacturing"/>
    <x v="22"/>
    <x v="0"/>
    <s v="2101 E. Beverly Drive_x000a_"/>
    <s v="Tucson"/>
    <s v="AZ"/>
    <s v="USA"/>
    <x v="0"/>
    <n v="7.8543050000000001"/>
    <m/>
    <m/>
    <n v="1.4239999999999999"/>
    <n v="1.4220079999999999"/>
    <n v="7.3200000000000001E-4"/>
    <n v="7.9900000000000001E-4"/>
    <n v="1.4239999999999999"/>
    <n v="1.4220079999999999"/>
    <n v="7.3200000000000001E-4"/>
    <n v="7.9900000000000001E-4"/>
    <x v="0"/>
  </r>
  <r>
    <d v="2023-03-01T00:00:00"/>
    <x v="8"/>
    <s v="Manufacturing"/>
    <x v="22"/>
    <x v="0"/>
    <s v="2101 E. Beverly Drive_x000a_"/>
    <s v="Tucson"/>
    <s v="AZ"/>
    <s v="USA"/>
    <x v="0"/>
    <n v="9.2317389999999993"/>
    <m/>
    <m/>
    <n v="1.673"/>
    <n v="1.6713899999999999"/>
    <n v="8.5999999999999998E-4"/>
    <n v="9.3899999999999995E-4"/>
    <n v="1.673"/>
    <n v="1.6713899999999999"/>
    <n v="8.5999999999999998E-4"/>
    <n v="9.3899999999999995E-4"/>
    <x v="0"/>
  </r>
  <r>
    <d v="2023-03-01T00:00:00"/>
    <x v="9"/>
    <s v="Manufacturing"/>
    <x v="22"/>
    <x v="0"/>
    <s v="2101 E. Beverly Drive_x000a_"/>
    <s v="Tucson"/>
    <s v="AZ"/>
    <s v="USA"/>
    <x v="0"/>
    <n v="0.896563"/>
    <m/>
    <m/>
    <n v="0.193"/>
    <n v="0.192332"/>
    <n v="5.0100000000000003E-4"/>
    <n v="2.7300000000000002E-4"/>
    <n v="0.193"/>
    <n v="0.192332"/>
    <n v="5.0100000000000003E-4"/>
    <n v="2.7399999999999999E-4"/>
    <x v="0"/>
  </r>
  <r>
    <d v="2023-04-01T00:00:00"/>
    <x v="8"/>
    <s v="Manufacturing"/>
    <x v="22"/>
    <x v="0"/>
    <s v="2101 E. Beverly Drive_x000a_"/>
    <s v="Tucson"/>
    <s v="AZ"/>
    <s v="USA"/>
    <x v="0"/>
    <n v="7.3267769999999999"/>
    <m/>
    <m/>
    <n v="1.3280000000000001"/>
    <n v="1.3265"/>
    <n v="6.8300000000000001E-4"/>
    <n v="7.45E-4"/>
    <n v="1.3280000000000001"/>
    <n v="1.3265"/>
    <n v="6.8300000000000001E-4"/>
    <n v="7.45E-4"/>
    <x v="0"/>
  </r>
  <r>
    <d v="2023-05-01T00:00:00"/>
    <x v="8"/>
    <s v="Manufacturing"/>
    <x v="22"/>
    <x v="0"/>
    <s v="2101 E. Beverly Drive_x000a_"/>
    <s v="Tucson"/>
    <s v="AZ"/>
    <s v="USA"/>
    <x v="0"/>
    <n v="5.8907290000000003"/>
    <m/>
    <m/>
    <n v="1.0680000000000001"/>
    <n v="1.066506"/>
    <n v="5.4900000000000001E-4"/>
    <n v="5.9900000000000003E-4"/>
    <n v="1.0680000000000001"/>
    <n v="1.066506"/>
    <n v="5.4900000000000001E-4"/>
    <n v="5.9900000000000003E-4"/>
    <x v="0"/>
  </r>
  <r>
    <d v="2023-05-01T00:00:00"/>
    <x v="9"/>
    <s v="Manufacturing"/>
    <x v="22"/>
    <x v="0"/>
    <s v="2101 E. Beverly Drive_x000a_"/>
    <s v="Tucson"/>
    <s v="AZ"/>
    <s v="USA"/>
    <x v="0"/>
    <n v="0.63506499999999999"/>
    <m/>
    <m/>
    <n v="0.13700000000000001"/>
    <n v="0.13623499999999999"/>
    <n v="3.5500000000000001E-4"/>
    <n v="1.94E-4"/>
    <n v="0.13700000000000001"/>
    <n v="0.13623499999999999"/>
    <n v="3.5500000000000001E-4"/>
    <n v="1.94E-4"/>
    <x v="0"/>
  </r>
  <r>
    <d v="2023-06-01T00:00:00"/>
    <x v="8"/>
    <s v="Manufacturing"/>
    <x v="22"/>
    <x v="0"/>
    <s v="2101 E. Beverly Drive_x000a_"/>
    <s v="Tucson"/>
    <s v="AZ"/>
    <s v="USA"/>
    <x v="0"/>
    <n v="8.6162890000000001"/>
    <m/>
    <m/>
    <n v="1.5620000000000001"/>
    <n v="1.5599639999999999"/>
    <n v="8.03E-4"/>
    <n v="8.7600000000000004E-4"/>
    <n v="1.5620000000000001"/>
    <n v="1.5599639999999999"/>
    <n v="8.03E-4"/>
    <n v="8.7600000000000004E-4"/>
    <x v="0"/>
  </r>
  <r>
    <d v="2023-07-01T00:00:00"/>
    <x v="8"/>
    <s v="Manufacturing"/>
    <x v="22"/>
    <x v="0"/>
    <s v="2101 E. Beverly Drive_x000a_"/>
    <s v="Tucson"/>
    <s v="AZ"/>
    <s v="USA"/>
    <x v="0"/>
    <n v="3.3410099999999998"/>
    <m/>
    <m/>
    <n v="0.60599999999999998"/>
    <n v="0.60488399999999998"/>
    <n v="3.1100000000000002E-4"/>
    <n v="3.4000000000000002E-4"/>
    <n v="0.60599999999999998"/>
    <n v="0.60488399999999998"/>
    <n v="3.1100000000000002E-4"/>
    <n v="3.4000000000000002E-4"/>
    <x v="0"/>
  </r>
  <r>
    <d v="2023-08-01T00:00:00"/>
    <x v="8"/>
    <s v="Manufacturing"/>
    <x v="22"/>
    <x v="0"/>
    <s v="2101 E. Beverly Drive_x000a_"/>
    <s v="Tucson"/>
    <s v="AZ"/>
    <s v="USA"/>
    <x v="0"/>
    <n v="5.1873579999999997"/>
    <m/>
    <m/>
    <n v="0.94"/>
    <n v="0.93916200000000005"/>
    <n v="4.8299999999999998E-4"/>
    <n v="5.2700000000000002E-4"/>
    <n v="0.94"/>
    <n v="0.93916200000000005"/>
    <n v="4.8299999999999998E-4"/>
    <n v="5.2700000000000002E-4"/>
    <x v="0"/>
  </r>
  <r>
    <d v="2023-08-01T00:00:00"/>
    <x v="9"/>
    <s v="Manufacturing"/>
    <x v="22"/>
    <x v="0"/>
    <s v="2101 E. Beverly Drive_x000a_"/>
    <s v="Tucson"/>
    <s v="AZ"/>
    <s v="USA"/>
    <x v="0"/>
    <n v="0.57369400000000004"/>
    <m/>
    <m/>
    <n v="0.124"/>
    <n v="0.12307"/>
    <n v="3.21E-4"/>
    <n v="1.75E-4"/>
    <n v="0.124"/>
    <n v="0.12307"/>
    <n v="3.21E-4"/>
    <n v="1.75E-4"/>
    <x v="0"/>
  </r>
  <r>
    <d v="2023-09-01T00:00:00"/>
    <x v="8"/>
    <s v="Manufacturing"/>
    <x v="22"/>
    <x v="0"/>
    <s v="2101 E. Beverly Drive_x000a_"/>
    <s v="Tucson"/>
    <s v="AZ"/>
    <s v="USA"/>
    <x v="0"/>
    <n v="5.1873579999999997"/>
    <m/>
    <m/>
    <n v="0.94"/>
    <n v="0.93916200000000005"/>
    <n v="4.8299999999999998E-4"/>
    <n v="5.2700000000000002E-4"/>
    <n v="0.94"/>
    <n v="0.93916200000000005"/>
    <n v="4.8299999999999998E-4"/>
    <n v="5.2700000000000002E-4"/>
    <x v="0"/>
  </r>
  <r>
    <d v="2023-10-01T00:00:00"/>
    <x v="8"/>
    <s v="Manufacturing"/>
    <x v="22"/>
    <x v="0"/>
    <s v="2101 E. Beverly Drive_x000a_"/>
    <s v="Tucson"/>
    <s v="AZ"/>
    <s v="USA"/>
    <x v="0"/>
    <n v="4.6598300000000004"/>
    <m/>
    <m/>
    <n v="0.84499999999999997"/>
    <n v="0.84365400000000002"/>
    <n v="4.3399999999999998E-4"/>
    <n v="4.7399999999999997E-4"/>
    <n v="0.84499999999999997"/>
    <n v="0.84365400000000002"/>
    <n v="4.3399999999999998E-4"/>
    <n v="4.7399999999999997E-4"/>
    <x v="0"/>
  </r>
  <r>
    <d v="2023-11-01T00:00:00"/>
    <x v="8"/>
    <s v="Manufacturing"/>
    <x v="22"/>
    <x v="0"/>
    <s v="2101 E. Beverly Drive_x000a_"/>
    <s v="Tucson"/>
    <s v="AZ"/>
    <s v="USA"/>
    <x v="0"/>
    <n v="2.3738760000000001"/>
    <n v="187.79"/>
    <m/>
    <n v="0.43"/>
    <n v="0.429786"/>
    <n v="2.2100000000000001E-4"/>
    <n v="2.41E-4"/>
    <n v="0.43"/>
    <n v="0.429786"/>
    <n v="2.2100000000000001E-4"/>
    <n v="2.41E-4"/>
    <x v="0"/>
  </r>
  <r>
    <d v="2023-11-01T00:00:00"/>
    <x v="9"/>
    <s v="Manufacturing"/>
    <x v="22"/>
    <x v="0"/>
    <s v="2101 E. Beverly Drive_x000a_"/>
    <s v="Tucson"/>
    <s v="AZ"/>
    <s v="USA"/>
    <x v="0"/>
    <n v="1.2514529999999999"/>
    <n v="332.39"/>
    <m/>
    <n v="0.27"/>
    <n v="0.26846300000000001"/>
    <n v="6.9899999999999997E-4"/>
    <n v="3.8200000000000002E-4"/>
    <n v="0.27"/>
    <n v="0.26846300000000001"/>
    <n v="6.9899999999999997E-4"/>
    <n v="3.8200000000000002E-4"/>
    <x v="0"/>
  </r>
  <r>
    <d v="2023-12-01T00:00:00"/>
    <x v="8"/>
    <s v="Manufacturing"/>
    <x v="22"/>
    <x v="0"/>
    <s v="2101 E. Beverly Drive_x000a_"/>
    <s v="Tucson"/>
    <s v="AZ"/>
    <s v="USA"/>
    <x v="0"/>
    <n v="3.8392309999999998"/>
    <n v="271.66000000000003"/>
    <m/>
    <n v="0.69599999999999995"/>
    <n v="0.69508599999999998"/>
    <n v="3.5799999999999997E-4"/>
    <n v="3.8999999999999999E-4"/>
    <n v="0.69599999999999995"/>
    <n v="0.69508599999999998"/>
    <n v="3.5799999999999997E-4"/>
    <n v="3.8999999999999999E-4"/>
    <x v="0"/>
  </r>
  <r>
    <d v="2022-01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2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3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4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5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6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7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8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9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10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11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12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3-01-01T00:00:00"/>
    <x v="4"/>
    <s v="Manufacturing"/>
    <x v="22"/>
    <x v="1"/>
    <s v="2101 E. Beverly Drive_x000a_"/>
    <s v="Tucson"/>
    <s v="AZ"/>
    <s v="USA"/>
    <x v="0"/>
    <n v="13.5616"/>
    <m/>
    <m/>
    <n v="5.048"/>
    <n v="5.0476089999999996"/>
    <m/>
    <m/>
    <n v="5.0629999999999997"/>
    <n v="5.0420629999999997"/>
    <n v="1.1755E-2"/>
    <n v="8.9250000000000006E-3"/>
    <x v="0"/>
  </r>
  <r>
    <d v="2023-02-01T00:00:00"/>
    <x v="4"/>
    <s v="Manufacturing"/>
    <x v="22"/>
    <x v="1"/>
    <s v="2101 E. Beverly Drive_x000a_"/>
    <s v="Tucson"/>
    <s v="AZ"/>
    <s v="USA"/>
    <x v="0"/>
    <n v="14.553599999999999"/>
    <m/>
    <m/>
    <n v="5.4169999999999998"/>
    <n v="5.41683"/>
    <m/>
    <m/>
    <n v="5.4329999999999998"/>
    <n v="5.4108790000000004"/>
    <n v="1.2614999999999999E-2"/>
    <n v="9.5770000000000004E-3"/>
    <x v="0"/>
  </r>
  <r>
    <d v="2023-03-01T00:00:00"/>
    <x v="4"/>
    <s v="Manufacturing"/>
    <x v="22"/>
    <x v="1"/>
    <s v="2101 E. Beverly Drive_x000a_"/>
    <s v="Tucson"/>
    <s v="AZ"/>
    <s v="USA"/>
    <x v="0"/>
    <n v="13.0024"/>
    <m/>
    <m/>
    <n v="4.8390000000000004"/>
    <n v="4.8394750000000002"/>
    <m/>
    <m/>
    <n v="4.8540000000000001"/>
    <n v="4.8341580000000004"/>
    <n v="1.1271E-2"/>
    <n v="8.5570000000000004E-3"/>
    <x v="0"/>
  </r>
  <r>
    <d v="2023-04-01T00:00:00"/>
    <x v="4"/>
    <s v="Manufacturing"/>
    <x v="22"/>
    <x v="1"/>
    <s v="2101 E. Beverly Drive_x000a_"/>
    <s v="Tucson"/>
    <s v="AZ"/>
    <s v="USA"/>
    <x v="0"/>
    <n v="16.192799999999998"/>
    <m/>
    <m/>
    <n v="6.0270000000000001"/>
    <n v="6.0269370000000002"/>
    <m/>
    <m/>
    <n v="6.0449999999999999"/>
    <n v="6.0203160000000002"/>
    <n v="1.4036E-2"/>
    <n v="1.0656000000000001E-2"/>
    <x v="0"/>
  </r>
  <r>
    <d v="2023-05-01T00:00:00"/>
    <x v="4"/>
    <s v="Manufacturing"/>
    <x v="22"/>
    <x v="1"/>
    <s v="2101 E. Beverly Drive_x000a_"/>
    <s v="Tucson"/>
    <s v="AZ"/>
    <s v="USA"/>
    <x v="0"/>
    <n v="8.6056000000000008"/>
    <m/>
    <m/>
    <n v="3.2029999999999998"/>
    <n v="3.2029920000000001"/>
    <m/>
    <m/>
    <n v="3.2130000000000001"/>
    <n v="3.1994739999999999"/>
    <n v="7.4590000000000004E-3"/>
    <n v="5.6629999999999996E-3"/>
    <x v="0"/>
  </r>
  <r>
    <d v="2023-06-01T00:00:00"/>
    <x v="4"/>
    <s v="Manufacturing"/>
    <x v="22"/>
    <x v="1"/>
    <s v="2101 E. Beverly Drive_x000a_"/>
    <s v="Tucson"/>
    <s v="AZ"/>
    <s v="USA"/>
    <x v="0"/>
    <n v="11.688000000000001"/>
    <m/>
    <m/>
    <n v="4.3499999999999996"/>
    <n v="4.350257"/>
    <m/>
    <m/>
    <n v="4.3630000000000004"/>
    <n v="4.345478"/>
    <n v="1.0130999999999999E-2"/>
    <n v="7.6920000000000001E-3"/>
    <x v="0"/>
  </r>
  <r>
    <d v="2023-07-01T00:00:00"/>
    <x v="4"/>
    <s v="Manufacturing"/>
    <x v="22"/>
    <x v="1"/>
    <s v="2101 E. Beverly Drive_x000a_"/>
    <s v="Tucson"/>
    <s v="AZ"/>
    <s v="USA"/>
    <x v="0"/>
    <n v="11.0824"/>
    <m/>
    <m/>
    <n v="4.125"/>
    <n v="4.124854"/>
    <m/>
    <m/>
    <n v="4.1369999999999996"/>
    <n v="4.1203219999999998"/>
    <n v="9.606E-3"/>
    <n v="7.293E-3"/>
    <x v="0"/>
  </r>
  <r>
    <d v="2023-08-01T00:00:00"/>
    <x v="4"/>
    <s v="Manufacturing"/>
    <x v="22"/>
    <x v="1"/>
    <s v="2101 E. Beverly Drive_x000a_"/>
    <s v="Tucson"/>
    <s v="AZ"/>
    <s v="USA"/>
    <x v="0"/>
    <n v="13.0648"/>
    <m/>
    <m/>
    <n v="4.8630000000000004"/>
    <n v="4.8627000000000002"/>
    <m/>
    <m/>
    <n v="4.8769999999999998"/>
    <n v="4.8573579999999996"/>
    <n v="1.1325E-2"/>
    <n v="8.5979999999999997E-3"/>
    <x v="0"/>
  </r>
  <r>
    <d v="2023-09-01T00:00:00"/>
    <x v="4"/>
    <s v="Manufacturing"/>
    <x v="22"/>
    <x v="1"/>
    <s v="2101 E. Beverly Drive_x000a_"/>
    <s v="Tucson"/>
    <s v="AZ"/>
    <s v="USA"/>
    <x v="0"/>
    <n v="12.6408"/>
    <m/>
    <m/>
    <n v="4.7050000000000001"/>
    <n v="4.7048880000000004"/>
    <m/>
    <m/>
    <n v="4.7190000000000003"/>
    <n v="4.699719"/>
    <n v="1.0957E-2"/>
    <n v="8.319E-3"/>
    <x v="0"/>
  </r>
  <r>
    <d v="2023-10-01T00:00:00"/>
    <x v="4"/>
    <s v="Manufacturing"/>
    <x v="22"/>
    <x v="1"/>
    <s v="2101 E. Beverly Drive_x000a_"/>
    <s v="Tucson"/>
    <s v="AZ"/>
    <s v="USA"/>
    <x v="0"/>
    <n v="11.234400000000001"/>
    <m/>
    <m/>
    <n v="4.181"/>
    <n v="4.1814280000000004"/>
    <m/>
    <m/>
    <n v="4.194"/>
    <n v="4.1768340000000004"/>
    <n v="9.7380000000000001E-3"/>
    <n v="7.3930000000000003E-3"/>
    <x v="0"/>
  </r>
  <r>
    <d v="2023-11-01T00:00:00"/>
    <x v="4"/>
    <s v="Manufacturing"/>
    <x v="22"/>
    <x v="1"/>
    <s v="2101 E. Beverly Drive_x000a_"/>
    <s v="Tucson"/>
    <s v="AZ"/>
    <s v="USA"/>
    <x v="0"/>
    <n v="13.2056"/>
    <n v="42.82"/>
    <m/>
    <n v="4.915"/>
    <n v="4.9151059999999998"/>
    <m/>
    <m/>
    <n v="4.93"/>
    <n v="4.9097059999999999"/>
    <n v="1.1447000000000001E-2"/>
    <n v="8.6899999999999998E-3"/>
    <x v="0"/>
  </r>
  <r>
    <d v="2023-12-01T00:00:00"/>
    <x v="4"/>
    <s v="Manufacturing"/>
    <x v="22"/>
    <x v="1"/>
    <s v="2101 E. Beverly Drive_x000a_"/>
    <s v="Tucson"/>
    <s v="AZ"/>
    <s v="USA"/>
    <x v="0"/>
    <n v="9.0904000000000007"/>
    <n v="1954.65"/>
    <m/>
    <n v="3.383"/>
    <n v="3.3834339999999998"/>
    <m/>
    <m/>
    <n v="3.3940000000000001"/>
    <n v="3.3797169999999999"/>
    <n v="7.8799999999999999E-3"/>
    <n v="5.9820000000000003E-3"/>
    <x v="0"/>
  </r>
  <r>
    <d v="2023-01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2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3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04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5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06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7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08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9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10-01T00:00:00"/>
    <x v="12"/>
    <s v="Manufacturing"/>
    <x v="22"/>
    <x v="2"/>
    <s v="2101 E. Beverly Drive_x000a_"/>
    <s v="Tucson"/>
    <s v="AZ"/>
    <s v="USA"/>
    <x v="3"/>
    <n v="0"/>
    <n v="867.42"/>
    <m/>
    <n v="0"/>
    <n v="0"/>
    <m/>
    <m/>
    <n v="0"/>
    <n v="0"/>
    <m/>
    <m/>
    <x v="0"/>
  </r>
  <r>
    <d v="2023-10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11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12-01T00:00:00"/>
    <x v="12"/>
    <s v="Manufacturing"/>
    <x v="22"/>
    <x v="2"/>
    <s v="2101 E. Beverly Drive_x000a_"/>
    <s v="Tucson"/>
    <s v="AZ"/>
    <s v="USA"/>
    <x v="3"/>
    <n v="0"/>
    <n v="494.29"/>
    <m/>
    <n v="0"/>
    <n v="0"/>
    <m/>
    <m/>
    <n v="0"/>
    <n v="0"/>
    <m/>
    <m/>
    <x v="0"/>
  </r>
  <r>
    <d v="2023-12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2-01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2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3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4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5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6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7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8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9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10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11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12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1-01T00:00:00"/>
    <x v="4"/>
    <s v="Personal Care"/>
    <x v="23"/>
    <x v="1"/>
    <s v="150 Mount Bethel Rd, Building 2, Suite 200"/>
    <s v="Warren"/>
    <s v="NJ"/>
    <s v="USA"/>
    <x v="0"/>
    <n v="13.573"/>
    <n v="1816.1"/>
    <s v=""/>
    <n v="4.992"/>
    <n v="4.9919960000000003"/>
    <m/>
    <m/>
    <n v="4.1619999999999999"/>
    <n v="4.1420870000000001"/>
    <n v="1.1764999999999999E-2"/>
    <n v="8.4169999999999991E-3"/>
    <x v="1"/>
  </r>
  <r>
    <d v="2022-02-01T00:00:00"/>
    <x v="4"/>
    <s v="Personal Care"/>
    <x v="23"/>
    <x v="1"/>
    <s v="150 Mount Bethel Rd, Building 2, Suite 200"/>
    <s v="Warren"/>
    <s v="NJ"/>
    <s v="USA"/>
    <x v="0"/>
    <n v="4.1260000000000003"/>
    <n v="612.66999999999996"/>
    <s v=""/>
    <n v="1.5169999999999999"/>
    <n v="1.517496"/>
    <m/>
    <m/>
    <n v="1.2649999999999999"/>
    <n v="1.259136"/>
    <n v="3.5760000000000002E-3"/>
    <n v="2.5590000000000001E-3"/>
    <x v="1"/>
  </r>
  <r>
    <d v="2022-03-01T00:00:00"/>
    <x v="4"/>
    <s v="Personal Care"/>
    <x v="23"/>
    <x v="1"/>
    <s v="150 Mount Bethel Rd, Building 2, Suite 200"/>
    <s v="Warren"/>
    <s v="NJ"/>
    <s v="USA"/>
    <x v="0"/>
    <n v="23.88"/>
    <n v="3073.32"/>
    <s v=""/>
    <n v="8.7829999999999995"/>
    <n v="8.7827940000000009"/>
    <m/>
    <m/>
    <n v="7.3230000000000004"/>
    <n v="7.2874850000000002"/>
    <n v="2.07E-2"/>
    <n v="1.4808E-2"/>
    <x v="1"/>
  </r>
  <r>
    <d v="2023-01-01T00:00:00"/>
    <x v="4"/>
    <s v="Personal Care"/>
    <x v="23"/>
    <x v="1"/>
    <s v="150 Mount Bethel Rd, Building 2, Suite 200"/>
    <s v="Warren"/>
    <s v="NJ"/>
    <s v="USA"/>
    <x v="0"/>
    <n v="37.222999999999999"/>
    <m/>
    <s v=""/>
    <n v="11.362"/>
    <n v="11.362029"/>
    <m/>
    <m/>
    <n v="11.414999999999999"/>
    <n v="11.359382"/>
    <n v="3.2265000000000002E-2"/>
    <n v="2.3081999999999998E-2"/>
    <x v="0"/>
  </r>
  <r>
    <d v="2023-02-01T00:00:00"/>
    <x v="4"/>
    <s v="Personal Care"/>
    <x v="23"/>
    <x v="1"/>
    <s v="150 Mount Bethel Rd, Building 2, Suite 200"/>
    <s v="Warren"/>
    <s v="NJ"/>
    <s v="USA"/>
    <x v="0"/>
    <n v="17.358000000000001"/>
    <m/>
    <s v=""/>
    <n v="5.298"/>
    <n v="5.298394"/>
    <m/>
    <m/>
    <n v="5.3230000000000004"/>
    <n v="5.2971589999999997"/>
    <n v="1.5046E-2"/>
    <n v="1.0763999999999999E-2"/>
    <x v="0"/>
  </r>
  <r>
    <d v="2023-05-01T00:00:00"/>
    <x v="4"/>
    <s v="Personal Care"/>
    <x v="23"/>
    <x v="1"/>
    <s v="150 Mount Bethel Rd, Building 2, Suite 200"/>
    <s v="Warren"/>
    <s v="NJ"/>
    <s v="USA"/>
    <x v="0"/>
    <n v="4.6879999999999997"/>
    <m/>
    <s v=""/>
    <n v="1.431"/>
    <n v="1.4309750000000001"/>
    <m/>
    <m/>
    <n v="1.4379999999999999"/>
    <n v="1.430642"/>
    <n v="4.0639999999999999E-3"/>
    <n v="2.9069999999999999E-3"/>
    <x v="0"/>
  </r>
  <r>
    <d v="2023-06-01T00:00:00"/>
    <x v="4"/>
    <s v="Personal Care"/>
    <x v="23"/>
    <x v="1"/>
    <s v="150 Mount Bethel Rd, Building 2, Suite 200"/>
    <s v="Warren"/>
    <s v="NJ"/>
    <s v="USA"/>
    <x v="0"/>
    <n v="21.895"/>
    <m/>
    <s v=""/>
    <n v="6.6829999999999998"/>
    <n v="6.6832770000000004"/>
    <m/>
    <m/>
    <n v="6.7140000000000004"/>
    <n v="6.6817200000000003"/>
    <n v="1.8978999999999999E-2"/>
    <n v="1.3577000000000001E-2"/>
    <x v="0"/>
  </r>
  <r>
    <d v="2023-09-01T00:00:00"/>
    <x v="4"/>
    <s v="Personal Care"/>
    <x v="23"/>
    <x v="1"/>
    <s v="150 Mount Bethel Rd, Building 2, Suite 200"/>
    <s v="Warren"/>
    <s v="NJ"/>
    <s v="USA"/>
    <x v="0"/>
    <n v="15.84"/>
    <m/>
    <s v=""/>
    <n v="4.835"/>
    <n v="4.8350359999999997"/>
    <m/>
    <m/>
    <n v="4.8570000000000002"/>
    <n v="4.8339090000000002"/>
    <n v="1.3729999999999999E-2"/>
    <n v="9.8219999999999991E-3"/>
    <x v="0"/>
  </r>
  <r>
    <d v="2023-10-01T00:00:00"/>
    <x v="4"/>
    <s v="Personal Care"/>
    <x v="23"/>
    <x v="1"/>
    <s v="150 Mount Bethel Rd, Building 2, Suite 200"/>
    <s v="Warren"/>
    <s v="NJ"/>
    <s v="USA"/>
    <x v="0"/>
    <n v="18.399999999999999"/>
    <m/>
    <s v=""/>
    <n v="5.6159999999999997"/>
    <n v="5.6164560000000003"/>
    <m/>
    <m/>
    <n v="5.6429999999999998"/>
    <n v="5.6151470000000003"/>
    <n v="1.5949000000000001E-2"/>
    <n v="1.141E-2"/>
    <x v="0"/>
  </r>
  <r>
    <d v="2023-11-01T00:00:00"/>
    <x v="4"/>
    <s v="Personal Care"/>
    <x v="23"/>
    <x v="1"/>
    <s v="150 Mount Bethel Rd, Building 2, Suite 200"/>
    <s v="Warren"/>
    <s v="NJ"/>
    <s v="USA"/>
    <x v="0"/>
    <n v="24.501999999999999"/>
    <m/>
    <s v=""/>
    <n v="7.4790000000000001"/>
    <n v="7.479044"/>
    <m/>
    <m/>
    <n v="7.5140000000000002"/>
    <n v="7.4773009999999998"/>
    <n v="2.1239000000000001E-2"/>
    <n v="1.5193999999999999E-2"/>
    <x v="0"/>
  </r>
  <r>
    <d v="2023-12-01T00:00:00"/>
    <x v="4"/>
    <s v="Personal Care"/>
    <x v="23"/>
    <x v="1"/>
    <s v="150 Mount Bethel Rd, Building 2, Suite 200"/>
    <s v="Warren"/>
    <s v="NJ"/>
    <s v="USA"/>
    <x v="0"/>
    <n v="13.28"/>
    <m/>
    <s v=""/>
    <n v="4.0540000000000003"/>
    <n v="4.0536159999999999"/>
    <m/>
    <m/>
    <n v="4.0720000000000001"/>
    <n v="4.0526720000000003"/>
    <n v="1.1511E-2"/>
    <n v="8.2349999999999993E-3"/>
    <x v="0"/>
  </r>
  <r>
    <d v="2023-12-01T00:00:00"/>
    <x v="12"/>
    <s v="Personal Care"/>
    <x v="23"/>
    <x v="2"/>
    <s v="150 Mount Bethel Rd, Building 2, Suite 200"/>
    <s v="Warren"/>
    <s v="NJ"/>
    <s v="USA"/>
    <x v="3"/>
    <n v="0"/>
    <n v="764.92"/>
    <s v=""/>
    <n v="0"/>
    <n v="0"/>
    <m/>
    <m/>
    <n v="0"/>
    <n v="0"/>
    <m/>
    <m/>
    <x v="0"/>
  </r>
  <r>
    <d v="2023-01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1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1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2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2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2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3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3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3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4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4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4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5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5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5-01T00:00:00"/>
    <x v="18"/>
    <s v="Manufacturing"/>
    <x v="9"/>
    <x v="0"/>
    <s v="16 Law Drive_x000a_"/>
    <s v="Fairfield"/>
    <s v="NJ"/>
    <s v="USA"/>
    <x v="3"/>
    <n v="4.9439999999999996E-3"/>
    <m/>
    <m/>
    <n v="6.4269999999999996"/>
    <m/>
    <m/>
    <m/>
    <n v="6.4269999999999996"/>
    <m/>
    <m/>
    <m/>
    <x v="0"/>
  </r>
  <r>
    <d v="2023-05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6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6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6-01T00:00:00"/>
    <x v="18"/>
    <s v="Manufacturing"/>
    <x v="11"/>
    <x v="0"/>
    <s v="3938 Porett Drive"/>
    <s v="Gurnee"/>
    <s v="IL"/>
    <s v="USA"/>
    <x v="3"/>
    <n v="6.8040000000000002E-3"/>
    <m/>
    <m/>
    <n v="8.8450000000000006"/>
    <m/>
    <m/>
    <m/>
    <n v="8.8450000000000006"/>
    <m/>
    <m/>
    <m/>
    <x v="0"/>
  </r>
  <r>
    <d v="2023-06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7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7-01T00:00:00"/>
    <x v="18"/>
    <s v="Manufacturing"/>
    <x v="5"/>
    <x v="0"/>
    <s v="4650 South Racine Avenue"/>
    <s v="Chicago"/>
    <s v="IL"/>
    <s v="USA"/>
    <x v="3"/>
    <n v="3.9916E-2"/>
    <m/>
    <m/>
    <n v="51.890999999999998"/>
    <m/>
    <m/>
    <m/>
    <n v="51.890999999999998"/>
    <m/>
    <m/>
    <m/>
    <x v="0"/>
  </r>
  <r>
    <d v="2023-07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8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8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8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8-01T00:00:00"/>
    <x v="18"/>
    <s v="Manufacturing"/>
    <x v="13"/>
    <x v="0"/>
    <s v="Am Haupttor, Gebäude 7302"/>
    <s v="Leuna"/>
    <s v="GER"/>
    <s v="Germany"/>
    <x v="3"/>
    <n v="1.0999999999999999E-2"/>
    <m/>
    <m/>
    <n v="14.3"/>
    <m/>
    <m/>
    <m/>
    <n v="14.3"/>
    <m/>
    <m/>
    <m/>
    <x v="0"/>
  </r>
  <r>
    <d v="2023-09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9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9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10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10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10-01T00:00:00"/>
    <x v="18"/>
    <s v="Manufacturing"/>
    <x v="9"/>
    <x v="0"/>
    <s v="16 Law Drive_x000a_"/>
    <s v="Fairfield"/>
    <s v="NJ"/>
    <s v="USA"/>
    <x v="3"/>
    <n v="1.361E-3"/>
    <m/>
    <m/>
    <n v="1.7689999999999999"/>
    <m/>
    <m/>
    <m/>
    <n v="1.7689999999999999"/>
    <m/>
    <m/>
    <m/>
    <x v="0"/>
  </r>
  <r>
    <d v="2023-10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10-01T00:00:00"/>
    <x v="18"/>
    <s v="Manufacturing"/>
    <x v="13"/>
    <x v="0"/>
    <s v="Am Haupttor, Gebäude 7302"/>
    <s v="Leuna"/>
    <s v="GER"/>
    <s v="Germany"/>
    <x v="3"/>
    <n v="2.75E-2"/>
    <n v="10552.647967000001"/>
    <m/>
    <n v="35.75"/>
    <m/>
    <m/>
    <m/>
    <n v="35.75"/>
    <m/>
    <m/>
    <m/>
    <x v="0"/>
  </r>
  <r>
    <d v="2023-11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11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11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11-01T00:00:00"/>
    <x v="18"/>
    <s v="Manufacturing"/>
    <x v="13"/>
    <x v="0"/>
    <s v="Am Haupttor, Gebäude 7302"/>
    <s v="Leuna"/>
    <s v="GER"/>
    <s v="Germany"/>
    <x v="3"/>
    <n v="1.7500000000000002E-2"/>
    <m/>
    <m/>
    <n v="22.75"/>
    <m/>
    <m/>
    <m/>
    <n v="22.75"/>
    <m/>
    <m/>
    <m/>
    <x v="0"/>
  </r>
  <r>
    <d v="2023-12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12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12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1-01T00:00:00"/>
    <x v="19"/>
    <s v="Manufacturing"/>
    <x v="13"/>
    <x v="1"/>
    <s v="Am Haupttor, Gebäude 7302"/>
    <s v="Leuna"/>
    <s v="GER"/>
    <s v="Germany"/>
    <x v="0"/>
    <n v="2661.7893549999999"/>
    <n v="577216.35357499996"/>
    <m/>
    <n v="478.09800000000001"/>
    <n v="473.44403899999998"/>
    <n v="1.41666"/>
    <n v="3.2371210000000001"/>
    <n v="478.09800000000001"/>
    <n v="473.44403899999998"/>
    <n v="1.41666"/>
    <n v="3.2371210000000001"/>
    <x v="0"/>
  </r>
  <r>
    <d v="2023-02-01T00:00:00"/>
    <x v="19"/>
    <s v="Manufacturing"/>
    <x v="13"/>
    <x v="1"/>
    <s v="Am Haupttor, Gebäude 7302"/>
    <s v="Leuna"/>
    <s v="GER"/>
    <s v="Germany"/>
    <x v="0"/>
    <n v="2499.6463370000001"/>
    <n v="534591.86362900003"/>
    <m/>
    <n v="448.97399999999999"/>
    <n v="444.604174"/>
    <n v="1.3303640000000001"/>
    <n v="3.0399319999999999"/>
    <n v="448.97399999999999"/>
    <n v="444.604174"/>
    <n v="1.3303640000000001"/>
    <n v="3.0399319999999999"/>
    <x v="0"/>
  </r>
  <r>
    <d v="2023-03-01T00:00:00"/>
    <x v="19"/>
    <s v="Manufacturing"/>
    <x v="13"/>
    <x v="1"/>
    <s v="Am Haupttor, Gebäude 7302"/>
    <s v="Leuna"/>
    <s v="GER"/>
    <s v="Germany"/>
    <x v="0"/>
    <n v="2951.1643960000001"/>
    <n v="622756.662626"/>
    <m/>
    <n v="530.07399999999996"/>
    <n v="524.91426100000001"/>
    <n v="1.5706709999999999"/>
    <n v="3.5890430000000002"/>
    <n v="530.07399999999996"/>
    <n v="524.91426100000001"/>
    <n v="1.5706709999999999"/>
    <n v="3.5890430000000002"/>
    <x v="0"/>
  </r>
  <r>
    <d v="2023-04-01T00:00:00"/>
    <x v="19"/>
    <s v="Manufacturing"/>
    <x v="13"/>
    <x v="1"/>
    <s v="Am Haupttor, Gebäude 7302"/>
    <s v="Leuna"/>
    <s v="GER"/>
    <s v="Germany"/>
    <x v="0"/>
    <n v="2928.6663910000002"/>
    <n v="518118.12417800003"/>
    <m/>
    <n v="526.03300000000002"/>
    <n v="520.91261199999997"/>
    <n v="1.558697"/>
    <n v="3.5616829999999999"/>
    <n v="526.03300000000002"/>
    <n v="520.91261199999997"/>
    <n v="1.558697"/>
    <n v="3.5616829999999999"/>
    <x v="0"/>
  </r>
  <r>
    <d v="2023-05-01T00:00:00"/>
    <x v="19"/>
    <s v="Manufacturing"/>
    <x v="13"/>
    <x v="1"/>
    <s v="Am Haupttor, Gebäude 7302"/>
    <s v="Leuna"/>
    <s v="GER"/>
    <s v="Germany"/>
    <x v="0"/>
    <n v="2506.6283370000001"/>
    <n v="432695.269707"/>
    <m/>
    <n v="450.22899999999998"/>
    <n v="445.84604100000001"/>
    <n v="1.3340799999999999"/>
    <n v="3.0484230000000001"/>
    <n v="450.22899999999998"/>
    <n v="445.84604100000001"/>
    <n v="1.3340799999999999"/>
    <n v="3.0484230000000001"/>
    <x v="0"/>
  </r>
  <r>
    <d v="2023-06-01T00:00:00"/>
    <x v="19"/>
    <s v="Manufacturing"/>
    <x v="13"/>
    <x v="1"/>
    <s v="Am Haupttor, Gebäude 7302"/>
    <s v="Leuna"/>
    <s v="GER"/>
    <s v="Germany"/>
    <x v="0"/>
    <n v="1781.2502380000001"/>
    <n v="328924.188043"/>
    <m/>
    <n v="319.94"/>
    <n v="316.82533599999999"/>
    <n v="0.94801800000000003"/>
    <n v="2.166258"/>
    <n v="319.94"/>
    <n v="316.82533599999999"/>
    <n v="0.94801800000000003"/>
    <n v="2.166258"/>
    <x v="0"/>
  </r>
  <r>
    <d v="2023-07-01T00:00:00"/>
    <x v="19"/>
    <s v="Manufacturing"/>
    <x v="13"/>
    <x v="1"/>
    <s v="Am Haupttor, Gebäude 7302"/>
    <s v="Leuna"/>
    <s v="GER"/>
    <s v="Germany"/>
    <x v="0"/>
    <n v="1200.9471590000001"/>
    <n v="215606.698045"/>
    <m/>
    <n v="215.708"/>
    <n v="213.608666"/>
    <n v="0.63916899999999999"/>
    <n v="1.460526"/>
    <n v="215.708"/>
    <n v="213.608666"/>
    <n v="0.63916899999999999"/>
    <n v="1.460526"/>
    <x v="0"/>
  </r>
  <r>
    <d v="2023-08-01T00:00:00"/>
    <x v="19"/>
    <s v="Manufacturing"/>
    <x v="13"/>
    <x v="1"/>
    <s v="Am Haupttor, Gebäude 7302"/>
    <s v="Leuna"/>
    <s v="GER"/>
    <s v="Germany"/>
    <x v="0"/>
    <n v="942.60412499999995"/>
    <n v="176140.902477"/>
    <m/>
    <n v="169.30600000000001"/>
    <n v="167.65800899999999"/>
    <n v="0.50167399999999995"/>
    <n v="1.1463429999999999"/>
    <n v="169.30600000000001"/>
    <n v="167.65800899999999"/>
    <n v="0.50167399999999995"/>
    <n v="1.1463429999999999"/>
    <x v="0"/>
  </r>
  <r>
    <d v="2023-09-01T00:00:00"/>
    <x v="19"/>
    <s v="Manufacturing"/>
    <x v="13"/>
    <x v="1"/>
    <s v="Am Haupttor, Gebäude 7302"/>
    <s v="Leuna"/>
    <s v="GER"/>
    <s v="Germany"/>
    <x v="0"/>
    <n v="1658.672223"/>
    <n v="275814.31099600001"/>
    <m/>
    <n v="297.923"/>
    <n v="295.02277299999997"/>
    <n v="0.88278000000000001"/>
    <n v="2.0171860000000001"/>
    <n v="297.923"/>
    <n v="295.02277299999997"/>
    <n v="0.88278000000000001"/>
    <n v="2.0171860000000001"/>
    <x v="0"/>
  </r>
  <r>
    <d v="2023-10-01T00:00:00"/>
    <x v="19"/>
    <s v="Manufacturing"/>
    <x v="13"/>
    <x v="1"/>
    <s v="Am Haupttor, Gebäude 7302"/>
    <s v="Leuna"/>
    <s v="GER"/>
    <s v="Germany"/>
    <x v="0"/>
    <n v="1945.7202600000001"/>
    <n v="309291.376147"/>
    <m/>
    <n v="349.48099999999999"/>
    <n v="346.07909799999999"/>
    <n v="1.0355529999999999"/>
    <n v="2.3662779999999999"/>
    <n v="349.48099999999999"/>
    <n v="346.07909799999999"/>
    <n v="1.0355529999999999"/>
    <n v="2.3662779999999999"/>
    <x v="0"/>
  </r>
  <r>
    <d v="2023-11-01T00:00:00"/>
    <x v="19"/>
    <s v="Manufacturing"/>
    <x v="13"/>
    <x v="1"/>
    <s v="Am Haupttor, Gebäude 7302"/>
    <s v="Leuna"/>
    <s v="GER"/>
    <s v="Germany"/>
    <x v="0"/>
    <n v="2514.3863350000001"/>
    <n v="397399.74093099998"/>
    <m/>
    <n v="451.62200000000001"/>
    <n v="447.225931"/>
    <n v="1.338209"/>
    <n v="3.057858"/>
    <n v="451.62200000000001"/>
    <n v="447.225931"/>
    <n v="1.338209"/>
    <n v="3.057858"/>
    <x v="0"/>
  </r>
  <r>
    <d v="2023-12-01T00:00:00"/>
    <x v="19"/>
    <s v="Manufacturing"/>
    <x v="13"/>
    <x v="1"/>
    <s v="Am Haupttor, Gebäude 7302"/>
    <s v="Leuna"/>
    <s v="GER"/>
    <s v="Germany"/>
    <x v="0"/>
    <n v="2825.4843780000001"/>
    <n v="440688.40590000001"/>
    <m/>
    <n v="507.5"/>
    <n v="502.559954"/>
    <n v="1.503782"/>
    <n v="3.4361980000000001"/>
    <n v="507.5"/>
    <n v="502.559954"/>
    <n v="1.503782"/>
    <n v="3.4361980000000001"/>
    <x v="0"/>
  </r>
  <r>
    <d v="2023-0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3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4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5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6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7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8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9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10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1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1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5" cacheId="327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B37:E62" firstHeaderRow="2" firstDataRow="2" firstDataCol="3" rowPageCount="1" colPageCount="1"/>
  <pivotFields count="22">
    <pivotField compact="0" numFmtId="164" outline="0" showAll="0" includeNewItemsInFilter="1"/>
    <pivotField axis="axisRow" compact="0" outline="0" showAll="0" includeNewItemsInFilter="1" defaultSubtotal="0">
      <items count="20">
        <item x="0"/>
        <item x="14"/>
        <item x="13"/>
        <item x="4"/>
        <item x="1"/>
        <item x="5"/>
        <item x="2"/>
        <item x="6"/>
        <item x="3"/>
        <item x="11"/>
        <item x="16"/>
        <item x="7"/>
        <item x="8"/>
        <item x="10"/>
        <item x="17"/>
        <item x="9"/>
        <item x="12"/>
        <item x="15"/>
        <item x="18"/>
        <item x="19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2"/>
        <item x="3"/>
        <item x="1"/>
        <item x="0"/>
        <item x="4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3">
        <item x="0"/>
        <item h="1" x="1"/>
        <item t="default"/>
      </items>
    </pivotField>
  </pivotFields>
  <rowFields count="3">
    <field x="4"/>
    <field x="1"/>
    <field x="9"/>
  </rowFields>
  <rowItems count="24">
    <i>
      <x/>
      <x/>
      <x v="3"/>
    </i>
    <i r="1">
      <x v="1"/>
      <x/>
    </i>
    <i r="1">
      <x v="2"/>
      <x v="1"/>
    </i>
    <i r="1">
      <x v="4"/>
      <x v="2"/>
    </i>
    <i r="1">
      <x v="5"/>
      <x v="3"/>
    </i>
    <i r="1">
      <x v="6"/>
      <x v="3"/>
    </i>
    <i r="1">
      <x v="7"/>
      <x v="3"/>
    </i>
    <i r="1">
      <x v="8"/>
      <x/>
    </i>
    <i r="1">
      <x v="11"/>
      <x v="3"/>
    </i>
    <i r="1">
      <x v="12"/>
      <x v="3"/>
    </i>
    <i r="1">
      <x v="15"/>
      <x v="3"/>
    </i>
    <i r="1">
      <x v="18"/>
      <x v="1"/>
    </i>
    <i t="default">
      <x/>
    </i>
    <i>
      <x v="1"/>
      <x v="3"/>
      <x v="3"/>
    </i>
    <i r="1">
      <x v="19"/>
      <x v="3"/>
    </i>
    <i t="default">
      <x v="1"/>
    </i>
    <i>
      <x v="2"/>
      <x v="9"/>
      <x v="1"/>
    </i>
    <i r="1">
      <x v="10"/>
      <x v="1"/>
    </i>
    <i r="1">
      <x v="13"/>
      <x v="1"/>
    </i>
    <i r="1">
      <x v="14"/>
      <x v="1"/>
    </i>
    <i r="1">
      <x v="16"/>
      <x v="1"/>
    </i>
    <i r="1">
      <x v="17"/>
      <x v="4"/>
    </i>
    <i t="default">
      <x v="2"/>
    </i>
    <i t="grand">
      <x/>
    </i>
  </rowItems>
  <colItems count="1">
    <i/>
  </colItems>
  <pageFields count="1">
    <pageField fld="21" item="0" hier="0"/>
  </pageFields>
  <dataFields count="1">
    <dataField name="Sum of Usage" fld="10" baseField="0" baseItem="0" numFmtId="43"/>
  </dataFields>
  <formats count="2">
    <format dxfId="7">
      <pivotArea field="21" type="button" dataOnly="0" labelOnly="1" outline="0" axis="axisPage" fieldPosition="0"/>
    </format>
    <format dxfId="6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9" cacheId="327" applyNumberFormats="0" applyBorderFormats="0" applyFontFormats="0" applyPatternFormats="0" applyAlignmentFormats="0" applyWidthHeightFormats="1" dataCaption="Values" updatedVersion="8" minRefreshableVersion="3" showMemberPropertyTips="0" useAutoFormatting="1" colGrandTotals="0" itemPrintTitles="1" createdVersion="8" indent="0" compact="0" compactData="0" gridDropZones="1">
  <location ref="B6:E31" firstHeaderRow="1" firstDataRow="2" firstDataCol="2" rowPageCount="1" colPageCount="1"/>
  <pivotFields count="22">
    <pivotField compact="0" numFmtId="164" outline="0" showAll="0" includeNewItemsInFilter="1"/>
    <pivotField axis="axisRow" compact="0" outline="0" showAll="0" includeNewItemsInFilter="1" defaultSubtotal="0">
      <items count="20">
        <item x="0"/>
        <item x="14"/>
        <item x="13"/>
        <item x="4"/>
        <item x="5"/>
        <item x="2"/>
        <item x="6"/>
        <item x="3"/>
        <item x="11"/>
        <item x="16"/>
        <item x="7"/>
        <item x="8"/>
        <item x="10"/>
        <item x="17"/>
        <item x="9"/>
        <item x="12"/>
        <item x="15"/>
        <item x="1"/>
        <item x="18"/>
        <item x="19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howAll="0" includeNewItemsInFilter="1">
      <items count="3">
        <item x="0"/>
        <item h="1" x="1"/>
        <item t="default"/>
      </items>
    </pivotField>
  </pivotFields>
  <rowFields count="2">
    <field x="4"/>
    <field x="1"/>
  </rowFields>
  <rowItems count="24">
    <i>
      <x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4"/>
    </i>
    <i r="1">
      <x v="17"/>
    </i>
    <i r="1">
      <x v="18"/>
    </i>
    <i t="default">
      <x/>
    </i>
    <i>
      <x v="1"/>
      <x v="3"/>
    </i>
    <i r="1">
      <x v="19"/>
    </i>
    <i t="default">
      <x v="1"/>
    </i>
    <i>
      <x v="2"/>
      <x v="8"/>
    </i>
    <i r="1">
      <x v="9"/>
    </i>
    <i r="1">
      <x v="12"/>
    </i>
    <i r="1">
      <x v="13"/>
    </i>
    <i r="1">
      <x v="15"/>
    </i>
    <i r="1">
      <x v="16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1" item="0" hier="0"/>
  </pageFields>
  <dataFields count="2">
    <dataField name="Sum of Total CO2e Emissions (Market Based) (mtons CO2-e)" fld="13" baseField="0" baseItem="0"/>
    <dataField name="Sum of Total CO2e Emissions (Location-Based) (mtons CO2-e)" fld="17" baseField="0" baseItem="0"/>
  </dataFields>
  <formats count="3">
    <format dxfId="10">
      <pivotArea type="origin" dataOnly="0" labelOnly="1" outline="0" fieldPosition="0"/>
    </format>
    <format dxfId="9">
      <pivotArea field="-2" type="button" dataOnly="0" labelOnly="1" outline="0" axis="axisCol" fieldPosition="0"/>
    </format>
    <format dxfId="8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4" cacheId="326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K5:L8" firstHeaderRow="2" firstDataRow="2" firstDataCol="1"/>
  <pivotFields count="6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showAll="0" includeNewItemsInFilter="1">
      <items count="2">
        <item x="0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dataFields count="1">
    <dataField name="Sum of Total Water Usage (gallons)" fld="3" baseField="0" baseItem="0"/>
  </dataFields>
  <formats count="1">
    <format dxfId="11">
      <pivotArea outline="0" fieldPosition="0">
        <references count="1">
          <reference field="5" count="0" selected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47" cacheId="326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67:C93" firstHeaderRow="2" firstDataRow="2" firstDataCol="1"/>
  <pivotFields count="6">
    <pivotField compact="0" numFmtId="164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Water Usage (gallons)" fld="3" baseField="0" baseItem="0"/>
  </dataFields>
  <formats count="2">
    <format dxfId="1">
      <pivotArea outline="0" fieldPosition="0">
        <references count="1">
          <reference field="1" count="0" selected="0"/>
        </references>
      </pivotArea>
    </format>
    <format dxfId="0">
      <pivotArea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33" cacheId="327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F38:G53" firstHeaderRow="1" firstDataRow="2" firstDataCol="1" rowPageCount="2" colPageCount="1"/>
  <pivotFields count="22">
    <pivotField compact="0" numFmtId="164" outline="0" showAll="0" includeNewItemsInFilter="1"/>
    <pivotField axis="axisPage" compact="0" outline="0" showAll="0" includeNewItemsInFilter="1">
      <items count="21">
        <item h="1" x="0"/>
        <item h="1" x="14"/>
        <item h="1" x="13"/>
        <item h="1" x="4"/>
        <item h="1" x="1"/>
        <item h="1" x="5"/>
        <item h="1" x="2"/>
        <item h="1" x="6"/>
        <item h="1" x="3"/>
        <item h="1" x="11"/>
        <item h="1" x="16"/>
        <item h="1" x="7"/>
        <item x="8"/>
        <item h="1" x="10"/>
        <item h="1" x="17"/>
        <item h="1" x="9"/>
        <item h="1" x="12"/>
        <item h="1" x="15"/>
        <item h="1" x="18"/>
        <item h="1" x="19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6">
        <item x="2"/>
        <item x="3"/>
        <item x="1"/>
        <item x="0"/>
        <item x="4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3">
        <item h="1" x="1"/>
        <item x="0"/>
        <item t="default"/>
      </items>
    </pivotField>
  </pivotFields>
  <rowFields count="1">
    <field x="3"/>
  </rowFields>
  <rowItems count="14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3"/>
    </i>
    <i>
      <x v="17"/>
    </i>
    <i>
      <x v="22"/>
    </i>
    <i t="grand">
      <x/>
    </i>
  </rowItems>
  <colFields count="1">
    <field x="9"/>
  </colFields>
  <colItems count="1">
    <i>
      <x v="3"/>
    </i>
  </colItems>
  <pageFields count="2">
    <pageField fld="1" item="12" hier="0"/>
    <pageField fld="21" item="1" hier="0"/>
  </pageFields>
  <dataFields count="1">
    <dataField name="Sum of Usage" fld="10" baseField="0" baseItem="0"/>
  </dataFields>
  <formats count="1">
    <format dxfId="2">
      <pivotArea outline="0" fieldPosition="0">
        <references count="1">
          <reference field="3" count="14" selected="0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7"/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32" cacheId="327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B38:C62" firstHeaderRow="1" firstDataRow="2" firstDataCol="1" rowPageCount="2" colPageCount="1"/>
  <pivotFields count="22">
    <pivotField compact="0" numFmtId="164" outline="0" showAll="0" includeNewItemsInFilter="1"/>
    <pivotField axis="axisPage" compact="0" outline="0" showAll="0" includeNewItemsInFilter="1">
      <items count="21">
        <item h="1" x="0"/>
        <item h="1" x="14"/>
        <item h="1" x="13"/>
        <item x="4"/>
        <item h="1" x="1"/>
        <item h="1" x="5"/>
        <item h="1" x="2"/>
        <item h="1" x="6"/>
        <item h="1" x="3"/>
        <item h="1" x="11"/>
        <item h="1" x="16"/>
        <item h="1" x="7"/>
        <item h="1" x="8"/>
        <item h="1" x="10"/>
        <item h="1" x="17"/>
        <item h="1" x="9"/>
        <item h="1" x="12"/>
        <item h="1" x="15"/>
        <item h="1" x="18"/>
        <item h="1" x="19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6">
        <item x="2"/>
        <item x="3"/>
        <item x="1"/>
        <item x="0"/>
        <item x="4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3">
        <item h="1" x="1"/>
        <item x="0"/>
        <item t="default"/>
      </items>
    </pivotField>
  </pivotFields>
  <rowFields count="1">
    <field x="3"/>
  </rowFields>
  <rowItems count="23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9"/>
  </colFields>
  <colItems count="1">
    <i>
      <x v="3"/>
    </i>
  </colItems>
  <pageFields count="2">
    <pageField fld="1" item="3" hier="0"/>
    <pageField fld="21" item="1" hier="0"/>
  </pageFields>
  <dataFields count="1">
    <dataField name="Sum of Usage" fld="10" baseField="0" baseItem="0"/>
  </dataFields>
  <formats count="1">
    <format dxfId="3">
      <pivotArea outline="0" fieldPosition="0">
        <references count="1">
          <reference field="3" count="21" selected="0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21" cacheId="327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B4:F30" firstHeaderRow="1" firstDataRow="2" firstDataCol="1" rowPageCount="1" colPageCount="1"/>
  <pivotFields count="22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2">
        <item h="1" x="1"/>
        <item x="0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21" item="1" hier="0"/>
  </pageFields>
  <dataFields count="1">
    <dataField name="Sum of Total CO2e Emissions (Market Based) (mtons CO2-e)" fld="13" baseField="0" baseItem="0" numFmtId="43"/>
  </dataFields>
  <formats count="2">
    <format dxfId="5">
      <pivotArea type="origin" dataOnly="0" labelOnly="1" outline="0" fieldPosition="0"/>
    </format>
    <format dxfId="4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S70"/>
  <sheetViews>
    <sheetView showGridLines="0" tabSelected="1" workbookViewId="0">
      <selection activeCell="D13" sqref="D13"/>
    </sheetView>
  </sheetViews>
  <sheetFormatPr defaultRowHeight="13.2" x14ac:dyDescent="0.25"/>
  <cols>
    <col min="2" max="2" width="25" bestFit="1" customWidth="1"/>
    <col min="3" max="3" width="25.109375" bestFit="1" customWidth="1"/>
    <col min="4" max="5" width="26.33203125" bestFit="1" customWidth="1"/>
  </cols>
  <sheetData>
    <row r="7" spans="2:19" ht="22.8" x14ac:dyDescent="0.25">
      <c r="B7" s="48" t="s">
        <v>0</v>
      </c>
      <c r="C7" s="48"/>
    </row>
    <row r="8" spans="2:19" x14ac:dyDescent="0.25">
      <c r="S8">
        <f>88584-106088</f>
        <v>-17504</v>
      </c>
    </row>
    <row r="9" spans="2:19" ht="15.6" x14ac:dyDescent="0.3">
      <c r="B9" s="12" t="s">
        <v>1</v>
      </c>
      <c r="S9">
        <f>S8/106088</f>
        <v>-0.16499509840886811</v>
      </c>
    </row>
    <row r="10" spans="2:19" ht="14.4" x14ac:dyDescent="0.3">
      <c r="B10" s="13"/>
    </row>
    <row r="11" spans="2:19" ht="14.4" x14ac:dyDescent="0.3">
      <c r="B11" s="26" t="s">
        <v>2</v>
      </c>
      <c r="C11" s="27" t="s">
        <v>3</v>
      </c>
      <c r="D11" s="27" t="s">
        <v>4</v>
      </c>
      <c r="E11" s="14"/>
    </row>
    <row r="12" spans="2:19" ht="14.4" x14ac:dyDescent="0.3">
      <c r="B12" s="15" t="s">
        <v>5</v>
      </c>
      <c r="C12" s="30">
        <f>GETPIVOTDATA("Sum of Total CO2e Emissions (Market Based) (mtons CO2-e)",Pivot!$B$6,"Scope","Scope 1")</f>
        <v>57269.823000000011</v>
      </c>
      <c r="D12" s="16">
        <f>GETPIVOTDATA("Sum of Total CO2e Emissions (Location-Based) (mtons CO2-e)",Pivot!$B$6,"Scope","Scope 1")</f>
        <v>57269.823000000011</v>
      </c>
      <c r="E12" s="17"/>
    </row>
    <row r="13" spans="2:19" ht="14.4" x14ac:dyDescent="0.3">
      <c r="B13" s="15" t="s">
        <v>6</v>
      </c>
      <c r="C13" s="30">
        <f>GETPIVOTDATA("Sum of Total CO2e Emissions (Market Based) (mtons CO2-e)",Pivot!$B$6,"Scope","Scope 2")</f>
        <v>31315.117000000017</v>
      </c>
      <c r="D13" s="16">
        <f>GETPIVOTDATA("Sum of Total CO2e Emissions (Location-Based) (mtons CO2-e)",Pivot!$B$6,"Scope","Scope 2")</f>
        <v>35782.581999999995</v>
      </c>
      <c r="E13" s="17"/>
    </row>
    <row r="14" spans="2:19" ht="14.4" x14ac:dyDescent="0.3">
      <c r="B14" s="15" t="s">
        <v>7</v>
      </c>
      <c r="C14" s="30">
        <f>GETPIVOTDATA("Sum of Total CO2e Emissions (Market Based) (mtons CO2-e)",Pivot!$B$6,"Scope","Scope 3")</f>
        <v>1492.3700000000006</v>
      </c>
      <c r="D14" s="16">
        <f>GETPIVOTDATA("Sum of Total CO2e Emissions (Location-Based) (mtons CO2-e)",Pivot!$B$6,"Scope","Scope 3")</f>
        <v>1492.3700000000006</v>
      </c>
      <c r="E14" s="17"/>
    </row>
    <row r="15" spans="2:19" ht="14.4" x14ac:dyDescent="0.3">
      <c r="B15" s="18" t="s">
        <v>8</v>
      </c>
      <c r="C15" s="19">
        <f>SUM(C12:C14)</f>
        <v>90077.310000000027</v>
      </c>
      <c r="D15" s="19">
        <f>SUM(D12:D14)</f>
        <v>94544.774999999994</v>
      </c>
      <c r="E15" s="20"/>
    </row>
    <row r="17" spans="2:6" ht="15.6" x14ac:dyDescent="0.3">
      <c r="B17" s="12" t="s">
        <v>9</v>
      </c>
      <c r="C17" s="21"/>
      <c r="D17" s="21"/>
      <c r="E17" s="21"/>
    </row>
    <row r="18" spans="2:6" ht="14.4" x14ac:dyDescent="0.3">
      <c r="B18" s="21"/>
      <c r="C18" s="21"/>
      <c r="D18" s="21"/>
      <c r="E18" s="21"/>
    </row>
    <row r="19" spans="2:6" ht="14.4" x14ac:dyDescent="0.3">
      <c r="B19" s="26" t="s">
        <v>2</v>
      </c>
      <c r="C19" s="26" t="s">
        <v>10</v>
      </c>
      <c r="D19" s="27" t="s">
        <v>3</v>
      </c>
      <c r="E19" s="27" t="s">
        <v>4</v>
      </c>
    </row>
    <row r="20" spans="2:6" ht="14.4" x14ac:dyDescent="0.3">
      <c r="B20" s="49" t="s">
        <v>5</v>
      </c>
      <c r="C20" s="22" t="s">
        <v>11</v>
      </c>
      <c r="D20" s="23">
        <f>_xlfn.XLOOKUP($C20,Pivot!$C$8:$C$29,Pivot!D$8:D$29)</f>
        <v>246.21200000000002</v>
      </c>
      <c r="E20" s="23">
        <f>_xlfn.XLOOKUP($C20,Pivot!$C$8:$C$29,Pivot!E$8:E$29)</f>
        <v>246.21200000000002</v>
      </c>
    </row>
    <row r="21" spans="2:6" ht="14.4" x14ac:dyDescent="0.3">
      <c r="B21" s="51"/>
      <c r="C21" s="22" t="s">
        <v>12</v>
      </c>
      <c r="D21" s="23">
        <f>_xlfn.XLOOKUP($C21,Pivot!$C$8:$C$29,Pivot!D$8:D$29)</f>
        <v>34.131999999999998</v>
      </c>
      <c r="E21" s="23">
        <f>_xlfn.XLOOKUP($C21,Pivot!$C$8:$C$29,Pivot!E$8:E$29)</f>
        <v>34.131999999999998</v>
      </c>
    </row>
    <row r="22" spans="2:6" ht="14.4" x14ac:dyDescent="0.3">
      <c r="B22" s="51"/>
      <c r="C22" s="22" t="s">
        <v>13</v>
      </c>
      <c r="D22" s="23">
        <f>_xlfn.XLOOKUP($C22,Pivot!$C$8:$C$29,Pivot!D$8:D$29)</f>
        <v>42.156000000000006</v>
      </c>
      <c r="E22" s="23">
        <f>_xlfn.XLOOKUP($C22,Pivot!$C$8:$C$29,Pivot!E$8:E$29)</f>
        <v>42.156000000000006</v>
      </c>
    </row>
    <row r="23" spans="2:6" ht="14.4" x14ac:dyDescent="0.3">
      <c r="B23" s="51"/>
      <c r="C23" s="22" t="s">
        <v>14</v>
      </c>
      <c r="D23" s="23">
        <f>_xlfn.XLOOKUP($C23,Pivot!$C$8:$C$29,Pivot!D$8:D$29)</f>
        <v>1.946</v>
      </c>
      <c r="E23" s="23">
        <f>_xlfn.XLOOKUP($C23,Pivot!$C$8:$C$29,Pivot!E$8:E$29)</f>
        <v>1.946</v>
      </c>
    </row>
    <row r="24" spans="2:6" ht="14.4" x14ac:dyDescent="0.3">
      <c r="B24" s="51"/>
      <c r="C24" s="22" t="s">
        <v>15</v>
      </c>
      <c r="D24" s="23">
        <f>_xlfn.XLOOKUP($C24,Pivot!$C$8:$C$29,Pivot!D$8:D$29)</f>
        <v>20.708000000000002</v>
      </c>
      <c r="E24" s="23">
        <f>_xlfn.XLOOKUP($C24,Pivot!$C$8:$C$29,Pivot!E$8:E$29)</f>
        <v>20.708000000000002</v>
      </c>
    </row>
    <row r="25" spans="2:6" ht="14.4" x14ac:dyDescent="0.3">
      <c r="B25" s="51"/>
      <c r="C25" s="22" t="s">
        <v>16</v>
      </c>
      <c r="D25" s="23">
        <f>_xlfn.XLOOKUP($C25,Pivot!$C$8:$C$29,Pivot!D$8:D$29)</f>
        <v>112.84700000000001</v>
      </c>
      <c r="E25" s="23">
        <f>_xlfn.XLOOKUP($C25,Pivot!$C$8:$C$29,Pivot!E$8:E$29)</f>
        <v>112.84700000000001</v>
      </c>
    </row>
    <row r="26" spans="2:6" ht="14.4" x14ac:dyDescent="0.3">
      <c r="B26" s="51"/>
      <c r="C26" s="22" t="s">
        <v>17</v>
      </c>
      <c r="D26" s="23">
        <f>_xlfn.XLOOKUP($C26,Pivot!$C$8:$C$29,Pivot!D$8:D$29)</f>
        <v>114.70200000000003</v>
      </c>
      <c r="E26" s="23">
        <f>_xlfn.XLOOKUP($C26,Pivot!$C$8:$C$29,Pivot!E$8:E$29)</f>
        <v>114.70200000000003</v>
      </c>
    </row>
    <row r="27" spans="2:6" ht="14.4" x14ac:dyDescent="0.3">
      <c r="B27" s="51"/>
      <c r="C27" s="22" t="s">
        <v>18</v>
      </c>
      <c r="D27" s="23">
        <f>_xlfn.XLOOKUP($C27,Pivot!$C$8:$C$29,Pivot!D$8:D$29)</f>
        <v>3.4279999999999999</v>
      </c>
      <c r="E27" s="23">
        <f>_xlfn.XLOOKUP($C27,Pivot!$C$8:$C$29,Pivot!E$8:E$29)</f>
        <v>3.4279999999999999</v>
      </c>
    </row>
    <row r="28" spans="2:6" ht="14.4" x14ac:dyDescent="0.3">
      <c r="B28" s="51"/>
      <c r="C28" s="22" t="s">
        <v>19</v>
      </c>
      <c r="D28" s="23">
        <f>_xlfn.XLOOKUP($C28,Pivot!$C$8:$C$29,Pivot!D$8:D$29)</f>
        <v>56515.751000000011</v>
      </c>
      <c r="E28" s="23">
        <f>_xlfn.XLOOKUP($C28,Pivot!$C$8:$C$29,Pivot!E$8:E$29)</f>
        <v>56515.751000000011</v>
      </c>
    </row>
    <row r="29" spans="2:6" ht="14.4" x14ac:dyDescent="0.3">
      <c r="B29" s="51"/>
      <c r="C29" s="22" t="s">
        <v>20</v>
      </c>
      <c r="D29" s="23">
        <f>_xlfn.XLOOKUP($C29,Pivot!$C$8:$C$29,Pivot!D$8:D$29)</f>
        <v>11.957000000000003</v>
      </c>
      <c r="E29" s="23">
        <f>_xlfn.XLOOKUP($C29,Pivot!$C$8:$C$29,Pivot!E$8:E$29)</f>
        <v>11.957000000000003</v>
      </c>
    </row>
    <row r="30" spans="2:6" ht="14.4" x14ac:dyDescent="0.3">
      <c r="B30" s="51"/>
      <c r="C30" s="22" t="s">
        <v>21</v>
      </c>
      <c r="D30" s="23">
        <f>_xlfn.XLOOKUP($C30,Pivot!$C$8:$C$29,Pivot!D$8:D$29)</f>
        <v>2.3519999999999999</v>
      </c>
      <c r="E30" s="23">
        <f>_xlfn.XLOOKUP($C30,Pivot!$C$8:$C$29,Pivot!E$8:E$29)</f>
        <v>2.3519999999999999</v>
      </c>
      <c r="F30" s="46"/>
    </row>
    <row r="31" spans="2:6" ht="14.4" x14ac:dyDescent="0.3">
      <c r="B31" s="50"/>
      <c r="C31" s="22" t="s">
        <v>22</v>
      </c>
      <c r="D31" s="23">
        <f>_xlfn.XLOOKUP($C31,Pivot!$C$8:$C$29,Pivot!D$8:D$29)</f>
        <v>163.63199999999992</v>
      </c>
      <c r="E31" s="23">
        <f>_xlfn.XLOOKUP($C31,Pivot!$C$8:$C$29,Pivot!E$8:E$29)</f>
        <v>163.63199999999992</v>
      </c>
      <c r="F31" s="46"/>
    </row>
    <row r="32" spans="2:6" ht="14.4" x14ac:dyDescent="0.3">
      <c r="B32" s="49" t="s">
        <v>6</v>
      </c>
      <c r="C32" s="22" t="s">
        <v>23</v>
      </c>
      <c r="D32" s="23">
        <f>_xlfn.XLOOKUP($C32,Pivot!$C$8:$C$29,Pivot!D$8:D$29)</f>
        <v>26570.229000000018</v>
      </c>
      <c r="E32" s="23">
        <f>_xlfn.XLOOKUP($C32,Pivot!$C$8:$C$29,Pivot!E$8:E$29)</f>
        <v>31037.693999999992</v>
      </c>
    </row>
    <row r="33" spans="2:5" ht="14.4" x14ac:dyDescent="0.3">
      <c r="B33" s="50"/>
      <c r="C33" s="22" t="s">
        <v>24</v>
      </c>
      <c r="D33" s="23">
        <f>_xlfn.XLOOKUP(C33,Pivot!$C$8:$C$29,Pivot!$D$8:$D$29)</f>
        <v>4744.8879999999999</v>
      </c>
      <c r="E33" s="23">
        <f>_xlfn.XLOOKUP($C33,Pivot!$C$8:$C$29,Pivot!E$8:E$29)</f>
        <v>4744.8879999999999</v>
      </c>
    </row>
    <row r="34" spans="2:5" ht="14.4" x14ac:dyDescent="0.3">
      <c r="B34" s="49" t="s">
        <v>7</v>
      </c>
      <c r="C34" s="15" t="s">
        <v>25</v>
      </c>
      <c r="D34" s="23">
        <f>_xlfn.XLOOKUP(C34,Pivot!$C$8:$C$29,Pivot!$D$8:$D$29)</f>
        <v>115.996</v>
      </c>
      <c r="E34" s="23">
        <f>_xlfn.XLOOKUP($C34,Pivot!$C$8:$C$29,Pivot!E$8:E$29)</f>
        <v>115.996</v>
      </c>
    </row>
    <row r="35" spans="2:5" ht="14.4" x14ac:dyDescent="0.3">
      <c r="B35" s="51"/>
      <c r="C35" s="15" t="s">
        <v>26</v>
      </c>
      <c r="D35" s="23">
        <f>_xlfn.XLOOKUP(C35,Pivot!$C$8:$C$29,Pivot!$D$8:$D$29)</f>
        <v>2.4000000000000007E-2</v>
      </c>
      <c r="E35" s="23">
        <f>_xlfn.XLOOKUP($C35,Pivot!$C$8:$C$29,Pivot!E$8:E$29)</f>
        <v>2.4000000000000007E-2</v>
      </c>
    </row>
    <row r="36" spans="2:5" ht="14.4" x14ac:dyDescent="0.3">
      <c r="B36" s="51"/>
      <c r="C36" s="15" t="s">
        <v>27</v>
      </c>
      <c r="D36" s="23">
        <f>_xlfn.XLOOKUP(C36,Pivot!$C$8:$C$29,Pivot!$D$8:$D$29)</f>
        <v>995.2100000000006</v>
      </c>
      <c r="E36" s="23">
        <f>_xlfn.XLOOKUP($C36,Pivot!$C$8:$C$29,Pivot!E$8:E$29)</f>
        <v>995.2100000000006</v>
      </c>
    </row>
    <row r="37" spans="2:5" ht="14.4" x14ac:dyDescent="0.3">
      <c r="B37" s="51"/>
      <c r="C37" s="15" t="s">
        <v>28</v>
      </c>
      <c r="D37" s="23">
        <f>_xlfn.XLOOKUP(C37,Pivot!$C$8:$C$29,Pivot!$D$8:$D$29)</f>
        <v>2.0239999999999996</v>
      </c>
      <c r="E37" s="23">
        <f>_xlfn.XLOOKUP($C37,Pivot!$C$8:$C$29,Pivot!E$8:E$29)</f>
        <v>2.0239999999999996</v>
      </c>
    </row>
    <row r="38" spans="2:5" ht="14.4" x14ac:dyDescent="0.3">
      <c r="B38" s="51"/>
      <c r="C38" s="15" t="s">
        <v>29</v>
      </c>
      <c r="D38" s="23">
        <f>_xlfn.XLOOKUP(C38,Pivot!$C$8:$C$29,Pivot!$D$8:$D$29)</f>
        <v>0</v>
      </c>
      <c r="E38" s="23">
        <f>_xlfn.XLOOKUP($C38,Pivot!$C$8:$C$29,Pivot!E$8:E$29)</f>
        <v>0</v>
      </c>
    </row>
    <row r="39" spans="2:5" ht="14.4" x14ac:dyDescent="0.3">
      <c r="B39" s="50"/>
      <c r="C39" s="15" t="s">
        <v>30</v>
      </c>
      <c r="D39" s="23">
        <f>_xlfn.XLOOKUP(C39,Pivot!$C$8:$C$29,Pivot!$D$8:$D$29)</f>
        <v>379.11600000000004</v>
      </c>
      <c r="E39" s="23">
        <f>_xlfn.XLOOKUP($C39,Pivot!$C$8:$C$29,Pivot!E$8:E$29)</f>
        <v>379.11600000000004</v>
      </c>
    </row>
    <row r="40" spans="2:5" ht="14.4" x14ac:dyDescent="0.3">
      <c r="B40" s="18" t="s">
        <v>8</v>
      </c>
      <c r="C40" s="18"/>
      <c r="D40" s="29">
        <f>SUM(D20:D39)</f>
        <v>90077.310000000041</v>
      </c>
      <c r="E40" s="29">
        <f>SUM(E20:E39)</f>
        <v>94544.775000000023</v>
      </c>
    </row>
    <row r="42" spans="2:5" ht="15.6" x14ac:dyDescent="0.3">
      <c r="B42" s="12" t="s">
        <v>31</v>
      </c>
      <c r="C42" s="47"/>
      <c r="D42" s="47"/>
    </row>
    <row r="43" spans="2:5" ht="14.4" x14ac:dyDescent="0.25">
      <c r="B43" s="24"/>
      <c r="C43" s="25"/>
      <c r="D43" s="25"/>
    </row>
    <row r="44" spans="2:5" ht="14.4" x14ac:dyDescent="0.3">
      <c r="B44" s="26" t="s">
        <v>2</v>
      </c>
      <c r="C44" s="26" t="s">
        <v>10</v>
      </c>
      <c r="D44" s="26" t="s">
        <v>32</v>
      </c>
      <c r="E44" s="26" t="s">
        <v>33</v>
      </c>
    </row>
    <row r="45" spans="2:5" ht="14.4" x14ac:dyDescent="0.3">
      <c r="B45" s="15" t="s">
        <v>5</v>
      </c>
      <c r="C45" s="23" t="s">
        <v>11</v>
      </c>
      <c r="D45" s="23" t="s">
        <v>34</v>
      </c>
      <c r="E45" s="23">
        <f>_xlfn.XLOOKUP(C45,Pivot!$C$39:$C$60,Pivot!$E$39:$E$60)</f>
        <v>1052.0065510000004</v>
      </c>
    </row>
    <row r="46" spans="2:5" ht="14.4" x14ac:dyDescent="0.3">
      <c r="B46" s="15" t="s">
        <v>5</v>
      </c>
      <c r="C46" s="23" t="s">
        <v>12</v>
      </c>
      <c r="D46" s="23" t="s">
        <v>35</v>
      </c>
      <c r="E46" s="23">
        <f>_xlfn.XLOOKUP(C46,Pivot!$C$39:$C$60,Pivot!$E$39:$E$60)</f>
        <v>3588</v>
      </c>
    </row>
    <row r="47" spans="2:5" ht="14.4" x14ac:dyDescent="0.3">
      <c r="B47" s="15" t="s">
        <v>5</v>
      </c>
      <c r="C47" s="23" t="s">
        <v>13</v>
      </c>
      <c r="D47" s="23" t="s">
        <v>36</v>
      </c>
      <c r="E47" s="23">
        <f>_xlfn.XLOOKUP(C47,Pivot!$C$39:$C$60,Pivot!$E$39:$E$60)</f>
        <v>42.156869999999991</v>
      </c>
    </row>
    <row r="48" spans="2:5" ht="14.4" x14ac:dyDescent="0.3">
      <c r="B48" s="15" t="s">
        <v>5</v>
      </c>
      <c r="C48" s="23" t="s">
        <v>21</v>
      </c>
      <c r="D48" s="23" t="s">
        <v>37</v>
      </c>
      <c r="E48" s="23">
        <f>_xlfn.XLOOKUP(C48,Pivot!$C$39:$C$60,Pivot!$E$39:$E$60)</f>
        <v>2.3519999999999999</v>
      </c>
    </row>
    <row r="49" spans="2:5" ht="14.4" x14ac:dyDescent="0.3">
      <c r="B49" s="15" t="s">
        <v>5</v>
      </c>
      <c r="C49" s="23" t="s">
        <v>14</v>
      </c>
      <c r="D49" s="23" t="s">
        <v>34</v>
      </c>
      <c r="E49" s="23">
        <f>_xlfn.XLOOKUP(C49,Pivot!$C$39:$C$60,Pivot!$E$39:$E$60)</f>
        <v>7.678700000000001</v>
      </c>
    </row>
    <row r="50" spans="2:5" ht="14.4" x14ac:dyDescent="0.3">
      <c r="B50" s="15" t="s">
        <v>5</v>
      </c>
      <c r="C50" s="23" t="s">
        <v>15</v>
      </c>
      <c r="D50" s="23" t="s">
        <v>34</v>
      </c>
      <c r="E50" s="23">
        <f>_xlfn.XLOOKUP(C50,Pivot!$C$39:$C$60,Pivot!$E$39:$E$60)</f>
        <v>95.526331999999982</v>
      </c>
    </row>
    <row r="51" spans="2:5" ht="14.4" x14ac:dyDescent="0.3">
      <c r="B51" s="15" t="s">
        <v>5</v>
      </c>
      <c r="C51" s="23" t="s">
        <v>16</v>
      </c>
      <c r="D51" s="23" t="s">
        <v>34</v>
      </c>
      <c r="E51" s="23">
        <f>_xlfn.XLOOKUP(C51,Pivot!$C$39:$C$60,Pivot!$E$39:$E$60)</f>
        <v>520.50071800000001</v>
      </c>
    </row>
    <row r="52" spans="2:5" ht="14.4" x14ac:dyDescent="0.3">
      <c r="B52" s="15" t="s">
        <v>5</v>
      </c>
      <c r="C52" s="23" t="s">
        <v>17</v>
      </c>
      <c r="D52" s="23" t="s">
        <v>35</v>
      </c>
      <c r="E52" s="23">
        <f>_xlfn.XLOOKUP(C52,Pivot!$C$39:$C$60,Pivot!$E$39:$E$60)</f>
        <v>14441.479999999996</v>
      </c>
    </row>
    <row r="53" spans="2:5" ht="14.4" x14ac:dyDescent="0.3">
      <c r="B53" s="15" t="s">
        <v>5</v>
      </c>
      <c r="C53" s="23" t="s">
        <v>18</v>
      </c>
      <c r="D53" s="23" t="s">
        <v>34</v>
      </c>
      <c r="E53" s="23">
        <f>_xlfn.XLOOKUP(C53,Pivot!$C$39:$C$60,Pivot!$E$39:$E$60)</f>
        <v>15.615</v>
      </c>
    </row>
    <row r="54" spans="2:5" ht="14.4" x14ac:dyDescent="0.3">
      <c r="B54" s="15" t="s">
        <v>5</v>
      </c>
      <c r="C54" s="23" t="s">
        <v>19</v>
      </c>
      <c r="D54" s="23" t="s">
        <v>34</v>
      </c>
      <c r="E54" s="23">
        <f>_xlfn.XLOOKUP(C54,Pivot!$C$39:$C$60,Pivot!$E$39:$E$60)</f>
        <v>311822.94417299994</v>
      </c>
    </row>
    <row r="55" spans="2:5" ht="14.4" x14ac:dyDescent="0.3">
      <c r="B55" s="15" t="s">
        <v>5</v>
      </c>
      <c r="C55" s="23" t="s">
        <v>20</v>
      </c>
      <c r="D55" s="23" t="s">
        <v>34</v>
      </c>
      <c r="E55" s="23">
        <f>_xlfn.XLOOKUP(C55,Pivot!$C$39:$C$60,Pivot!$E$39:$E$60)</f>
        <v>55.513033</v>
      </c>
    </row>
    <row r="56" spans="2:5" ht="14.4" x14ac:dyDescent="0.3">
      <c r="B56" s="15" t="s">
        <v>6</v>
      </c>
      <c r="C56" s="23" t="s">
        <v>22</v>
      </c>
      <c r="D56" s="23" t="s">
        <v>36</v>
      </c>
      <c r="E56" s="23">
        <f>_xlfn.XLOOKUP(C56,Pivot!$C$39:$C$60,Pivot!$E$39:$E$60)</f>
        <v>0.12587300000000001</v>
      </c>
    </row>
    <row r="57" spans="2:5" ht="14.4" x14ac:dyDescent="0.3">
      <c r="B57" s="15" t="s">
        <v>6</v>
      </c>
      <c r="C57" s="22" t="s">
        <v>23</v>
      </c>
      <c r="D57" s="23" t="s">
        <v>34</v>
      </c>
      <c r="E57" s="23">
        <f>_xlfn.XLOOKUP(C57,Pivot!$C$39:$C$60,Pivot!$E$39:$E$60)</f>
        <v>71640.686887999909</v>
      </c>
    </row>
    <row r="58" spans="2:5" ht="14.4" x14ac:dyDescent="0.3">
      <c r="B58" s="15" t="s">
        <v>6</v>
      </c>
      <c r="C58" s="22" t="s">
        <v>24</v>
      </c>
      <c r="D58" s="23" t="s">
        <v>34</v>
      </c>
      <c r="E58" s="23">
        <f>_xlfn.XLOOKUP(C58,Pivot!$C$39:$C$60,Pivot!$E$39:$E$60)</f>
        <v>26416.959534000001</v>
      </c>
    </row>
    <row r="59" spans="2:5" ht="14.4" x14ac:dyDescent="0.3">
      <c r="B59" s="15" t="s">
        <v>7</v>
      </c>
      <c r="C59" s="15" t="s">
        <v>25</v>
      </c>
      <c r="D59" s="23" t="s">
        <v>36</v>
      </c>
      <c r="E59" s="23">
        <f>_xlfn.XLOOKUP(C59,Pivot!$C$39:$C$60,Pivot!$E$39:$E$60)</f>
        <v>222.92526200000003</v>
      </c>
    </row>
    <row r="60" spans="2:5" ht="14.4" x14ac:dyDescent="0.3">
      <c r="B60" s="15" t="s">
        <v>7</v>
      </c>
      <c r="C60" s="15" t="s">
        <v>26</v>
      </c>
      <c r="D60" s="23" t="s">
        <v>36</v>
      </c>
      <c r="E60" s="23">
        <f>_xlfn.XLOOKUP(C60,Pivot!$C$39:$C$60,Pivot!$E$39:$E$60)</f>
        <v>0.98787600000000009</v>
      </c>
    </row>
    <row r="61" spans="2:5" ht="14.4" x14ac:dyDescent="0.3">
      <c r="B61" s="15" t="s">
        <v>7</v>
      </c>
      <c r="C61" s="15" t="s">
        <v>27</v>
      </c>
      <c r="D61" s="23" t="s">
        <v>36</v>
      </c>
      <c r="E61" s="23">
        <f>_xlfn.XLOOKUP(C61,Pivot!$C$39:$C$60,Pivot!$E$39:$E$60)</f>
        <v>1912.6263770000003</v>
      </c>
    </row>
    <row r="62" spans="2:5" ht="14.4" x14ac:dyDescent="0.3">
      <c r="B62" s="15" t="s">
        <v>7</v>
      </c>
      <c r="C62" s="15" t="s">
        <v>28</v>
      </c>
      <c r="D62" s="23" t="s">
        <v>36</v>
      </c>
      <c r="E62" s="23">
        <f>_xlfn.XLOOKUP(C62,Pivot!$C$39:$C$60,Pivot!$E$39:$E$60)</f>
        <v>95.134358000000006</v>
      </c>
    </row>
    <row r="63" spans="2:5" ht="14.4" x14ac:dyDescent="0.3">
      <c r="B63" s="15" t="s">
        <v>7</v>
      </c>
      <c r="C63" s="15" t="s">
        <v>29</v>
      </c>
      <c r="D63" s="23" t="s">
        <v>36</v>
      </c>
      <c r="E63" s="23">
        <f>_xlfn.XLOOKUP(C63,Pivot!$C$39:$C$60,Pivot!$E$39:$E$60)</f>
        <v>0</v>
      </c>
    </row>
    <row r="64" spans="2:5" ht="14.4" x14ac:dyDescent="0.3">
      <c r="B64" s="15" t="s">
        <v>7</v>
      </c>
      <c r="C64" s="15" t="s">
        <v>30</v>
      </c>
      <c r="D64" s="23" t="s">
        <v>36</v>
      </c>
      <c r="E64" s="23">
        <f>_xlfn.XLOOKUP(C64,Pivot!$C$39:$C$60,Pivot!$E$39:$E$60)</f>
        <v>803.13283200000012</v>
      </c>
    </row>
    <row r="65" spans="2:5" ht="14.4" x14ac:dyDescent="0.3">
      <c r="B65" s="18"/>
      <c r="C65" s="18"/>
      <c r="D65" s="18"/>
      <c r="E65" s="18"/>
    </row>
    <row r="68" spans="2:5" ht="15.6" x14ac:dyDescent="0.3">
      <c r="B68" s="12" t="s">
        <v>38</v>
      </c>
    </row>
    <row r="69" spans="2:5" ht="14.4" x14ac:dyDescent="0.3">
      <c r="B69" s="26" t="s">
        <v>10</v>
      </c>
      <c r="C69" s="26" t="s">
        <v>32</v>
      </c>
      <c r="D69" s="26" t="s">
        <v>39</v>
      </c>
    </row>
    <row r="70" spans="2:5" ht="14.4" x14ac:dyDescent="0.3">
      <c r="B70" s="15" t="s">
        <v>40</v>
      </c>
      <c r="C70" s="23" t="s">
        <v>35</v>
      </c>
      <c r="D70" s="23">
        <f>GETPIVOTDATA("Total Water Usage (gallons)",Pivot!$K$5,"Year",2023)</f>
        <v>3813116203.8723636</v>
      </c>
    </row>
  </sheetData>
  <mergeCells count="4">
    <mergeCell ref="B7:C7"/>
    <mergeCell ref="B32:B33"/>
    <mergeCell ref="B34:B39"/>
    <mergeCell ref="B20:B31"/>
  </mergeCells>
  <phoneticPr fontId="7" type="noConversion"/>
  <pageMargins left="0.7" right="0.7" top="0.75" bottom="0.75" header="0.3" footer="0.3"/>
  <headerFooter>
    <oddFooter>&amp;C_x000D_&amp;1#&amp;"Calibri"&amp;6&amp;K626469 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62"/>
  <sheetViews>
    <sheetView topLeftCell="B31" workbookViewId="0">
      <selection activeCell="E47" sqref="E47"/>
    </sheetView>
  </sheetViews>
  <sheetFormatPr defaultRowHeight="13.2" x14ac:dyDescent="0.25"/>
  <cols>
    <col min="2" max="2" width="10.33203125" bestFit="1" customWidth="1"/>
    <col min="3" max="3" width="29.6640625" bestFit="1" customWidth="1"/>
    <col min="4" max="4" width="55.109375" bestFit="1" customWidth="1"/>
    <col min="5" max="5" width="56.88671875" bestFit="1" customWidth="1"/>
    <col min="6" max="6" width="11.6640625" bestFit="1" customWidth="1"/>
    <col min="7" max="8" width="11.6640625" customWidth="1"/>
    <col min="9" max="10" width="12" bestFit="1" customWidth="1"/>
    <col min="11" max="11" width="32.5546875" bestFit="1" customWidth="1"/>
    <col min="12" max="12" width="16.6640625" bestFit="1" customWidth="1"/>
    <col min="13" max="14" width="12" bestFit="1" customWidth="1"/>
  </cols>
  <sheetData>
    <row r="4" spans="2:12" x14ac:dyDescent="0.25">
      <c r="B4" s="10" t="s">
        <v>41</v>
      </c>
      <c r="C4" s="11">
        <v>2023</v>
      </c>
      <c r="K4" s="35" t="s">
        <v>40</v>
      </c>
    </row>
    <row r="5" spans="2:12" x14ac:dyDescent="0.25">
      <c r="B5" s="28"/>
      <c r="C5" s="28" t="s">
        <v>42</v>
      </c>
      <c r="D5" s="28"/>
      <c r="E5" s="28"/>
      <c r="K5" s="10" t="s">
        <v>43</v>
      </c>
    </row>
    <row r="6" spans="2:12" x14ac:dyDescent="0.25">
      <c r="B6" s="43"/>
      <c r="C6" s="43"/>
      <c r="D6" s="45" t="s">
        <v>44</v>
      </c>
      <c r="K6" s="10" t="s">
        <v>41</v>
      </c>
      <c r="L6" t="s">
        <v>8</v>
      </c>
    </row>
    <row r="7" spans="2:12" x14ac:dyDescent="0.25">
      <c r="B7" s="10" t="s">
        <v>2</v>
      </c>
      <c r="C7" s="10" t="s">
        <v>10</v>
      </c>
      <c r="D7" t="s">
        <v>45</v>
      </c>
      <c r="E7" t="s">
        <v>46</v>
      </c>
      <c r="K7">
        <v>2023</v>
      </c>
      <c r="L7" s="32">
        <v>3813116203.8723636</v>
      </c>
    </row>
    <row r="8" spans="2:12" x14ac:dyDescent="0.25">
      <c r="B8" t="s">
        <v>5</v>
      </c>
      <c r="C8" t="s">
        <v>11</v>
      </c>
      <c r="D8" s="32">
        <v>246.21200000000002</v>
      </c>
      <c r="E8" s="32">
        <v>246.21200000000002</v>
      </c>
      <c r="K8" t="s">
        <v>47</v>
      </c>
      <c r="L8">
        <v>3813116203.8723636</v>
      </c>
    </row>
    <row r="9" spans="2:12" x14ac:dyDescent="0.25">
      <c r="C9" t="s">
        <v>12</v>
      </c>
      <c r="D9" s="32">
        <v>34.131999999999998</v>
      </c>
      <c r="E9" s="32">
        <v>34.131999999999998</v>
      </c>
    </row>
    <row r="10" spans="2:12" x14ac:dyDescent="0.25">
      <c r="C10" t="s">
        <v>13</v>
      </c>
      <c r="D10" s="32">
        <v>42.156000000000006</v>
      </c>
      <c r="E10" s="32">
        <v>42.156000000000006</v>
      </c>
    </row>
    <row r="11" spans="2:12" x14ac:dyDescent="0.25">
      <c r="C11" t="s">
        <v>14</v>
      </c>
      <c r="D11" s="32">
        <v>1.946</v>
      </c>
      <c r="E11" s="32">
        <v>1.946</v>
      </c>
    </row>
    <row r="12" spans="2:12" x14ac:dyDescent="0.25">
      <c r="C12" t="s">
        <v>15</v>
      </c>
      <c r="D12" s="32">
        <v>20.708000000000002</v>
      </c>
      <c r="E12" s="32">
        <v>20.708000000000002</v>
      </c>
    </row>
    <row r="13" spans="2:12" x14ac:dyDescent="0.25">
      <c r="C13" t="s">
        <v>16</v>
      </c>
      <c r="D13" s="32">
        <v>112.84700000000001</v>
      </c>
      <c r="E13" s="32">
        <v>112.84700000000001</v>
      </c>
    </row>
    <row r="14" spans="2:12" x14ac:dyDescent="0.25">
      <c r="C14" t="s">
        <v>17</v>
      </c>
      <c r="D14" s="32">
        <v>114.70200000000003</v>
      </c>
      <c r="E14" s="32">
        <v>114.70200000000003</v>
      </c>
    </row>
    <row r="15" spans="2:12" x14ac:dyDescent="0.25">
      <c r="C15" t="s">
        <v>18</v>
      </c>
      <c r="D15" s="32">
        <v>3.4279999999999999</v>
      </c>
      <c r="E15" s="32">
        <v>3.4279999999999999</v>
      </c>
    </row>
    <row r="16" spans="2:12" x14ac:dyDescent="0.25">
      <c r="C16" t="s">
        <v>19</v>
      </c>
      <c r="D16" s="32">
        <v>56515.751000000011</v>
      </c>
      <c r="E16" s="32">
        <v>56515.751000000011</v>
      </c>
    </row>
    <row r="17" spans="2:5" x14ac:dyDescent="0.25">
      <c r="C17" t="s">
        <v>20</v>
      </c>
      <c r="D17" s="32">
        <v>11.957000000000003</v>
      </c>
      <c r="E17" s="32">
        <v>11.957000000000003</v>
      </c>
    </row>
    <row r="18" spans="2:5" x14ac:dyDescent="0.25">
      <c r="C18" t="s">
        <v>21</v>
      </c>
      <c r="D18" s="32">
        <v>2.3519999999999999</v>
      </c>
      <c r="E18" s="32">
        <v>2.3519999999999999</v>
      </c>
    </row>
    <row r="19" spans="2:5" x14ac:dyDescent="0.25">
      <c r="C19" t="s">
        <v>22</v>
      </c>
      <c r="D19" s="32">
        <v>163.63199999999992</v>
      </c>
      <c r="E19" s="32">
        <v>163.63199999999992</v>
      </c>
    </row>
    <row r="20" spans="2:5" x14ac:dyDescent="0.25">
      <c r="B20" t="s">
        <v>48</v>
      </c>
      <c r="D20" s="32">
        <v>57269.823000000011</v>
      </c>
      <c r="E20" s="32">
        <v>57269.823000000011</v>
      </c>
    </row>
    <row r="21" spans="2:5" x14ac:dyDescent="0.25">
      <c r="B21" t="s">
        <v>6</v>
      </c>
      <c r="C21" t="s">
        <v>23</v>
      </c>
      <c r="D21" s="32">
        <v>26570.229000000018</v>
      </c>
      <c r="E21" s="32">
        <v>31037.693999999992</v>
      </c>
    </row>
    <row r="22" spans="2:5" x14ac:dyDescent="0.25">
      <c r="C22" t="s">
        <v>24</v>
      </c>
      <c r="D22" s="32">
        <v>4744.8879999999999</v>
      </c>
      <c r="E22" s="32">
        <v>4744.8879999999999</v>
      </c>
    </row>
    <row r="23" spans="2:5" x14ac:dyDescent="0.25">
      <c r="B23" t="s">
        <v>49</v>
      </c>
      <c r="D23" s="32">
        <v>31315.117000000017</v>
      </c>
      <c r="E23" s="32">
        <v>35782.581999999995</v>
      </c>
    </row>
    <row r="24" spans="2:5" x14ac:dyDescent="0.25">
      <c r="B24" t="s">
        <v>7</v>
      </c>
      <c r="C24" t="s">
        <v>25</v>
      </c>
      <c r="D24" s="32">
        <v>115.996</v>
      </c>
      <c r="E24" s="32">
        <v>115.996</v>
      </c>
    </row>
    <row r="25" spans="2:5" x14ac:dyDescent="0.25">
      <c r="C25" t="s">
        <v>26</v>
      </c>
      <c r="D25" s="32">
        <v>2.4000000000000007E-2</v>
      </c>
      <c r="E25" s="32">
        <v>2.4000000000000007E-2</v>
      </c>
    </row>
    <row r="26" spans="2:5" x14ac:dyDescent="0.25">
      <c r="C26" t="s">
        <v>27</v>
      </c>
      <c r="D26" s="32">
        <v>995.2100000000006</v>
      </c>
      <c r="E26" s="32">
        <v>995.2100000000006</v>
      </c>
    </row>
    <row r="27" spans="2:5" x14ac:dyDescent="0.25">
      <c r="C27" t="s">
        <v>28</v>
      </c>
      <c r="D27" s="32">
        <v>2.0239999999999996</v>
      </c>
      <c r="E27" s="32">
        <v>2.0239999999999996</v>
      </c>
    </row>
    <row r="28" spans="2:5" x14ac:dyDescent="0.25">
      <c r="C28" t="s">
        <v>29</v>
      </c>
      <c r="D28" s="32">
        <v>0</v>
      </c>
      <c r="E28" s="32">
        <v>0</v>
      </c>
    </row>
    <row r="29" spans="2:5" x14ac:dyDescent="0.25">
      <c r="C29" t="s">
        <v>30</v>
      </c>
      <c r="D29" s="32">
        <v>379.11600000000004</v>
      </c>
      <c r="E29" s="32">
        <v>379.11600000000004</v>
      </c>
    </row>
    <row r="30" spans="2:5" x14ac:dyDescent="0.25">
      <c r="B30" t="s">
        <v>50</v>
      </c>
      <c r="D30" s="32">
        <v>1492.3700000000006</v>
      </c>
      <c r="E30" s="32">
        <v>1492.3700000000006</v>
      </c>
    </row>
    <row r="31" spans="2:5" x14ac:dyDescent="0.25">
      <c r="B31" t="s">
        <v>47</v>
      </c>
      <c r="D31" s="32">
        <v>90077.310000000041</v>
      </c>
      <c r="E31" s="32">
        <v>94544.775000000023</v>
      </c>
    </row>
    <row r="35" spans="2:5" x14ac:dyDescent="0.25">
      <c r="B35" s="45" t="s">
        <v>41</v>
      </c>
      <c r="C35" s="11">
        <v>2023</v>
      </c>
    </row>
    <row r="37" spans="2:5" x14ac:dyDescent="0.25">
      <c r="B37" s="10" t="s">
        <v>51</v>
      </c>
    </row>
    <row r="38" spans="2:5" x14ac:dyDescent="0.25">
      <c r="B38" s="10" t="s">
        <v>2</v>
      </c>
      <c r="C38" s="10" t="s">
        <v>10</v>
      </c>
      <c r="D38" s="10" t="s">
        <v>32</v>
      </c>
      <c r="E38" t="s">
        <v>8</v>
      </c>
    </row>
    <row r="39" spans="2:5" x14ac:dyDescent="0.25">
      <c r="B39" t="s">
        <v>5</v>
      </c>
      <c r="C39" t="s">
        <v>11</v>
      </c>
      <c r="D39" t="s">
        <v>34</v>
      </c>
      <c r="E39" s="32">
        <v>1052.0065510000004</v>
      </c>
    </row>
    <row r="40" spans="2:5" x14ac:dyDescent="0.25">
      <c r="C40" t="s">
        <v>12</v>
      </c>
      <c r="D40" t="s">
        <v>35</v>
      </c>
      <c r="E40" s="32">
        <v>3588</v>
      </c>
    </row>
    <row r="41" spans="2:5" x14ac:dyDescent="0.25">
      <c r="C41" t="s">
        <v>13</v>
      </c>
      <c r="D41" t="s">
        <v>36</v>
      </c>
      <c r="E41" s="32">
        <v>42.156869999999991</v>
      </c>
    </row>
    <row r="42" spans="2:5" x14ac:dyDescent="0.25">
      <c r="C42" t="s">
        <v>21</v>
      </c>
      <c r="D42" t="s">
        <v>37</v>
      </c>
      <c r="E42" s="32">
        <v>2.3519999999999999</v>
      </c>
    </row>
    <row r="43" spans="2:5" x14ac:dyDescent="0.25">
      <c r="C43" t="s">
        <v>14</v>
      </c>
      <c r="D43" t="s">
        <v>34</v>
      </c>
      <c r="E43" s="32">
        <v>7.678700000000001</v>
      </c>
    </row>
    <row r="44" spans="2:5" x14ac:dyDescent="0.25">
      <c r="C44" t="s">
        <v>15</v>
      </c>
      <c r="D44" t="s">
        <v>34</v>
      </c>
      <c r="E44" s="32">
        <v>95.526331999999982</v>
      </c>
    </row>
    <row r="45" spans="2:5" x14ac:dyDescent="0.25">
      <c r="C45" t="s">
        <v>16</v>
      </c>
      <c r="D45" t="s">
        <v>34</v>
      </c>
      <c r="E45" s="32">
        <v>520.50071800000001</v>
      </c>
    </row>
    <row r="46" spans="2:5" x14ac:dyDescent="0.25">
      <c r="C46" t="s">
        <v>17</v>
      </c>
      <c r="D46" t="s">
        <v>35</v>
      </c>
      <c r="E46" s="32">
        <v>14441.479999999996</v>
      </c>
    </row>
    <row r="47" spans="2:5" x14ac:dyDescent="0.25">
      <c r="C47" t="s">
        <v>18</v>
      </c>
      <c r="D47" t="s">
        <v>34</v>
      </c>
      <c r="E47" s="32">
        <v>15.615</v>
      </c>
    </row>
    <row r="48" spans="2:5" x14ac:dyDescent="0.25">
      <c r="C48" t="s">
        <v>19</v>
      </c>
      <c r="D48" t="s">
        <v>34</v>
      </c>
      <c r="E48" s="32">
        <v>311822.94417299994</v>
      </c>
    </row>
    <row r="49" spans="2:5" x14ac:dyDescent="0.25">
      <c r="C49" t="s">
        <v>20</v>
      </c>
      <c r="D49" t="s">
        <v>34</v>
      </c>
      <c r="E49" s="32">
        <v>55.513033</v>
      </c>
    </row>
    <row r="50" spans="2:5" x14ac:dyDescent="0.25">
      <c r="C50" t="s">
        <v>22</v>
      </c>
      <c r="D50" t="s">
        <v>36</v>
      </c>
      <c r="E50" s="32">
        <v>0.12587300000000001</v>
      </c>
    </row>
    <row r="51" spans="2:5" x14ac:dyDescent="0.25">
      <c r="B51" t="s">
        <v>48</v>
      </c>
      <c r="E51" s="32">
        <v>331643.89924999996</v>
      </c>
    </row>
    <row r="52" spans="2:5" x14ac:dyDescent="0.25">
      <c r="B52" t="s">
        <v>6</v>
      </c>
      <c r="C52" t="s">
        <v>23</v>
      </c>
      <c r="D52" t="s">
        <v>34</v>
      </c>
      <c r="E52" s="32">
        <v>71640.686887999909</v>
      </c>
    </row>
    <row r="53" spans="2:5" x14ac:dyDescent="0.25">
      <c r="C53" t="s">
        <v>24</v>
      </c>
      <c r="D53" t="s">
        <v>34</v>
      </c>
      <c r="E53" s="32">
        <v>26416.959534000001</v>
      </c>
    </row>
    <row r="54" spans="2:5" x14ac:dyDescent="0.25">
      <c r="B54" t="s">
        <v>49</v>
      </c>
      <c r="E54" s="32">
        <v>98057.646421999903</v>
      </c>
    </row>
    <row r="55" spans="2:5" x14ac:dyDescent="0.25">
      <c r="B55" t="s">
        <v>7</v>
      </c>
      <c r="C55" t="s">
        <v>25</v>
      </c>
      <c r="D55" t="s">
        <v>36</v>
      </c>
      <c r="E55" s="32">
        <v>222.92526200000003</v>
      </c>
    </row>
    <row r="56" spans="2:5" x14ac:dyDescent="0.25">
      <c r="C56" t="s">
        <v>26</v>
      </c>
      <c r="D56" t="s">
        <v>36</v>
      </c>
      <c r="E56" s="32">
        <v>0.98787600000000009</v>
      </c>
    </row>
    <row r="57" spans="2:5" x14ac:dyDescent="0.25">
      <c r="C57" t="s">
        <v>27</v>
      </c>
      <c r="D57" t="s">
        <v>36</v>
      </c>
      <c r="E57" s="32">
        <v>1912.6263770000003</v>
      </c>
    </row>
    <row r="58" spans="2:5" x14ac:dyDescent="0.25">
      <c r="C58" t="s">
        <v>28</v>
      </c>
      <c r="D58" t="s">
        <v>36</v>
      </c>
      <c r="E58" s="32">
        <v>95.134358000000006</v>
      </c>
    </row>
    <row r="59" spans="2:5" x14ac:dyDescent="0.25">
      <c r="C59" t="s">
        <v>29</v>
      </c>
      <c r="D59" t="s">
        <v>36</v>
      </c>
      <c r="E59" s="32">
        <v>0</v>
      </c>
    </row>
    <row r="60" spans="2:5" x14ac:dyDescent="0.25">
      <c r="C60" t="s">
        <v>30</v>
      </c>
      <c r="D60" t="s">
        <v>52</v>
      </c>
      <c r="E60" s="32">
        <v>803.13283200000012</v>
      </c>
    </row>
    <row r="61" spans="2:5" x14ac:dyDescent="0.25">
      <c r="B61" t="s">
        <v>50</v>
      </c>
      <c r="E61" s="32">
        <v>3034.8067050000004</v>
      </c>
    </row>
    <row r="62" spans="2:5" x14ac:dyDescent="0.25">
      <c r="B62" t="s">
        <v>47</v>
      </c>
      <c r="E62" s="32">
        <v>432736.35237699992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93"/>
  <sheetViews>
    <sheetView showGridLines="0" topLeftCell="A48" workbookViewId="0">
      <selection activeCell="F50" sqref="F50"/>
    </sheetView>
  </sheetViews>
  <sheetFormatPr defaultRowHeight="13.2" x14ac:dyDescent="0.25"/>
  <cols>
    <col min="2" max="2" width="55.109375" bestFit="1" customWidth="1"/>
    <col min="3" max="3" width="23.33203125" customWidth="1"/>
    <col min="4" max="5" width="10.44140625" bestFit="1" customWidth="1"/>
    <col min="6" max="6" width="13.5546875" bestFit="1" customWidth="1"/>
    <col min="7" max="7" width="12.6640625" bestFit="1" customWidth="1"/>
    <col min="8" max="8" width="55.109375" bestFit="1" customWidth="1"/>
    <col min="9" max="9" width="15" customWidth="1"/>
    <col min="10" max="10" width="13.5546875" bestFit="1" customWidth="1"/>
    <col min="11" max="11" width="12.6640625" bestFit="1" customWidth="1"/>
    <col min="12" max="12" width="12" bestFit="1" customWidth="1"/>
  </cols>
  <sheetData>
    <row r="2" spans="2:6" x14ac:dyDescent="0.25">
      <c r="B2" s="10" t="s">
        <v>41</v>
      </c>
      <c r="C2" s="11">
        <v>2023</v>
      </c>
    </row>
    <row r="3" spans="2:6" ht="15.6" x14ac:dyDescent="0.3">
      <c r="B3" s="12" t="s">
        <v>53</v>
      </c>
    </row>
    <row r="4" spans="2:6" x14ac:dyDescent="0.25">
      <c r="B4" s="45" t="s">
        <v>45</v>
      </c>
      <c r="C4" s="10" t="s">
        <v>2</v>
      </c>
    </row>
    <row r="5" spans="2:6" x14ac:dyDescent="0.25">
      <c r="B5" s="10" t="s">
        <v>54</v>
      </c>
      <c r="C5" t="s">
        <v>5</v>
      </c>
      <c r="D5" t="s">
        <v>6</v>
      </c>
      <c r="E5" t="s">
        <v>7</v>
      </c>
      <c r="F5" t="s">
        <v>47</v>
      </c>
    </row>
    <row r="6" spans="2:6" x14ac:dyDescent="0.25">
      <c r="B6" t="s">
        <v>55</v>
      </c>
      <c r="C6" s="32">
        <v>150.54499999999999</v>
      </c>
      <c r="D6" s="32">
        <v>1733.6060000000002</v>
      </c>
      <c r="E6" s="32"/>
      <c r="F6" s="32">
        <v>1884.1510000000003</v>
      </c>
    </row>
    <row r="7" spans="2:6" x14ac:dyDescent="0.25">
      <c r="B7" t="s">
        <v>56</v>
      </c>
      <c r="C7" s="32">
        <v>64.488000000000014</v>
      </c>
      <c r="D7" s="32"/>
      <c r="E7" s="32"/>
      <c r="F7" s="32">
        <v>64.488000000000014</v>
      </c>
    </row>
    <row r="8" spans="2:6" x14ac:dyDescent="0.25">
      <c r="B8" t="s">
        <v>57</v>
      </c>
      <c r="C8" s="32">
        <v>21.899999999999995</v>
      </c>
      <c r="D8" s="32">
        <v>3.5399999999999996</v>
      </c>
      <c r="E8" s="32"/>
      <c r="F8" s="32">
        <v>25.439999999999994</v>
      </c>
    </row>
    <row r="9" spans="2:6" x14ac:dyDescent="0.25">
      <c r="B9" t="s">
        <v>58</v>
      </c>
      <c r="C9" s="32">
        <v>0</v>
      </c>
      <c r="D9" s="32"/>
      <c r="E9" s="32"/>
      <c r="F9" s="32">
        <v>0</v>
      </c>
    </row>
    <row r="10" spans="2:6" x14ac:dyDescent="0.25">
      <c r="B10" t="s">
        <v>59</v>
      </c>
      <c r="C10" s="32">
        <v>1190.1099999999999</v>
      </c>
      <c r="D10" s="32">
        <v>739.94499999999994</v>
      </c>
      <c r="E10" s="32">
        <v>322.57</v>
      </c>
      <c r="F10" s="32">
        <v>2252.625</v>
      </c>
    </row>
    <row r="11" spans="2:6" x14ac:dyDescent="0.25">
      <c r="B11" t="s">
        <v>60</v>
      </c>
      <c r="C11" s="32">
        <v>44646.434000000008</v>
      </c>
      <c r="D11" s="32">
        <v>9051.9990000000016</v>
      </c>
      <c r="E11" s="32">
        <v>0</v>
      </c>
      <c r="F11" s="32">
        <v>53698.433000000012</v>
      </c>
    </row>
    <row r="12" spans="2:6" x14ac:dyDescent="0.25">
      <c r="B12" t="s">
        <v>61</v>
      </c>
      <c r="C12" s="32">
        <v>574.67799999999988</v>
      </c>
      <c r="D12" s="32">
        <v>1529.0209999999997</v>
      </c>
      <c r="E12" s="32">
        <v>198.82799999999995</v>
      </c>
      <c r="F12" s="32">
        <v>2302.5269999999996</v>
      </c>
    </row>
    <row r="13" spans="2:6" x14ac:dyDescent="0.25">
      <c r="B13" t="s">
        <v>62</v>
      </c>
      <c r="C13" s="32"/>
      <c r="D13" s="32">
        <v>14.932</v>
      </c>
      <c r="E13" s="32"/>
      <c r="F13" s="32">
        <v>14.932</v>
      </c>
    </row>
    <row r="14" spans="2:6" x14ac:dyDescent="0.25">
      <c r="B14" t="s">
        <v>63</v>
      </c>
      <c r="C14" s="32">
        <v>168.53299999999999</v>
      </c>
      <c r="D14" s="32">
        <v>800.7360000000001</v>
      </c>
      <c r="E14" s="32">
        <v>389.86000000000013</v>
      </c>
      <c r="F14" s="32">
        <v>1359.1290000000004</v>
      </c>
    </row>
    <row r="15" spans="2:6" x14ac:dyDescent="0.25">
      <c r="B15" t="s">
        <v>64</v>
      </c>
      <c r="C15" s="32">
        <v>97.85</v>
      </c>
      <c r="D15" s="32">
        <v>116.75999999999999</v>
      </c>
      <c r="E15" s="32">
        <v>0.44800000000000001</v>
      </c>
      <c r="F15" s="32">
        <v>215.05799999999999</v>
      </c>
    </row>
    <row r="16" spans="2:6" x14ac:dyDescent="0.25">
      <c r="B16" t="s">
        <v>65</v>
      </c>
      <c r="C16" s="32"/>
      <c r="D16" s="32">
        <v>7.3449999999999998</v>
      </c>
      <c r="E16" s="32"/>
      <c r="F16" s="32">
        <v>7.3449999999999998</v>
      </c>
    </row>
    <row r="17" spans="2:6" x14ac:dyDescent="0.25">
      <c r="B17" t="s">
        <v>66</v>
      </c>
      <c r="C17" s="32">
        <v>10079.744000000001</v>
      </c>
      <c r="D17" s="32">
        <v>3914.8029999999999</v>
      </c>
      <c r="E17" s="32">
        <v>8.7330000000000005</v>
      </c>
      <c r="F17" s="32">
        <v>14003.28</v>
      </c>
    </row>
    <row r="18" spans="2:6" x14ac:dyDescent="0.25">
      <c r="B18" t="s">
        <v>67</v>
      </c>
      <c r="C18" s="32">
        <v>74.544000000000011</v>
      </c>
      <c r="D18" s="32">
        <v>39.809999999999995</v>
      </c>
      <c r="E18" s="32">
        <v>51.895000000000003</v>
      </c>
      <c r="F18" s="32">
        <v>166.24900000000002</v>
      </c>
    </row>
    <row r="19" spans="2:6" x14ac:dyDescent="0.25">
      <c r="B19" t="s">
        <v>68</v>
      </c>
      <c r="C19" s="32">
        <v>142.25100000000006</v>
      </c>
      <c r="D19" s="32">
        <v>13126.913</v>
      </c>
      <c r="E19" s="32">
        <v>226.08599999999998</v>
      </c>
      <c r="F19" s="32">
        <v>13495.25</v>
      </c>
    </row>
    <row r="20" spans="2:6" x14ac:dyDescent="0.25">
      <c r="B20" t="s">
        <v>69</v>
      </c>
      <c r="C20" s="32"/>
      <c r="D20" s="32">
        <v>16.545000000000002</v>
      </c>
      <c r="E20" s="32">
        <v>9.7100000000000009</v>
      </c>
      <c r="F20" s="32">
        <v>26.255000000000003</v>
      </c>
    </row>
    <row r="21" spans="2:6" x14ac:dyDescent="0.25">
      <c r="B21" t="s">
        <v>70</v>
      </c>
      <c r="C21" s="32"/>
      <c r="D21" s="32">
        <v>3.6690000000000005</v>
      </c>
      <c r="E21" s="32"/>
      <c r="F21" s="32">
        <v>3.6690000000000005</v>
      </c>
    </row>
    <row r="22" spans="2:6" x14ac:dyDescent="0.25">
      <c r="B22" t="s">
        <v>71</v>
      </c>
      <c r="C22" s="32"/>
      <c r="D22" s="32">
        <v>3.5999999999999997E-2</v>
      </c>
      <c r="E22" s="32"/>
      <c r="F22" s="32">
        <v>3.5999999999999997E-2</v>
      </c>
    </row>
    <row r="23" spans="2:6" x14ac:dyDescent="0.25">
      <c r="B23" t="s">
        <v>72</v>
      </c>
      <c r="C23" s="32">
        <v>44.851999999999997</v>
      </c>
      <c r="D23" s="32">
        <v>60.467999999999989</v>
      </c>
      <c r="E23" s="32">
        <v>29.024000000000004</v>
      </c>
      <c r="F23" s="32">
        <v>134.34399999999999</v>
      </c>
    </row>
    <row r="24" spans="2:6" x14ac:dyDescent="0.25">
      <c r="B24" t="s">
        <v>73</v>
      </c>
      <c r="C24" s="32"/>
      <c r="D24" s="32">
        <v>4.5360000000000005</v>
      </c>
      <c r="E24" s="32"/>
      <c r="F24" s="32">
        <v>4.5360000000000005</v>
      </c>
    </row>
    <row r="25" spans="2:6" x14ac:dyDescent="0.25">
      <c r="B25" t="s">
        <v>74</v>
      </c>
      <c r="C25" s="32"/>
      <c r="D25" s="32">
        <v>1.3940000000000001</v>
      </c>
      <c r="E25" s="32"/>
      <c r="F25" s="32">
        <v>1.3940000000000001</v>
      </c>
    </row>
    <row r="26" spans="2:6" x14ac:dyDescent="0.25">
      <c r="B26" t="s">
        <v>75</v>
      </c>
      <c r="C26" s="32"/>
      <c r="D26" s="32">
        <v>20.648999999999997</v>
      </c>
      <c r="E26" s="32"/>
      <c r="F26" s="32">
        <v>20.648999999999997</v>
      </c>
    </row>
    <row r="27" spans="2:6" x14ac:dyDescent="0.25">
      <c r="B27" t="s">
        <v>76</v>
      </c>
      <c r="C27" s="32"/>
      <c r="D27" s="32">
        <v>26.595999999999997</v>
      </c>
      <c r="E27" s="32">
        <v>149.85599999999999</v>
      </c>
      <c r="F27" s="32">
        <v>176.452</v>
      </c>
    </row>
    <row r="28" spans="2:6" x14ac:dyDescent="0.25">
      <c r="B28" t="s">
        <v>77</v>
      </c>
      <c r="C28" s="32">
        <v>13.893999999999997</v>
      </c>
      <c r="D28" s="32">
        <v>55.056000000000004</v>
      </c>
      <c r="E28" s="32">
        <v>105.35999999999999</v>
      </c>
      <c r="F28" s="32">
        <v>174.31</v>
      </c>
    </row>
    <row r="29" spans="2:6" x14ac:dyDescent="0.25">
      <c r="B29" t="s">
        <v>78</v>
      </c>
      <c r="C29" s="32"/>
      <c r="D29" s="32">
        <v>46.758000000000003</v>
      </c>
      <c r="E29" s="32">
        <v>0</v>
      </c>
      <c r="F29" s="32">
        <v>46.758000000000003</v>
      </c>
    </row>
    <row r="30" spans="2:6" x14ac:dyDescent="0.25">
      <c r="B30" t="s">
        <v>47</v>
      </c>
      <c r="C30" s="32">
        <v>57269.823000000004</v>
      </c>
      <c r="D30" s="32">
        <v>31315.117000000009</v>
      </c>
      <c r="E30" s="32">
        <v>1492.37</v>
      </c>
      <c r="F30" s="32">
        <v>90077.31</v>
      </c>
    </row>
    <row r="34" spans="2:7" ht="15.6" x14ac:dyDescent="0.3">
      <c r="B34" s="12" t="s">
        <v>23</v>
      </c>
      <c r="F34" s="12" t="s">
        <v>19</v>
      </c>
    </row>
    <row r="35" spans="2:7" x14ac:dyDescent="0.25">
      <c r="B35" s="10" t="s">
        <v>10</v>
      </c>
      <c r="C35" t="s">
        <v>23</v>
      </c>
      <c r="F35" s="10" t="s">
        <v>10</v>
      </c>
      <c r="G35" t="s">
        <v>19</v>
      </c>
    </row>
    <row r="36" spans="2:7" x14ac:dyDescent="0.25">
      <c r="B36" s="10" t="s">
        <v>41</v>
      </c>
      <c r="C36" s="11">
        <v>2023</v>
      </c>
      <c r="F36" s="10" t="s">
        <v>41</v>
      </c>
      <c r="G36" s="11">
        <v>2023</v>
      </c>
    </row>
    <row r="38" spans="2:7" x14ac:dyDescent="0.25">
      <c r="B38" s="10" t="s">
        <v>51</v>
      </c>
      <c r="C38" s="10" t="s">
        <v>32</v>
      </c>
      <c r="F38" s="10" t="s">
        <v>51</v>
      </c>
      <c r="G38" s="10" t="s">
        <v>32</v>
      </c>
    </row>
    <row r="39" spans="2:7" x14ac:dyDescent="0.25">
      <c r="B39" s="10" t="s">
        <v>54</v>
      </c>
      <c r="C39" t="s">
        <v>34</v>
      </c>
      <c r="F39" s="10" t="s">
        <v>54</v>
      </c>
      <c r="G39" t="s">
        <v>34</v>
      </c>
    </row>
    <row r="40" spans="2:7" x14ac:dyDescent="0.25">
      <c r="B40" t="s">
        <v>55</v>
      </c>
      <c r="C40" s="32">
        <v>5606.83</v>
      </c>
      <c r="F40" t="s">
        <v>56</v>
      </c>
      <c r="G40" s="32">
        <v>70.186399999999992</v>
      </c>
    </row>
    <row r="41" spans="2:7" x14ac:dyDescent="0.25">
      <c r="B41" t="s">
        <v>57</v>
      </c>
      <c r="C41">
        <v>23.16</v>
      </c>
      <c r="F41" t="s">
        <v>57</v>
      </c>
      <c r="G41" s="32">
        <v>0</v>
      </c>
    </row>
    <row r="42" spans="2:7" x14ac:dyDescent="0.25">
      <c r="B42" t="s">
        <v>59</v>
      </c>
      <c r="C42" s="32">
        <v>1556.6179999999999</v>
      </c>
      <c r="F42" t="s">
        <v>58</v>
      </c>
      <c r="G42" s="32">
        <v>0</v>
      </c>
    </row>
    <row r="43" spans="2:7" x14ac:dyDescent="0.25">
      <c r="B43" t="s">
        <v>60</v>
      </c>
      <c r="C43" s="32">
        <v>31279.375999999997</v>
      </c>
      <c r="F43" t="s">
        <v>59</v>
      </c>
      <c r="G43" s="32">
        <v>6566.367991000001</v>
      </c>
    </row>
    <row r="44" spans="2:7" x14ac:dyDescent="0.25">
      <c r="B44" t="s">
        <v>61</v>
      </c>
      <c r="C44" s="32">
        <v>4500.5524800000003</v>
      </c>
      <c r="F44" t="s">
        <v>60</v>
      </c>
      <c r="G44" s="32">
        <v>245748.817075</v>
      </c>
    </row>
    <row r="45" spans="2:7" x14ac:dyDescent="0.25">
      <c r="B45" t="s">
        <v>62</v>
      </c>
      <c r="C45" s="32">
        <v>51.600000000000009</v>
      </c>
      <c r="F45" t="s">
        <v>61</v>
      </c>
      <c r="G45" s="32">
        <v>1767.1306309999998</v>
      </c>
    </row>
    <row r="46" spans="2:7" x14ac:dyDescent="0.25">
      <c r="B46" t="s">
        <v>63</v>
      </c>
      <c r="C46" s="32">
        <v>1684.4989999999998</v>
      </c>
      <c r="F46" t="s">
        <v>63</v>
      </c>
      <c r="G46" s="32">
        <v>929.86441300000013</v>
      </c>
    </row>
    <row r="47" spans="2:7" x14ac:dyDescent="0.25">
      <c r="B47" t="s">
        <v>64</v>
      </c>
      <c r="C47" s="32">
        <v>382.51599999999996</v>
      </c>
      <c r="F47" t="s">
        <v>64</v>
      </c>
      <c r="G47" s="32">
        <v>494.65713300000004</v>
      </c>
    </row>
    <row r="48" spans="2:7" x14ac:dyDescent="0.25">
      <c r="B48" t="s">
        <v>65</v>
      </c>
      <c r="C48" s="32">
        <v>26.711999999999993</v>
      </c>
      <c r="F48" t="s">
        <v>66</v>
      </c>
      <c r="G48" s="32">
        <v>55515.670325000014</v>
      </c>
    </row>
    <row r="49" spans="2:7" x14ac:dyDescent="0.25">
      <c r="B49" t="s">
        <v>66</v>
      </c>
      <c r="C49" s="32">
        <v>13527.687</v>
      </c>
      <c r="F49" t="s">
        <v>67</v>
      </c>
      <c r="G49" s="32">
        <v>411.29399999999998</v>
      </c>
    </row>
    <row r="50" spans="2:7" x14ac:dyDescent="0.25">
      <c r="B50" t="s">
        <v>67</v>
      </c>
      <c r="C50" s="32">
        <v>144.69999999999999</v>
      </c>
      <c r="F50" t="s">
        <v>68</v>
      </c>
      <c r="G50" s="32">
        <v>0.24199999999999999</v>
      </c>
    </row>
    <row r="51" spans="2:7" x14ac:dyDescent="0.25">
      <c r="B51" t="s">
        <v>68</v>
      </c>
      <c r="C51" s="32">
        <v>12253.882999999998</v>
      </c>
      <c r="F51" t="s">
        <v>72</v>
      </c>
      <c r="G51" s="32">
        <v>247.468627</v>
      </c>
    </row>
    <row r="52" spans="2:7" x14ac:dyDescent="0.25">
      <c r="B52" t="s">
        <v>69</v>
      </c>
      <c r="C52" s="32">
        <v>54.201999999999998</v>
      </c>
      <c r="F52" t="s">
        <v>77</v>
      </c>
      <c r="G52" s="32">
        <v>71.245577999999995</v>
      </c>
    </row>
    <row r="53" spans="2:7" x14ac:dyDescent="0.25">
      <c r="B53" t="s">
        <v>70</v>
      </c>
      <c r="C53" s="32">
        <v>8.3769999999999989</v>
      </c>
      <c r="F53" t="s">
        <v>47</v>
      </c>
      <c r="G53">
        <v>311822.944173</v>
      </c>
    </row>
    <row r="54" spans="2:7" x14ac:dyDescent="0.25">
      <c r="B54" t="s">
        <v>71</v>
      </c>
      <c r="C54" s="32">
        <v>0.05</v>
      </c>
    </row>
    <row r="55" spans="2:7" x14ac:dyDescent="0.25">
      <c r="B55" t="s">
        <v>72</v>
      </c>
      <c r="C55" s="32">
        <v>127.20479999999998</v>
      </c>
    </row>
    <row r="56" spans="2:7" x14ac:dyDescent="0.25">
      <c r="B56" t="s">
        <v>73</v>
      </c>
      <c r="C56" s="32">
        <v>12.116004000000002</v>
      </c>
    </row>
    <row r="57" spans="2:7" x14ac:dyDescent="0.25">
      <c r="B57" t="s">
        <v>74</v>
      </c>
      <c r="C57" s="32">
        <v>36.239204000000001</v>
      </c>
    </row>
    <row r="58" spans="2:7" x14ac:dyDescent="0.25">
      <c r="B58" t="s">
        <v>75</v>
      </c>
      <c r="C58" s="32">
        <v>33.705999999999996</v>
      </c>
    </row>
    <row r="59" spans="2:7" x14ac:dyDescent="0.25">
      <c r="B59" t="s">
        <v>76</v>
      </c>
      <c r="C59" s="32">
        <v>29.55</v>
      </c>
    </row>
    <row r="60" spans="2:7" x14ac:dyDescent="0.25">
      <c r="B60" t="s">
        <v>77</v>
      </c>
      <c r="C60" s="32">
        <v>147.92239999999998</v>
      </c>
    </row>
    <row r="61" spans="2:7" x14ac:dyDescent="0.25">
      <c r="B61" t="s">
        <v>78</v>
      </c>
      <c r="C61" s="32">
        <v>153.18599999999998</v>
      </c>
    </row>
    <row r="62" spans="2:7" x14ac:dyDescent="0.25">
      <c r="B62" t="s">
        <v>47</v>
      </c>
      <c r="C62">
        <v>71640.686887999997</v>
      </c>
    </row>
    <row r="65" spans="2:3" ht="15.6" x14ac:dyDescent="0.3">
      <c r="B65" s="12" t="s">
        <v>40</v>
      </c>
    </row>
    <row r="67" spans="2:3" x14ac:dyDescent="0.25">
      <c r="B67" s="10" t="s">
        <v>43</v>
      </c>
    </row>
    <row r="68" spans="2:3" x14ac:dyDescent="0.25">
      <c r="B68" s="10" t="s">
        <v>54</v>
      </c>
      <c r="C68" t="s">
        <v>8</v>
      </c>
    </row>
    <row r="69" spans="2:3" x14ac:dyDescent="0.25">
      <c r="B69" t="s">
        <v>55</v>
      </c>
      <c r="C69" s="32">
        <v>2023814643.4638948</v>
      </c>
    </row>
    <row r="70" spans="2:3" x14ac:dyDescent="0.25">
      <c r="B70" t="s">
        <v>56</v>
      </c>
      <c r="C70" s="32"/>
    </row>
    <row r="71" spans="2:3" x14ac:dyDescent="0.25">
      <c r="B71" t="s">
        <v>57</v>
      </c>
      <c r="C71" s="32"/>
    </row>
    <row r="72" spans="2:3" x14ac:dyDescent="0.25">
      <c r="B72" t="s">
        <v>58</v>
      </c>
      <c r="C72" s="32"/>
    </row>
    <row r="73" spans="2:3" x14ac:dyDescent="0.25">
      <c r="B73" t="s">
        <v>59</v>
      </c>
      <c r="C73" s="32">
        <v>2141001</v>
      </c>
    </row>
    <row r="74" spans="2:3" x14ac:dyDescent="0.25">
      <c r="B74" t="s">
        <v>60</v>
      </c>
      <c r="C74" s="32">
        <v>148469047</v>
      </c>
    </row>
    <row r="75" spans="2:3" x14ac:dyDescent="0.25">
      <c r="B75" t="s">
        <v>61</v>
      </c>
      <c r="C75" s="32">
        <v>1600316377</v>
      </c>
    </row>
    <row r="76" spans="2:3" x14ac:dyDescent="0.25">
      <c r="B76" t="s">
        <v>62</v>
      </c>
      <c r="C76" s="32"/>
    </row>
    <row r="77" spans="2:3" x14ac:dyDescent="0.25">
      <c r="B77" t="s">
        <v>63</v>
      </c>
      <c r="C77" s="32">
        <v>1233100</v>
      </c>
    </row>
    <row r="78" spans="2:3" x14ac:dyDescent="0.25">
      <c r="B78" t="s">
        <v>64</v>
      </c>
      <c r="C78" s="32"/>
    </row>
    <row r="79" spans="2:3" x14ac:dyDescent="0.25">
      <c r="B79" t="s">
        <v>65</v>
      </c>
      <c r="C79" s="32"/>
    </row>
    <row r="80" spans="2:3" x14ac:dyDescent="0.25">
      <c r="B80" t="s">
        <v>66</v>
      </c>
      <c r="C80" s="32">
        <v>36441500</v>
      </c>
    </row>
    <row r="81" spans="2:3" x14ac:dyDescent="0.25">
      <c r="B81" t="s">
        <v>67</v>
      </c>
      <c r="C81" s="32">
        <v>450677.51867999998</v>
      </c>
    </row>
    <row r="82" spans="2:3" x14ac:dyDescent="0.25">
      <c r="B82" t="s">
        <v>68</v>
      </c>
      <c r="C82" s="32">
        <v>31964.818335</v>
      </c>
    </row>
    <row r="83" spans="2:3" x14ac:dyDescent="0.25">
      <c r="B83" t="s">
        <v>69</v>
      </c>
      <c r="C83" s="32">
        <v>4000</v>
      </c>
    </row>
    <row r="84" spans="2:3" x14ac:dyDescent="0.25">
      <c r="B84" t="s">
        <v>70</v>
      </c>
      <c r="C84" s="32"/>
    </row>
    <row r="85" spans="2:3" x14ac:dyDescent="0.25">
      <c r="B85" t="s">
        <v>71</v>
      </c>
      <c r="C85" s="32"/>
    </row>
    <row r="86" spans="2:3" x14ac:dyDescent="0.25">
      <c r="B86" t="s">
        <v>72</v>
      </c>
      <c r="C86" s="32"/>
    </row>
    <row r="87" spans="2:3" x14ac:dyDescent="0.25">
      <c r="B87" t="s">
        <v>73</v>
      </c>
      <c r="C87" s="32"/>
    </row>
    <row r="88" spans="2:3" x14ac:dyDescent="0.25">
      <c r="B88" t="s">
        <v>74</v>
      </c>
      <c r="C88" s="32">
        <v>7396.8174639999997</v>
      </c>
    </row>
    <row r="89" spans="2:3" x14ac:dyDescent="0.25">
      <c r="B89" t="s">
        <v>75</v>
      </c>
      <c r="C89" s="32">
        <v>35663.227068</v>
      </c>
    </row>
    <row r="90" spans="2:3" x14ac:dyDescent="0.25">
      <c r="B90" t="s">
        <v>76</v>
      </c>
      <c r="C90" s="32">
        <v>17482.378081000003</v>
      </c>
    </row>
    <row r="91" spans="2:3" x14ac:dyDescent="0.25">
      <c r="B91" t="s">
        <v>77</v>
      </c>
      <c r="C91" s="32">
        <v>153350.64884099999</v>
      </c>
    </row>
    <row r="92" spans="2:3" x14ac:dyDescent="0.25">
      <c r="B92" t="s">
        <v>78</v>
      </c>
      <c r="C92" s="32"/>
    </row>
    <row r="93" spans="2:3" x14ac:dyDescent="0.25">
      <c r="B93" t="s">
        <v>47</v>
      </c>
      <c r="C93" s="32">
        <v>3813116203.8723636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1539"/>
  <sheetViews>
    <sheetView showGridLines="0" workbookViewId="0">
      <pane ySplit="9" topLeftCell="A10" activePane="bottomLeft" state="frozenSplit"/>
      <selection pane="bottomLeft" activeCell="A88" sqref="A88"/>
    </sheetView>
  </sheetViews>
  <sheetFormatPr defaultRowHeight="13.2" x14ac:dyDescent="0.25"/>
  <cols>
    <col min="1" max="1" width="27.44140625" customWidth="1"/>
    <col min="2" max="2" width="34.33203125" customWidth="1"/>
    <col min="3" max="3" width="20.5546875" customWidth="1"/>
    <col min="4" max="4" width="30.44140625" customWidth="1"/>
    <col min="5" max="5" width="26.109375" customWidth="1"/>
    <col min="6" max="6" width="21.88671875" customWidth="1"/>
    <col min="7" max="9" width="13.6640625" customWidth="1"/>
    <col min="10" max="10" width="14.44140625" customWidth="1"/>
    <col min="11" max="12" width="13.6640625" customWidth="1"/>
    <col min="13" max="13" width="28.109375" customWidth="1"/>
    <col min="14" max="14" width="26.33203125" customWidth="1"/>
    <col min="15" max="15" width="16.5546875" customWidth="1"/>
    <col min="16" max="16" width="16" customWidth="1"/>
    <col min="17" max="17" width="15.88671875" customWidth="1"/>
    <col min="18" max="18" width="26.33203125" customWidth="1"/>
    <col min="19" max="19" width="16.5546875" customWidth="1"/>
    <col min="20" max="20" width="16" customWidth="1"/>
    <col min="21" max="21" width="15.88671875" customWidth="1"/>
    <col min="22" max="22" width="9.109375" customWidth="1"/>
  </cols>
  <sheetData>
    <row r="1" spans="1:22" ht="44.7" customHeight="1" x14ac:dyDescent="0.25"/>
    <row r="2" spans="1:22" ht="5.7" customHeight="1" x14ac:dyDescent="0.25"/>
    <row r="3" spans="1:22" x14ac:dyDescent="0.25">
      <c r="A3" s="1" t="s">
        <v>79</v>
      </c>
      <c r="B3" s="2" t="s">
        <v>80</v>
      </c>
    </row>
    <row r="4" spans="1:22" x14ac:dyDescent="0.25">
      <c r="A4" s="1" t="s">
        <v>81</v>
      </c>
      <c r="B4" s="2" t="s">
        <v>82</v>
      </c>
    </row>
    <row r="5" spans="1:22" x14ac:dyDescent="0.25">
      <c r="A5" s="1" t="s">
        <v>83</v>
      </c>
      <c r="B5" s="2" t="s">
        <v>84</v>
      </c>
    </row>
    <row r="6" spans="1:22" x14ac:dyDescent="0.25">
      <c r="A6" s="1" t="s">
        <v>85</v>
      </c>
      <c r="B6" s="2" t="s">
        <v>86</v>
      </c>
    </row>
    <row r="7" spans="1:22" x14ac:dyDescent="0.25">
      <c r="A7" s="1" t="s">
        <v>87</v>
      </c>
      <c r="B7" s="2" t="s">
        <v>88</v>
      </c>
    </row>
    <row r="8" spans="1:22" ht="45.6" x14ac:dyDescent="0.25">
      <c r="A8" s="1" t="s">
        <v>89</v>
      </c>
      <c r="B8" s="2" t="s">
        <v>90</v>
      </c>
    </row>
    <row r="9" spans="1:22" ht="7.2" customHeight="1" x14ac:dyDescent="0.25"/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34.200000000000003" x14ac:dyDescent="0.25">
      <c r="A11" s="4" t="s">
        <v>91</v>
      </c>
      <c r="B11" s="4" t="s">
        <v>10</v>
      </c>
      <c r="C11" s="4" t="s">
        <v>92</v>
      </c>
      <c r="D11" s="4" t="s">
        <v>54</v>
      </c>
      <c r="E11" s="4" t="s">
        <v>2</v>
      </c>
      <c r="F11" s="4" t="s">
        <v>93</v>
      </c>
      <c r="G11" s="4" t="s">
        <v>94</v>
      </c>
      <c r="H11" s="4" t="s">
        <v>95</v>
      </c>
      <c r="I11" s="4" t="s">
        <v>96</v>
      </c>
      <c r="J11" s="4" t="s">
        <v>32</v>
      </c>
      <c r="K11" s="4" t="s">
        <v>97</v>
      </c>
      <c r="L11" s="4" t="s">
        <v>98</v>
      </c>
      <c r="M11" s="4" t="s">
        <v>99</v>
      </c>
      <c r="N11" s="4" t="s">
        <v>100</v>
      </c>
      <c r="O11" s="4" t="s">
        <v>101</v>
      </c>
      <c r="P11" s="4" t="s">
        <v>102</v>
      </c>
      <c r="Q11" s="4" t="s">
        <v>103</v>
      </c>
      <c r="R11" s="4" t="s">
        <v>104</v>
      </c>
      <c r="S11" s="4" t="s">
        <v>105</v>
      </c>
      <c r="T11" s="4" t="s">
        <v>106</v>
      </c>
      <c r="U11" s="4" t="s">
        <v>107</v>
      </c>
      <c r="V11" s="4" t="s">
        <v>41</v>
      </c>
    </row>
    <row r="12" spans="1:22" ht="30.6" hidden="1" x14ac:dyDescent="0.25">
      <c r="A12" s="36">
        <v>44927</v>
      </c>
      <c r="B12" s="37" t="s">
        <v>11</v>
      </c>
      <c r="C12" s="37" t="s">
        <v>108</v>
      </c>
      <c r="D12" s="37" t="s">
        <v>55</v>
      </c>
      <c r="E12" s="37" t="s">
        <v>5</v>
      </c>
      <c r="F12" s="37" t="s">
        <v>109</v>
      </c>
      <c r="G12" s="37" t="s">
        <v>110</v>
      </c>
      <c r="H12" s="37" t="s">
        <v>111</v>
      </c>
      <c r="I12" s="37" t="s">
        <v>112</v>
      </c>
      <c r="J12" s="37" t="s">
        <v>34</v>
      </c>
      <c r="K12" s="38">
        <v>11.528083000000001</v>
      </c>
      <c r="L12" s="39"/>
      <c r="M12" s="37"/>
      <c r="N12" s="40">
        <v>2.698</v>
      </c>
      <c r="O12" s="38">
        <v>2.6613639999999998</v>
      </c>
      <c r="P12" s="38">
        <v>3.6391E-2</v>
      </c>
      <c r="Q12" s="38">
        <v>3.3300000000000002E-4</v>
      </c>
      <c r="R12" s="40">
        <v>2.698</v>
      </c>
      <c r="S12" s="38">
        <v>2.6613639999999998</v>
      </c>
      <c r="T12" s="38">
        <v>3.6391E-2</v>
      </c>
      <c r="U12" s="38">
        <v>3.3300000000000002E-4</v>
      </c>
      <c r="V12" s="8">
        <f t="shared" ref="V12:V55" si="0">YEAR(A12)</f>
        <v>2023</v>
      </c>
    </row>
    <row r="13" spans="1:22" ht="30.6" hidden="1" x14ac:dyDescent="0.25">
      <c r="A13" s="36">
        <v>44927</v>
      </c>
      <c r="B13" s="37" t="s">
        <v>21</v>
      </c>
      <c r="C13" s="37" t="s">
        <v>108</v>
      </c>
      <c r="D13" s="37" t="s">
        <v>55</v>
      </c>
      <c r="E13" s="37" t="s">
        <v>5</v>
      </c>
      <c r="F13" s="37" t="s">
        <v>109</v>
      </c>
      <c r="G13" s="37" t="s">
        <v>110</v>
      </c>
      <c r="H13" s="37" t="s">
        <v>111</v>
      </c>
      <c r="I13" s="37" t="s">
        <v>112</v>
      </c>
      <c r="J13" s="37" t="s">
        <v>37</v>
      </c>
      <c r="K13" s="38">
        <v>0.03</v>
      </c>
      <c r="L13" s="39"/>
      <c r="M13" s="37"/>
      <c r="N13" s="40">
        <v>0.03</v>
      </c>
      <c r="O13" s="38">
        <v>0.03</v>
      </c>
      <c r="P13" s="39"/>
      <c r="Q13" s="39"/>
      <c r="R13" s="40">
        <f>N13</f>
        <v>0.03</v>
      </c>
      <c r="S13" s="39"/>
      <c r="T13" s="39"/>
      <c r="U13" s="39"/>
      <c r="V13" s="8">
        <f t="shared" si="0"/>
        <v>2023</v>
      </c>
    </row>
    <row r="14" spans="1:22" ht="30.6" hidden="1" x14ac:dyDescent="0.25">
      <c r="A14" s="36">
        <v>44927</v>
      </c>
      <c r="B14" s="37" t="s">
        <v>15</v>
      </c>
      <c r="C14" s="37" t="s">
        <v>108</v>
      </c>
      <c r="D14" s="37" t="s">
        <v>55</v>
      </c>
      <c r="E14" s="37" t="s">
        <v>5</v>
      </c>
      <c r="F14" s="37" t="s">
        <v>109</v>
      </c>
      <c r="G14" s="37" t="s">
        <v>110</v>
      </c>
      <c r="H14" s="37" t="s">
        <v>111</v>
      </c>
      <c r="I14" s="37" t="s">
        <v>112</v>
      </c>
      <c r="J14" s="37" t="s">
        <v>34</v>
      </c>
      <c r="K14" s="38">
        <v>3.5121799999999999</v>
      </c>
      <c r="L14" s="42">
        <v>167.48</v>
      </c>
      <c r="M14" s="37"/>
      <c r="N14" s="40">
        <v>0.76100000000000001</v>
      </c>
      <c r="O14" s="38">
        <v>0.75615100000000002</v>
      </c>
      <c r="P14" s="38">
        <v>2.1949999999999999E-3</v>
      </c>
      <c r="Q14" s="38">
        <v>3.1150000000000001E-3</v>
      </c>
      <c r="R14" s="40">
        <v>0.76100000000000001</v>
      </c>
      <c r="S14" s="38">
        <v>0.75615100000000002</v>
      </c>
      <c r="T14" s="38">
        <v>2.1949999999999999E-3</v>
      </c>
      <c r="U14" s="38">
        <v>3.1150000000000001E-3</v>
      </c>
      <c r="V14" s="8">
        <f t="shared" si="0"/>
        <v>2023</v>
      </c>
    </row>
    <row r="15" spans="1:22" ht="30.6" hidden="1" x14ac:dyDescent="0.25">
      <c r="A15" s="36">
        <v>44927</v>
      </c>
      <c r="B15" s="37" t="s">
        <v>17</v>
      </c>
      <c r="C15" s="37" t="s">
        <v>108</v>
      </c>
      <c r="D15" s="37" t="s">
        <v>55</v>
      </c>
      <c r="E15" s="37" t="s">
        <v>5</v>
      </c>
      <c r="F15" s="37" t="s">
        <v>109</v>
      </c>
      <c r="G15" s="37" t="s">
        <v>110</v>
      </c>
      <c r="H15" s="37" t="s">
        <v>111</v>
      </c>
      <c r="I15" s="37" t="s">
        <v>112</v>
      </c>
      <c r="J15" s="37" t="s">
        <v>35</v>
      </c>
      <c r="K15" s="38">
        <v>964.76</v>
      </c>
      <c r="L15" s="39"/>
      <c r="M15" s="37"/>
      <c r="N15" s="40">
        <v>7.6630000000000003</v>
      </c>
      <c r="O15" s="38">
        <v>7.6091170000000004</v>
      </c>
      <c r="P15" s="38">
        <v>2.2083999999999999E-2</v>
      </c>
      <c r="Q15" s="38">
        <v>3.1343000000000003E-2</v>
      </c>
      <c r="R15" s="40">
        <v>7.6630000000000003</v>
      </c>
      <c r="S15" s="38">
        <v>7.6091170000000004</v>
      </c>
      <c r="T15" s="38">
        <v>2.2083999999999999E-2</v>
      </c>
      <c r="U15" s="38">
        <v>3.1343000000000003E-2</v>
      </c>
      <c r="V15" s="8">
        <f t="shared" si="0"/>
        <v>2023</v>
      </c>
    </row>
    <row r="16" spans="1:22" ht="30.6" hidden="1" x14ac:dyDescent="0.25">
      <c r="A16" s="36">
        <v>44958</v>
      </c>
      <c r="B16" s="37" t="s">
        <v>11</v>
      </c>
      <c r="C16" s="37" t="s">
        <v>108</v>
      </c>
      <c r="D16" s="37" t="s">
        <v>55</v>
      </c>
      <c r="E16" s="37" t="s">
        <v>5</v>
      </c>
      <c r="F16" s="37" t="s">
        <v>109</v>
      </c>
      <c r="G16" s="37" t="s">
        <v>110</v>
      </c>
      <c r="H16" s="37" t="s">
        <v>111</v>
      </c>
      <c r="I16" s="37" t="s">
        <v>112</v>
      </c>
      <c r="J16" s="37" t="s">
        <v>34</v>
      </c>
      <c r="K16" s="38">
        <v>8.7450089999999996</v>
      </c>
      <c r="L16" s="39"/>
      <c r="M16" s="37"/>
      <c r="N16" s="40">
        <v>2.0470000000000002</v>
      </c>
      <c r="O16" s="38">
        <v>2.018866</v>
      </c>
      <c r="P16" s="38">
        <v>2.7605999999999999E-2</v>
      </c>
      <c r="Q16" s="38">
        <v>2.52E-4</v>
      </c>
      <c r="R16" s="40">
        <v>2.0470000000000002</v>
      </c>
      <c r="S16" s="38">
        <v>2.018866</v>
      </c>
      <c r="T16" s="38">
        <v>2.7605999999999999E-2</v>
      </c>
      <c r="U16" s="38">
        <v>2.52E-4</v>
      </c>
      <c r="V16" s="8">
        <f t="shared" si="0"/>
        <v>2023</v>
      </c>
    </row>
    <row r="17" spans="1:22" ht="30.6" hidden="1" x14ac:dyDescent="0.25">
      <c r="A17" s="36">
        <v>44958</v>
      </c>
      <c r="B17" s="37" t="s">
        <v>21</v>
      </c>
      <c r="C17" s="37" t="s">
        <v>108</v>
      </c>
      <c r="D17" s="37" t="s">
        <v>55</v>
      </c>
      <c r="E17" s="37" t="s">
        <v>5</v>
      </c>
      <c r="F17" s="37" t="s">
        <v>109</v>
      </c>
      <c r="G17" s="37" t="s">
        <v>110</v>
      </c>
      <c r="H17" s="37" t="s">
        <v>111</v>
      </c>
      <c r="I17" s="37" t="s">
        <v>112</v>
      </c>
      <c r="J17" s="37" t="s">
        <v>37</v>
      </c>
      <c r="K17" s="38">
        <v>0.03</v>
      </c>
      <c r="L17" s="39"/>
      <c r="M17" s="37"/>
      <c r="N17" s="40">
        <v>0.03</v>
      </c>
      <c r="O17" s="38">
        <v>0.03</v>
      </c>
      <c r="P17" s="39"/>
      <c r="Q17" s="39"/>
      <c r="R17" s="40">
        <f>N17</f>
        <v>0.03</v>
      </c>
      <c r="S17" s="39"/>
      <c r="T17" s="39"/>
      <c r="U17" s="39"/>
      <c r="V17" s="8">
        <f t="shared" si="0"/>
        <v>2023</v>
      </c>
    </row>
    <row r="18" spans="1:22" ht="30.6" hidden="1" x14ac:dyDescent="0.25">
      <c r="A18" s="36">
        <v>44958</v>
      </c>
      <c r="B18" s="37" t="s">
        <v>15</v>
      </c>
      <c r="C18" s="37" t="s">
        <v>108</v>
      </c>
      <c r="D18" s="37" t="s">
        <v>55</v>
      </c>
      <c r="E18" s="37" t="s">
        <v>5</v>
      </c>
      <c r="F18" s="37" t="s">
        <v>109</v>
      </c>
      <c r="G18" s="37" t="s">
        <v>110</v>
      </c>
      <c r="H18" s="37" t="s">
        <v>111</v>
      </c>
      <c r="I18" s="37" t="s">
        <v>112</v>
      </c>
      <c r="J18" s="37" t="s">
        <v>34</v>
      </c>
      <c r="K18" s="38">
        <v>3.7195399999999998</v>
      </c>
      <c r="L18" s="42">
        <v>177.26</v>
      </c>
      <c r="M18" s="37"/>
      <c r="N18" s="40">
        <v>0.80600000000000005</v>
      </c>
      <c r="O18" s="38">
        <v>0.80079500000000003</v>
      </c>
      <c r="P18" s="38">
        <v>2.3240000000000001E-3</v>
      </c>
      <c r="Q18" s="38">
        <v>3.2989999999999998E-3</v>
      </c>
      <c r="R18" s="40">
        <v>0.80600000000000005</v>
      </c>
      <c r="S18" s="38">
        <v>0.80079500000000003</v>
      </c>
      <c r="T18" s="38">
        <v>2.3240000000000001E-3</v>
      </c>
      <c r="U18" s="38">
        <v>3.2989999999999998E-3</v>
      </c>
      <c r="V18" s="8">
        <f t="shared" si="0"/>
        <v>2023</v>
      </c>
    </row>
    <row r="19" spans="1:22" ht="30.6" hidden="1" x14ac:dyDescent="0.25">
      <c r="A19" s="36">
        <v>44958</v>
      </c>
      <c r="B19" s="37" t="s">
        <v>17</v>
      </c>
      <c r="C19" s="37" t="s">
        <v>108</v>
      </c>
      <c r="D19" s="37" t="s">
        <v>55</v>
      </c>
      <c r="E19" s="37" t="s">
        <v>5</v>
      </c>
      <c r="F19" s="37" t="s">
        <v>109</v>
      </c>
      <c r="G19" s="37" t="s">
        <v>110</v>
      </c>
      <c r="H19" s="37" t="s">
        <v>111</v>
      </c>
      <c r="I19" s="37" t="s">
        <v>112</v>
      </c>
      <c r="J19" s="37" t="s">
        <v>35</v>
      </c>
      <c r="K19" s="38">
        <v>721.55</v>
      </c>
      <c r="L19" s="39"/>
      <c r="M19" s="37"/>
      <c r="N19" s="40">
        <v>5.7309999999999999</v>
      </c>
      <c r="O19" s="38">
        <v>5.690906</v>
      </c>
      <c r="P19" s="38">
        <v>1.6515999999999999E-2</v>
      </c>
      <c r="Q19" s="38">
        <v>2.3442000000000001E-2</v>
      </c>
      <c r="R19" s="40">
        <v>5.7309999999999999</v>
      </c>
      <c r="S19" s="38">
        <v>5.690906</v>
      </c>
      <c r="T19" s="38">
        <v>1.6515999999999999E-2</v>
      </c>
      <c r="U19" s="38">
        <v>2.3442000000000001E-2</v>
      </c>
      <c r="V19" s="8">
        <f t="shared" si="0"/>
        <v>2023</v>
      </c>
    </row>
    <row r="20" spans="1:22" ht="30.6" hidden="1" x14ac:dyDescent="0.25">
      <c r="A20" s="36">
        <v>44986</v>
      </c>
      <c r="B20" s="37" t="s">
        <v>11</v>
      </c>
      <c r="C20" s="37" t="s">
        <v>108</v>
      </c>
      <c r="D20" s="37" t="s">
        <v>55</v>
      </c>
      <c r="E20" s="37" t="s">
        <v>5</v>
      </c>
      <c r="F20" s="37" t="s">
        <v>109</v>
      </c>
      <c r="G20" s="37" t="s">
        <v>110</v>
      </c>
      <c r="H20" s="37" t="s">
        <v>111</v>
      </c>
      <c r="I20" s="37" t="s">
        <v>112</v>
      </c>
      <c r="J20" s="37" t="s">
        <v>34</v>
      </c>
      <c r="K20" s="38">
        <v>90.954515000000001</v>
      </c>
      <c r="L20" s="39"/>
      <c r="M20" s="37"/>
      <c r="N20" s="40">
        <v>21.286999999999999</v>
      </c>
      <c r="O20" s="38">
        <v>20.997689999999999</v>
      </c>
      <c r="P20" s="38">
        <v>0.28711900000000001</v>
      </c>
      <c r="Q20" s="38">
        <v>2.6250000000000002E-3</v>
      </c>
      <c r="R20" s="40">
        <v>21.286999999999999</v>
      </c>
      <c r="S20" s="38">
        <v>20.997689999999999</v>
      </c>
      <c r="T20" s="38">
        <v>0.28711900000000001</v>
      </c>
      <c r="U20" s="38">
        <v>2.6250000000000002E-3</v>
      </c>
      <c r="V20" s="8">
        <f t="shared" si="0"/>
        <v>2023</v>
      </c>
    </row>
    <row r="21" spans="1:22" ht="30.6" hidden="1" x14ac:dyDescent="0.25">
      <c r="A21" s="36">
        <v>44986</v>
      </c>
      <c r="B21" s="37" t="s">
        <v>21</v>
      </c>
      <c r="C21" s="37" t="s">
        <v>108</v>
      </c>
      <c r="D21" s="37" t="s">
        <v>55</v>
      </c>
      <c r="E21" s="37" t="s">
        <v>5</v>
      </c>
      <c r="F21" s="37" t="s">
        <v>109</v>
      </c>
      <c r="G21" s="37" t="s">
        <v>110</v>
      </c>
      <c r="H21" s="37" t="s">
        <v>111</v>
      </c>
      <c r="I21" s="37" t="s">
        <v>112</v>
      </c>
      <c r="J21" s="37" t="s">
        <v>37</v>
      </c>
      <c r="K21" s="38">
        <v>0.03</v>
      </c>
      <c r="L21" s="39"/>
      <c r="M21" s="37"/>
      <c r="N21" s="40">
        <v>0.03</v>
      </c>
      <c r="O21" s="38">
        <v>0.03</v>
      </c>
      <c r="P21" s="39"/>
      <c r="Q21" s="39"/>
      <c r="R21" s="40">
        <f>N21</f>
        <v>0.03</v>
      </c>
      <c r="S21" s="39"/>
      <c r="T21" s="39"/>
      <c r="U21" s="39"/>
      <c r="V21" s="8">
        <f t="shared" si="0"/>
        <v>2023</v>
      </c>
    </row>
    <row r="22" spans="1:22" ht="30.6" hidden="1" x14ac:dyDescent="0.25">
      <c r="A22" s="36">
        <v>44986</v>
      </c>
      <c r="B22" s="37" t="s">
        <v>15</v>
      </c>
      <c r="C22" s="37" t="s">
        <v>108</v>
      </c>
      <c r="D22" s="37" t="s">
        <v>55</v>
      </c>
      <c r="E22" s="37" t="s">
        <v>5</v>
      </c>
      <c r="F22" s="37" t="s">
        <v>109</v>
      </c>
      <c r="G22" s="37" t="s">
        <v>110</v>
      </c>
      <c r="H22" s="37" t="s">
        <v>111</v>
      </c>
      <c r="I22" s="37" t="s">
        <v>112</v>
      </c>
      <c r="J22" s="37" t="s">
        <v>34</v>
      </c>
      <c r="K22" s="38">
        <v>3.1327600000000002</v>
      </c>
      <c r="L22" s="42">
        <v>182.48</v>
      </c>
      <c r="M22" s="37"/>
      <c r="N22" s="40">
        <v>0.67900000000000005</v>
      </c>
      <c r="O22" s="38">
        <v>0.67446499999999998</v>
      </c>
      <c r="P22" s="38">
        <v>1.957E-3</v>
      </c>
      <c r="Q22" s="38">
        <v>2.7780000000000001E-3</v>
      </c>
      <c r="R22" s="40">
        <v>0.67900000000000005</v>
      </c>
      <c r="S22" s="38">
        <v>0.67446499999999998</v>
      </c>
      <c r="T22" s="38">
        <v>1.957E-3</v>
      </c>
      <c r="U22" s="38">
        <v>2.7780000000000001E-3</v>
      </c>
      <c r="V22" s="8">
        <f t="shared" si="0"/>
        <v>2023</v>
      </c>
    </row>
    <row r="23" spans="1:22" ht="30.6" hidden="1" x14ac:dyDescent="0.25">
      <c r="A23" s="36">
        <v>44986</v>
      </c>
      <c r="B23" s="37" t="s">
        <v>17</v>
      </c>
      <c r="C23" s="37" t="s">
        <v>108</v>
      </c>
      <c r="D23" s="37" t="s">
        <v>55</v>
      </c>
      <c r="E23" s="37" t="s">
        <v>5</v>
      </c>
      <c r="F23" s="37" t="s">
        <v>109</v>
      </c>
      <c r="G23" s="37" t="s">
        <v>110</v>
      </c>
      <c r="H23" s="37" t="s">
        <v>111</v>
      </c>
      <c r="I23" s="37" t="s">
        <v>112</v>
      </c>
      <c r="J23" s="37" t="s">
        <v>35</v>
      </c>
      <c r="K23" s="38">
        <v>1017.44</v>
      </c>
      <c r="L23" s="39"/>
      <c r="M23" s="37"/>
      <c r="N23" s="40">
        <v>8.0809999999999995</v>
      </c>
      <c r="O23" s="38">
        <v>8.0246069999999996</v>
      </c>
      <c r="P23" s="38">
        <v>2.3289000000000001E-2</v>
      </c>
      <c r="Q23" s="38">
        <v>3.3055000000000001E-2</v>
      </c>
      <c r="R23" s="40">
        <v>8.0809999999999995</v>
      </c>
      <c r="S23" s="38">
        <v>8.0246069999999996</v>
      </c>
      <c r="T23" s="38">
        <v>2.3289000000000001E-2</v>
      </c>
      <c r="U23" s="38">
        <v>3.3055000000000001E-2</v>
      </c>
      <c r="V23" s="8">
        <f t="shared" si="0"/>
        <v>2023</v>
      </c>
    </row>
    <row r="24" spans="1:22" ht="30.6" hidden="1" x14ac:dyDescent="0.25">
      <c r="A24" s="36">
        <v>45017</v>
      </c>
      <c r="B24" s="37" t="s">
        <v>11</v>
      </c>
      <c r="C24" s="37" t="s">
        <v>108</v>
      </c>
      <c r="D24" s="37" t="s">
        <v>55</v>
      </c>
      <c r="E24" s="37" t="s">
        <v>5</v>
      </c>
      <c r="F24" s="37" t="s">
        <v>109</v>
      </c>
      <c r="G24" s="37" t="s">
        <v>110</v>
      </c>
      <c r="H24" s="37" t="s">
        <v>111</v>
      </c>
      <c r="I24" s="37" t="s">
        <v>112</v>
      </c>
      <c r="J24" s="37" t="s">
        <v>34</v>
      </c>
      <c r="K24" s="38">
        <v>73.392017999999993</v>
      </c>
      <c r="L24" s="39"/>
      <c r="M24" s="37"/>
      <c r="N24" s="40">
        <v>17.177</v>
      </c>
      <c r="O24" s="38">
        <v>16.943225000000002</v>
      </c>
      <c r="P24" s="38">
        <v>0.231679</v>
      </c>
      <c r="Q24" s="38">
        <v>2.1180000000000001E-3</v>
      </c>
      <c r="R24" s="40">
        <v>17.177</v>
      </c>
      <c r="S24" s="38">
        <v>16.943225000000002</v>
      </c>
      <c r="T24" s="38">
        <v>0.231679</v>
      </c>
      <c r="U24" s="38">
        <v>2.1180000000000001E-3</v>
      </c>
      <c r="V24" s="8">
        <f t="shared" si="0"/>
        <v>2023</v>
      </c>
    </row>
    <row r="25" spans="1:22" ht="30.6" hidden="1" x14ac:dyDescent="0.25">
      <c r="A25" s="36">
        <v>45017</v>
      </c>
      <c r="B25" s="37" t="s">
        <v>21</v>
      </c>
      <c r="C25" s="37" t="s">
        <v>108</v>
      </c>
      <c r="D25" s="37" t="s">
        <v>55</v>
      </c>
      <c r="E25" s="37" t="s">
        <v>5</v>
      </c>
      <c r="F25" s="37" t="s">
        <v>109</v>
      </c>
      <c r="G25" s="37" t="s">
        <v>110</v>
      </c>
      <c r="H25" s="37" t="s">
        <v>111</v>
      </c>
      <c r="I25" s="37" t="s">
        <v>112</v>
      </c>
      <c r="J25" s="37" t="s">
        <v>37</v>
      </c>
      <c r="K25" s="38">
        <v>0.03</v>
      </c>
      <c r="L25" s="39"/>
      <c r="M25" s="37"/>
      <c r="N25" s="40">
        <v>0.03</v>
      </c>
      <c r="O25" s="38">
        <v>0.03</v>
      </c>
      <c r="P25" s="39"/>
      <c r="Q25" s="39"/>
      <c r="R25" s="40">
        <f>N25</f>
        <v>0.03</v>
      </c>
      <c r="S25" s="39"/>
      <c r="T25" s="39"/>
      <c r="U25" s="39"/>
      <c r="V25" s="8">
        <f t="shared" si="0"/>
        <v>2023</v>
      </c>
    </row>
    <row r="26" spans="1:22" ht="30.6" hidden="1" x14ac:dyDescent="0.25">
      <c r="A26" s="36">
        <v>45017</v>
      </c>
      <c r="B26" s="37" t="s">
        <v>15</v>
      </c>
      <c r="C26" s="37" t="s">
        <v>108</v>
      </c>
      <c r="D26" s="37" t="s">
        <v>55</v>
      </c>
      <c r="E26" s="37" t="s">
        <v>5</v>
      </c>
      <c r="F26" s="37" t="s">
        <v>109</v>
      </c>
      <c r="G26" s="37" t="s">
        <v>110</v>
      </c>
      <c r="H26" s="37" t="s">
        <v>111</v>
      </c>
      <c r="I26" s="37" t="s">
        <v>112</v>
      </c>
      <c r="J26" s="37" t="s">
        <v>34</v>
      </c>
      <c r="K26" s="38">
        <v>3.3208600000000001</v>
      </c>
      <c r="L26" s="42">
        <v>193.9</v>
      </c>
      <c r="M26" s="37"/>
      <c r="N26" s="40">
        <v>0.72</v>
      </c>
      <c r="O26" s="38">
        <v>0.71496099999999996</v>
      </c>
      <c r="P26" s="38">
        <v>2.075E-3</v>
      </c>
      <c r="Q26" s="38">
        <v>2.9450000000000001E-3</v>
      </c>
      <c r="R26" s="40">
        <v>0.72</v>
      </c>
      <c r="S26" s="38">
        <v>0.71496099999999996</v>
      </c>
      <c r="T26" s="38">
        <v>2.075E-3</v>
      </c>
      <c r="U26" s="38">
        <v>2.9450000000000001E-3</v>
      </c>
      <c r="V26" s="8">
        <f t="shared" si="0"/>
        <v>2023</v>
      </c>
    </row>
    <row r="27" spans="1:22" ht="30.6" hidden="1" x14ac:dyDescent="0.25">
      <c r="A27" s="36">
        <v>45017</v>
      </c>
      <c r="B27" s="37" t="s">
        <v>17</v>
      </c>
      <c r="C27" s="37" t="s">
        <v>108</v>
      </c>
      <c r="D27" s="37" t="s">
        <v>55</v>
      </c>
      <c r="E27" s="37" t="s">
        <v>5</v>
      </c>
      <c r="F27" s="37" t="s">
        <v>109</v>
      </c>
      <c r="G27" s="37" t="s">
        <v>110</v>
      </c>
      <c r="H27" s="37" t="s">
        <v>111</v>
      </c>
      <c r="I27" s="37" t="s">
        <v>112</v>
      </c>
      <c r="J27" s="37" t="s">
        <v>35</v>
      </c>
      <c r="K27" s="38">
        <v>1118.82</v>
      </c>
      <c r="L27" s="39"/>
      <c r="M27" s="37"/>
      <c r="N27" s="40">
        <v>8.8859999999999992</v>
      </c>
      <c r="O27" s="38">
        <v>8.8241969999999998</v>
      </c>
      <c r="P27" s="38">
        <v>2.5610000000000001E-2</v>
      </c>
      <c r="Q27" s="38">
        <v>3.6347999999999998E-2</v>
      </c>
      <c r="R27" s="40">
        <v>8.8859999999999992</v>
      </c>
      <c r="S27" s="38">
        <v>8.8241969999999998</v>
      </c>
      <c r="T27" s="38">
        <v>2.5610000000000001E-2</v>
      </c>
      <c r="U27" s="38">
        <v>3.6347999999999998E-2</v>
      </c>
      <c r="V27" s="8">
        <f t="shared" si="0"/>
        <v>2023</v>
      </c>
    </row>
    <row r="28" spans="1:22" ht="30.6" hidden="1" x14ac:dyDescent="0.25">
      <c r="A28" s="36">
        <v>45047</v>
      </c>
      <c r="B28" s="37" t="s">
        <v>11</v>
      </c>
      <c r="C28" s="37" t="s">
        <v>108</v>
      </c>
      <c r="D28" s="37" t="s">
        <v>55</v>
      </c>
      <c r="E28" s="37" t="s">
        <v>5</v>
      </c>
      <c r="F28" s="37" t="s">
        <v>109</v>
      </c>
      <c r="G28" s="37" t="s">
        <v>110</v>
      </c>
      <c r="H28" s="37" t="s">
        <v>111</v>
      </c>
      <c r="I28" s="37" t="s">
        <v>112</v>
      </c>
      <c r="J28" s="37" t="s">
        <v>34</v>
      </c>
      <c r="K28" s="38">
        <v>26.547276</v>
      </c>
      <c r="L28" s="39"/>
      <c r="M28" s="37"/>
      <c r="N28" s="40">
        <v>6.2130000000000001</v>
      </c>
      <c r="O28" s="38">
        <v>6.1286839999999998</v>
      </c>
      <c r="P28" s="38">
        <v>8.3803000000000002E-2</v>
      </c>
      <c r="Q28" s="38">
        <v>7.6599999999999997E-4</v>
      </c>
      <c r="R28" s="40">
        <v>6.2130000000000001</v>
      </c>
      <c r="S28" s="38">
        <v>6.1286839999999998</v>
      </c>
      <c r="T28" s="38">
        <v>8.3803000000000002E-2</v>
      </c>
      <c r="U28" s="38">
        <v>7.6599999999999997E-4</v>
      </c>
      <c r="V28" s="8">
        <f t="shared" si="0"/>
        <v>2023</v>
      </c>
    </row>
    <row r="29" spans="1:22" ht="30.6" hidden="1" x14ac:dyDescent="0.25">
      <c r="A29" s="36">
        <v>45047</v>
      </c>
      <c r="B29" s="37" t="s">
        <v>21</v>
      </c>
      <c r="C29" s="37" t="s">
        <v>108</v>
      </c>
      <c r="D29" s="37" t="s">
        <v>55</v>
      </c>
      <c r="E29" s="37" t="s">
        <v>5</v>
      </c>
      <c r="F29" s="37" t="s">
        <v>109</v>
      </c>
      <c r="G29" s="37" t="s">
        <v>110</v>
      </c>
      <c r="H29" s="37" t="s">
        <v>111</v>
      </c>
      <c r="I29" s="37" t="s">
        <v>112</v>
      </c>
      <c r="J29" s="37" t="s">
        <v>37</v>
      </c>
      <c r="K29" s="38">
        <v>0.03</v>
      </c>
      <c r="L29" s="39"/>
      <c r="M29" s="37"/>
      <c r="N29" s="40">
        <v>0.03</v>
      </c>
      <c r="O29" s="38">
        <v>0.03</v>
      </c>
      <c r="P29" s="39"/>
      <c r="Q29" s="39"/>
      <c r="R29" s="40">
        <f>N29</f>
        <v>0.03</v>
      </c>
      <c r="S29" s="39"/>
      <c r="T29" s="39"/>
      <c r="U29" s="39"/>
      <c r="V29" s="8">
        <f t="shared" si="0"/>
        <v>2023</v>
      </c>
    </row>
    <row r="30" spans="1:22" ht="30.6" hidden="1" x14ac:dyDescent="0.25">
      <c r="A30" s="36">
        <v>45047</v>
      </c>
      <c r="B30" s="37" t="s">
        <v>15</v>
      </c>
      <c r="C30" s="37" t="s">
        <v>108</v>
      </c>
      <c r="D30" s="37" t="s">
        <v>55</v>
      </c>
      <c r="E30" s="37" t="s">
        <v>5</v>
      </c>
      <c r="F30" s="37" t="s">
        <v>109</v>
      </c>
      <c r="G30" s="37" t="s">
        <v>110</v>
      </c>
      <c r="H30" s="37" t="s">
        <v>111</v>
      </c>
      <c r="I30" s="37" t="s">
        <v>112</v>
      </c>
      <c r="J30" s="37" t="s">
        <v>34</v>
      </c>
      <c r="K30" s="38">
        <v>3.54996</v>
      </c>
      <c r="L30" s="42">
        <v>273.39</v>
      </c>
      <c r="M30" s="37"/>
      <c r="N30" s="40">
        <v>0.77</v>
      </c>
      <c r="O30" s="38">
        <v>0.76428499999999999</v>
      </c>
      <c r="P30" s="38">
        <v>2.2179999999999999E-3</v>
      </c>
      <c r="Q30" s="38">
        <v>3.1480000000000002E-3</v>
      </c>
      <c r="R30" s="40">
        <v>0.77</v>
      </c>
      <c r="S30" s="38">
        <v>0.76428499999999999</v>
      </c>
      <c r="T30" s="38">
        <v>2.2179999999999999E-3</v>
      </c>
      <c r="U30" s="38">
        <v>3.1480000000000002E-3</v>
      </c>
      <c r="V30" s="8">
        <f t="shared" si="0"/>
        <v>2023</v>
      </c>
    </row>
    <row r="31" spans="1:22" ht="30.6" hidden="1" x14ac:dyDescent="0.25">
      <c r="A31" s="36">
        <v>45047</v>
      </c>
      <c r="B31" s="37" t="s">
        <v>17</v>
      </c>
      <c r="C31" s="37" t="s">
        <v>108</v>
      </c>
      <c r="D31" s="37" t="s">
        <v>55</v>
      </c>
      <c r="E31" s="37" t="s">
        <v>5</v>
      </c>
      <c r="F31" s="37" t="s">
        <v>109</v>
      </c>
      <c r="G31" s="37" t="s">
        <v>110</v>
      </c>
      <c r="H31" s="37" t="s">
        <v>111</v>
      </c>
      <c r="I31" s="37" t="s">
        <v>112</v>
      </c>
      <c r="J31" s="37" t="s">
        <v>35</v>
      </c>
      <c r="K31" s="38">
        <v>991.97</v>
      </c>
      <c r="L31" s="39"/>
      <c r="M31" s="37"/>
      <c r="N31" s="40">
        <v>7.8789999999999996</v>
      </c>
      <c r="O31" s="38">
        <v>7.8237240000000003</v>
      </c>
      <c r="P31" s="38">
        <v>2.2706E-2</v>
      </c>
      <c r="Q31" s="38">
        <v>3.2226999999999999E-2</v>
      </c>
      <c r="R31" s="40">
        <v>7.8789999999999996</v>
      </c>
      <c r="S31" s="38">
        <v>7.8237240000000003</v>
      </c>
      <c r="T31" s="38">
        <v>2.2706E-2</v>
      </c>
      <c r="U31" s="38">
        <v>3.2226999999999999E-2</v>
      </c>
      <c r="V31" s="8">
        <f t="shared" si="0"/>
        <v>2023</v>
      </c>
    </row>
    <row r="32" spans="1:22" ht="30.6" hidden="1" x14ac:dyDescent="0.25">
      <c r="A32" s="36">
        <v>45078</v>
      </c>
      <c r="B32" s="37" t="s">
        <v>11</v>
      </c>
      <c r="C32" s="37" t="s">
        <v>108</v>
      </c>
      <c r="D32" s="37" t="s">
        <v>55</v>
      </c>
      <c r="E32" s="37" t="s">
        <v>5</v>
      </c>
      <c r="F32" s="37" t="s">
        <v>109</v>
      </c>
      <c r="G32" s="37" t="s">
        <v>110</v>
      </c>
      <c r="H32" s="37" t="s">
        <v>111</v>
      </c>
      <c r="I32" s="37" t="s">
        <v>112</v>
      </c>
      <c r="J32" s="37" t="s">
        <v>34</v>
      </c>
      <c r="K32" s="38">
        <v>3.4300130000000002</v>
      </c>
      <c r="L32" s="39"/>
      <c r="M32" s="37"/>
      <c r="N32" s="40">
        <v>0.80300000000000005</v>
      </c>
      <c r="O32" s="38">
        <v>0.79185000000000005</v>
      </c>
      <c r="P32" s="38">
        <v>1.0828000000000001E-2</v>
      </c>
      <c r="Q32" s="38">
        <v>9.8999999999999994E-5</v>
      </c>
      <c r="R32" s="40">
        <v>0.80300000000000005</v>
      </c>
      <c r="S32" s="38">
        <v>0.79185000000000005</v>
      </c>
      <c r="T32" s="38">
        <v>1.0828000000000001E-2</v>
      </c>
      <c r="U32" s="38">
        <v>9.8999999999999994E-5</v>
      </c>
      <c r="V32" s="8">
        <f t="shared" si="0"/>
        <v>2023</v>
      </c>
    </row>
    <row r="33" spans="1:22" ht="30.6" hidden="1" x14ac:dyDescent="0.25">
      <c r="A33" s="36">
        <v>45078</v>
      </c>
      <c r="B33" s="37" t="s">
        <v>21</v>
      </c>
      <c r="C33" s="37" t="s">
        <v>108</v>
      </c>
      <c r="D33" s="37" t="s">
        <v>55</v>
      </c>
      <c r="E33" s="37" t="s">
        <v>5</v>
      </c>
      <c r="F33" s="37" t="s">
        <v>109</v>
      </c>
      <c r="G33" s="37" t="s">
        <v>110</v>
      </c>
      <c r="H33" s="37" t="s">
        <v>111</v>
      </c>
      <c r="I33" s="37" t="s">
        <v>112</v>
      </c>
      <c r="J33" s="37" t="s">
        <v>37</v>
      </c>
      <c r="K33" s="38">
        <v>0.03</v>
      </c>
      <c r="L33" s="39"/>
      <c r="M33" s="37"/>
      <c r="N33" s="40">
        <v>0.03</v>
      </c>
      <c r="O33" s="38">
        <v>0.03</v>
      </c>
      <c r="P33" s="39"/>
      <c r="Q33" s="39"/>
      <c r="R33" s="40">
        <f>N33</f>
        <v>0.03</v>
      </c>
      <c r="S33" s="39"/>
      <c r="T33" s="39"/>
      <c r="U33" s="39"/>
      <c r="V33" s="8">
        <f t="shared" si="0"/>
        <v>2023</v>
      </c>
    </row>
    <row r="34" spans="1:22" ht="30.6" hidden="1" x14ac:dyDescent="0.25">
      <c r="A34" s="36">
        <v>45078</v>
      </c>
      <c r="B34" s="37" t="s">
        <v>15</v>
      </c>
      <c r="C34" s="37" t="s">
        <v>108</v>
      </c>
      <c r="D34" s="37" t="s">
        <v>55</v>
      </c>
      <c r="E34" s="37" t="s">
        <v>5</v>
      </c>
      <c r="F34" s="37" t="s">
        <v>109</v>
      </c>
      <c r="G34" s="37" t="s">
        <v>110</v>
      </c>
      <c r="H34" s="37" t="s">
        <v>111</v>
      </c>
      <c r="I34" s="37" t="s">
        <v>112</v>
      </c>
      <c r="J34" s="37" t="s">
        <v>34</v>
      </c>
      <c r="K34" s="38">
        <v>5.2834599999999998</v>
      </c>
      <c r="L34" s="42">
        <v>293.8</v>
      </c>
      <c r="M34" s="37"/>
      <c r="N34" s="40">
        <v>1.145</v>
      </c>
      <c r="O34" s="38">
        <v>1.137497</v>
      </c>
      <c r="P34" s="38">
        <v>3.3010000000000001E-3</v>
      </c>
      <c r="Q34" s="38">
        <v>4.6860000000000001E-3</v>
      </c>
      <c r="R34" s="40">
        <v>1.145</v>
      </c>
      <c r="S34" s="38">
        <v>1.137497</v>
      </c>
      <c r="T34" s="38">
        <v>3.3010000000000001E-3</v>
      </c>
      <c r="U34" s="38">
        <v>4.6860000000000001E-3</v>
      </c>
      <c r="V34" s="8">
        <f t="shared" si="0"/>
        <v>2023</v>
      </c>
    </row>
    <row r="35" spans="1:22" ht="30.6" hidden="1" x14ac:dyDescent="0.25">
      <c r="A35" s="36">
        <v>45078</v>
      </c>
      <c r="B35" s="37" t="s">
        <v>17</v>
      </c>
      <c r="C35" s="37" t="s">
        <v>108</v>
      </c>
      <c r="D35" s="37" t="s">
        <v>55</v>
      </c>
      <c r="E35" s="37" t="s">
        <v>5</v>
      </c>
      <c r="F35" s="37" t="s">
        <v>109</v>
      </c>
      <c r="G35" s="37" t="s">
        <v>110</v>
      </c>
      <c r="H35" s="37" t="s">
        <v>111</v>
      </c>
      <c r="I35" s="37" t="s">
        <v>112</v>
      </c>
      <c r="J35" s="37" t="s">
        <v>35</v>
      </c>
      <c r="K35" s="38">
        <v>0</v>
      </c>
      <c r="L35" s="39"/>
      <c r="M35" s="37"/>
      <c r="N35" s="40">
        <v>0</v>
      </c>
      <c r="O35" s="38">
        <v>0</v>
      </c>
      <c r="P35" s="38">
        <v>0</v>
      </c>
      <c r="Q35" s="38">
        <v>0</v>
      </c>
      <c r="R35" s="40">
        <v>0</v>
      </c>
      <c r="S35" s="38">
        <v>0</v>
      </c>
      <c r="T35" s="38">
        <v>0</v>
      </c>
      <c r="U35" s="38">
        <v>0</v>
      </c>
      <c r="V35" s="8">
        <f t="shared" si="0"/>
        <v>2023</v>
      </c>
    </row>
    <row r="36" spans="1:22" ht="30.6" hidden="1" x14ac:dyDescent="0.25">
      <c r="A36" s="36">
        <v>45108</v>
      </c>
      <c r="B36" s="37" t="s">
        <v>11</v>
      </c>
      <c r="C36" s="37" t="s">
        <v>108</v>
      </c>
      <c r="D36" s="37" t="s">
        <v>55</v>
      </c>
      <c r="E36" s="37" t="s">
        <v>5</v>
      </c>
      <c r="F36" s="37" t="s">
        <v>109</v>
      </c>
      <c r="G36" s="37" t="s">
        <v>110</v>
      </c>
      <c r="H36" s="37" t="s">
        <v>111</v>
      </c>
      <c r="I36" s="37" t="s">
        <v>112</v>
      </c>
      <c r="J36" s="37" t="s">
        <v>34</v>
      </c>
      <c r="K36" s="38">
        <v>4.645937</v>
      </c>
      <c r="L36" s="39"/>
      <c r="M36" s="37"/>
      <c r="N36" s="40">
        <v>1.087</v>
      </c>
      <c r="O36" s="38">
        <v>1.072557</v>
      </c>
      <c r="P36" s="38">
        <v>1.4666E-2</v>
      </c>
      <c r="Q36" s="38">
        <v>1.34E-4</v>
      </c>
      <c r="R36" s="40">
        <v>1.087</v>
      </c>
      <c r="S36" s="38">
        <v>1.072557</v>
      </c>
      <c r="T36" s="38">
        <v>1.4666E-2</v>
      </c>
      <c r="U36" s="38">
        <v>1.34E-4</v>
      </c>
      <c r="V36" s="8">
        <f t="shared" si="0"/>
        <v>2023</v>
      </c>
    </row>
    <row r="37" spans="1:22" ht="30.6" hidden="1" x14ac:dyDescent="0.25">
      <c r="A37" s="36">
        <v>45108</v>
      </c>
      <c r="B37" s="37" t="s">
        <v>21</v>
      </c>
      <c r="C37" s="37" t="s">
        <v>108</v>
      </c>
      <c r="D37" s="37" t="s">
        <v>55</v>
      </c>
      <c r="E37" s="37" t="s">
        <v>5</v>
      </c>
      <c r="F37" s="37" t="s">
        <v>109</v>
      </c>
      <c r="G37" s="37" t="s">
        <v>110</v>
      </c>
      <c r="H37" s="37" t="s">
        <v>111</v>
      </c>
      <c r="I37" s="37" t="s">
        <v>112</v>
      </c>
      <c r="J37" s="37" t="s">
        <v>37</v>
      </c>
      <c r="K37" s="38">
        <v>0.03</v>
      </c>
      <c r="L37" s="39"/>
      <c r="M37" s="37"/>
      <c r="N37" s="40">
        <v>0.03</v>
      </c>
      <c r="O37" s="38">
        <v>0.03</v>
      </c>
      <c r="P37" s="39"/>
      <c r="Q37" s="39"/>
      <c r="R37" s="40">
        <f>N37</f>
        <v>0.03</v>
      </c>
      <c r="S37" s="39"/>
      <c r="T37" s="39"/>
      <c r="U37" s="39"/>
      <c r="V37" s="8">
        <f t="shared" si="0"/>
        <v>2023</v>
      </c>
    </row>
    <row r="38" spans="1:22" ht="30.6" hidden="1" x14ac:dyDescent="0.25">
      <c r="A38" s="36">
        <v>45108</v>
      </c>
      <c r="B38" s="37" t="s">
        <v>15</v>
      </c>
      <c r="C38" s="37" t="s">
        <v>108</v>
      </c>
      <c r="D38" s="37" t="s">
        <v>55</v>
      </c>
      <c r="E38" s="37" t="s">
        <v>5</v>
      </c>
      <c r="F38" s="37" t="s">
        <v>109</v>
      </c>
      <c r="G38" s="37" t="s">
        <v>110</v>
      </c>
      <c r="H38" s="37" t="s">
        <v>111</v>
      </c>
      <c r="I38" s="37" t="s">
        <v>112</v>
      </c>
      <c r="J38" s="37" t="s">
        <v>34</v>
      </c>
      <c r="K38" s="38">
        <v>6.6451399999999996</v>
      </c>
      <c r="L38" s="42">
        <v>365.84</v>
      </c>
      <c r="M38" s="37"/>
      <c r="N38" s="40">
        <v>1.4410000000000001</v>
      </c>
      <c r="O38" s="38">
        <v>1.4306589999999999</v>
      </c>
      <c r="P38" s="38">
        <v>4.1520000000000003E-3</v>
      </c>
      <c r="Q38" s="38">
        <v>5.8929999999999998E-3</v>
      </c>
      <c r="R38" s="40">
        <v>1.4410000000000001</v>
      </c>
      <c r="S38" s="38">
        <v>1.4306589999999999</v>
      </c>
      <c r="T38" s="38">
        <v>4.1520000000000003E-3</v>
      </c>
      <c r="U38" s="38">
        <v>5.8929999999999998E-3</v>
      </c>
      <c r="V38" s="8">
        <f t="shared" si="0"/>
        <v>2023</v>
      </c>
    </row>
    <row r="39" spans="1:22" ht="30.6" hidden="1" x14ac:dyDescent="0.25">
      <c r="A39" s="36">
        <v>45108</v>
      </c>
      <c r="B39" s="37" t="s">
        <v>17</v>
      </c>
      <c r="C39" s="37" t="s">
        <v>108</v>
      </c>
      <c r="D39" s="37" t="s">
        <v>55</v>
      </c>
      <c r="E39" s="37" t="s">
        <v>5</v>
      </c>
      <c r="F39" s="37" t="s">
        <v>109</v>
      </c>
      <c r="G39" s="37" t="s">
        <v>110</v>
      </c>
      <c r="H39" s="37" t="s">
        <v>111</v>
      </c>
      <c r="I39" s="37" t="s">
        <v>112</v>
      </c>
      <c r="J39" s="37" t="s">
        <v>35</v>
      </c>
      <c r="K39" s="38">
        <v>27.96</v>
      </c>
      <c r="L39" s="39"/>
      <c r="M39" s="37"/>
      <c r="N39" s="40">
        <v>0.222</v>
      </c>
      <c r="O39" s="38">
        <v>0.220522</v>
      </c>
      <c r="P39" s="38">
        <v>6.4000000000000005E-4</v>
      </c>
      <c r="Q39" s="38">
        <v>9.0799999999999995E-4</v>
      </c>
      <c r="R39" s="40">
        <v>0.222</v>
      </c>
      <c r="S39" s="38">
        <v>0.220522</v>
      </c>
      <c r="T39" s="38">
        <v>6.4000000000000005E-4</v>
      </c>
      <c r="U39" s="38">
        <v>9.0799999999999995E-4</v>
      </c>
      <c r="V39" s="8">
        <f t="shared" si="0"/>
        <v>2023</v>
      </c>
    </row>
    <row r="40" spans="1:22" ht="30.6" hidden="1" x14ac:dyDescent="0.25">
      <c r="A40" s="36">
        <v>45139</v>
      </c>
      <c r="B40" s="37" t="s">
        <v>11</v>
      </c>
      <c r="C40" s="37" t="s">
        <v>108</v>
      </c>
      <c r="D40" s="37" t="s">
        <v>55</v>
      </c>
      <c r="E40" s="37" t="s">
        <v>5</v>
      </c>
      <c r="F40" s="37" t="s">
        <v>109</v>
      </c>
      <c r="G40" s="37" t="s">
        <v>110</v>
      </c>
      <c r="H40" s="37" t="s">
        <v>111</v>
      </c>
      <c r="I40" s="37" t="s">
        <v>112</v>
      </c>
      <c r="J40" s="37" t="s">
        <v>34</v>
      </c>
      <c r="K40" s="38">
        <v>4.5616469999999998</v>
      </c>
      <c r="L40" s="39"/>
      <c r="M40" s="37"/>
      <c r="N40" s="40">
        <v>1.0680000000000001</v>
      </c>
      <c r="O40" s="38">
        <v>1.0530980000000001</v>
      </c>
      <c r="P40" s="38">
        <v>1.44E-2</v>
      </c>
      <c r="Q40" s="38">
        <v>1.3200000000000001E-4</v>
      </c>
      <c r="R40" s="40">
        <v>1.0680000000000001</v>
      </c>
      <c r="S40" s="38">
        <v>1.0530980000000001</v>
      </c>
      <c r="T40" s="38">
        <v>1.44E-2</v>
      </c>
      <c r="U40" s="38">
        <v>1.3200000000000001E-4</v>
      </c>
      <c r="V40" s="8">
        <f t="shared" si="0"/>
        <v>2023</v>
      </c>
    </row>
    <row r="41" spans="1:22" ht="30.6" hidden="1" x14ac:dyDescent="0.25">
      <c r="A41" s="36">
        <v>45139</v>
      </c>
      <c r="B41" s="37" t="s">
        <v>21</v>
      </c>
      <c r="C41" s="37" t="s">
        <v>108</v>
      </c>
      <c r="D41" s="37" t="s">
        <v>55</v>
      </c>
      <c r="E41" s="37" t="s">
        <v>5</v>
      </c>
      <c r="F41" s="37" t="s">
        <v>109</v>
      </c>
      <c r="G41" s="37" t="s">
        <v>110</v>
      </c>
      <c r="H41" s="37" t="s">
        <v>111</v>
      </c>
      <c r="I41" s="37" t="s">
        <v>112</v>
      </c>
      <c r="J41" s="37" t="s">
        <v>37</v>
      </c>
      <c r="K41" s="38">
        <v>0.03</v>
      </c>
      <c r="L41" s="39"/>
      <c r="M41" s="37"/>
      <c r="N41" s="40">
        <v>0.03</v>
      </c>
      <c r="O41" s="38">
        <v>0.03</v>
      </c>
      <c r="P41" s="39"/>
      <c r="Q41" s="39"/>
      <c r="R41" s="40">
        <f>N41</f>
        <v>0.03</v>
      </c>
      <c r="S41" s="39"/>
      <c r="T41" s="39"/>
      <c r="U41" s="39"/>
      <c r="V41" s="8">
        <f t="shared" si="0"/>
        <v>2023</v>
      </c>
    </row>
    <row r="42" spans="1:22" ht="30.6" hidden="1" x14ac:dyDescent="0.25">
      <c r="A42" s="36">
        <v>45139</v>
      </c>
      <c r="B42" s="37" t="s">
        <v>15</v>
      </c>
      <c r="C42" s="37" t="s">
        <v>108</v>
      </c>
      <c r="D42" s="37" t="s">
        <v>55</v>
      </c>
      <c r="E42" s="37" t="s">
        <v>5</v>
      </c>
      <c r="F42" s="37" t="s">
        <v>109</v>
      </c>
      <c r="G42" s="37" t="s">
        <v>110</v>
      </c>
      <c r="H42" s="37" t="s">
        <v>111</v>
      </c>
      <c r="I42" s="37" t="s">
        <v>112</v>
      </c>
      <c r="J42" s="37" t="s">
        <v>34</v>
      </c>
      <c r="K42" s="38">
        <v>6.7214600000000004</v>
      </c>
      <c r="L42" s="42">
        <v>370.46</v>
      </c>
      <c r="M42" s="37"/>
      <c r="N42" s="40">
        <v>1.4570000000000001</v>
      </c>
      <c r="O42" s="38">
        <v>1.44709</v>
      </c>
      <c r="P42" s="38">
        <v>4.1999999999999997E-3</v>
      </c>
      <c r="Q42" s="38">
        <v>5.9610000000000002E-3</v>
      </c>
      <c r="R42" s="40">
        <v>1.4570000000000001</v>
      </c>
      <c r="S42" s="38">
        <v>1.44709</v>
      </c>
      <c r="T42" s="38">
        <v>4.1999999999999997E-3</v>
      </c>
      <c r="U42" s="38">
        <v>5.9610000000000002E-3</v>
      </c>
      <c r="V42" s="8">
        <f t="shared" si="0"/>
        <v>2023</v>
      </c>
    </row>
    <row r="43" spans="1:22" ht="30.6" hidden="1" x14ac:dyDescent="0.25">
      <c r="A43" s="36">
        <v>45139</v>
      </c>
      <c r="B43" s="37" t="s">
        <v>17</v>
      </c>
      <c r="C43" s="37" t="s">
        <v>108</v>
      </c>
      <c r="D43" s="37" t="s">
        <v>55</v>
      </c>
      <c r="E43" s="37" t="s">
        <v>5</v>
      </c>
      <c r="F43" s="37" t="s">
        <v>109</v>
      </c>
      <c r="G43" s="37" t="s">
        <v>110</v>
      </c>
      <c r="H43" s="37" t="s">
        <v>111</v>
      </c>
      <c r="I43" s="37" t="s">
        <v>112</v>
      </c>
      <c r="J43" s="37" t="s">
        <v>35</v>
      </c>
      <c r="K43" s="38">
        <v>1.78</v>
      </c>
      <c r="L43" s="39"/>
      <c r="M43" s="37"/>
      <c r="N43" s="40">
        <v>1.4E-2</v>
      </c>
      <c r="O43" s="38">
        <v>1.4038999999999999E-2</v>
      </c>
      <c r="P43" s="38">
        <v>4.1E-5</v>
      </c>
      <c r="Q43" s="38">
        <v>5.8E-5</v>
      </c>
      <c r="R43" s="40">
        <v>1.4E-2</v>
      </c>
      <c r="S43" s="38">
        <v>1.4038999999999999E-2</v>
      </c>
      <c r="T43" s="38">
        <v>4.1E-5</v>
      </c>
      <c r="U43" s="38">
        <v>5.8E-5</v>
      </c>
      <c r="V43" s="8">
        <f t="shared" si="0"/>
        <v>2023</v>
      </c>
    </row>
    <row r="44" spans="1:22" ht="30.6" hidden="1" x14ac:dyDescent="0.25">
      <c r="A44" s="36">
        <v>45170</v>
      </c>
      <c r="B44" s="37" t="s">
        <v>11</v>
      </c>
      <c r="C44" s="37" t="s">
        <v>108</v>
      </c>
      <c r="D44" s="37" t="s">
        <v>55</v>
      </c>
      <c r="E44" s="37" t="s">
        <v>5</v>
      </c>
      <c r="F44" s="37" t="s">
        <v>109</v>
      </c>
      <c r="G44" s="37" t="s">
        <v>110</v>
      </c>
      <c r="H44" s="37" t="s">
        <v>111</v>
      </c>
      <c r="I44" s="37" t="s">
        <v>112</v>
      </c>
      <c r="J44" s="37" t="s">
        <v>34</v>
      </c>
      <c r="K44" s="38">
        <v>5.2271619999999999</v>
      </c>
      <c r="L44" s="42">
        <v>481.26120400000002</v>
      </c>
      <c r="M44" s="37"/>
      <c r="N44" s="40">
        <v>1.2230000000000001</v>
      </c>
      <c r="O44" s="38">
        <v>1.206739</v>
      </c>
      <c r="P44" s="38">
        <v>1.6500999999999998E-2</v>
      </c>
      <c r="Q44" s="38">
        <v>1.5100000000000001E-4</v>
      </c>
      <c r="R44" s="40">
        <v>1.2230000000000001</v>
      </c>
      <c r="S44" s="38">
        <v>1.206739</v>
      </c>
      <c r="T44" s="38">
        <v>1.6500999999999998E-2</v>
      </c>
      <c r="U44" s="38">
        <v>1.5100000000000001E-4</v>
      </c>
      <c r="V44" s="8">
        <f t="shared" si="0"/>
        <v>2023</v>
      </c>
    </row>
    <row r="45" spans="1:22" ht="30.6" hidden="1" x14ac:dyDescent="0.25">
      <c r="A45" s="36">
        <v>45170</v>
      </c>
      <c r="B45" s="37" t="s">
        <v>21</v>
      </c>
      <c r="C45" s="37" t="s">
        <v>108</v>
      </c>
      <c r="D45" s="37" t="s">
        <v>55</v>
      </c>
      <c r="E45" s="37" t="s">
        <v>5</v>
      </c>
      <c r="F45" s="37" t="s">
        <v>109</v>
      </c>
      <c r="G45" s="37" t="s">
        <v>110</v>
      </c>
      <c r="H45" s="37" t="s">
        <v>111</v>
      </c>
      <c r="I45" s="37" t="s">
        <v>112</v>
      </c>
      <c r="J45" s="37" t="s">
        <v>37</v>
      </c>
      <c r="K45" s="38">
        <v>0.03</v>
      </c>
      <c r="L45" s="39"/>
      <c r="M45" s="37"/>
      <c r="N45" s="40">
        <v>0.03</v>
      </c>
      <c r="O45" s="38">
        <v>0.03</v>
      </c>
      <c r="P45" s="39"/>
      <c r="Q45" s="39"/>
      <c r="R45" s="40">
        <f>N45</f>
        <v>0.03</v>
      </c>
      <c r="S45" s="39"/>
      <c r="T45" s="39"/>
      <c r="U45" s="39"/>
      <c r="V45" s="8">
        <f t="shared" si="0"/>
        <v>2023</v>
      </c>
    </row>
    <row r="46" spans="1:22" ht="30.6" hidden="1" x14ac:dyDescent="0.25">
      <c r="A46" s="36">
        <v>45170</v>
      </c>
      <c r="B46" s="37" t="s">
        <v>15</v>
      </c>
      <c r="C46" s="37" t="s">
        <v>108</v>
      </c>
      <c r="D46" s="37" t="s">
        <v>55</v>
      </c>
      <c r="E46" s="37" t="s">
        <v>5</v>
      </c>
      <c r="F46" s="37" t="s">
        <v>109</v>
      </c>
      <c r="G46" s="37" t="s">
        <v>110</v>
      </c>
      <c r="H46" s="37" t="s">
        <v>111</v>
      </c>
      <c r="I46" s="37" t="s">
        <v>112</v>
      </c>
      <c r="J46" s="37" t="s">
        <v>34</v>
      </c>
      <c r="K46" s="38">
        <v>6.6559999999999997</v>
      </c>
      <c r="L46" s="39"/>
      <c r="M46" s="37"/>
      <c r="N46" s="40">
        <v>1.4430000000000001</v>
      </c>
      <c r="O46" s="38">
        <v>1.4329970000000001</v>
      </c>
      <c r="P46" s="38">
        <v>4.1590000000000004E-3</v>
      </c>
      <c r="Q46" s="38">
        <v>5.9030000000000003E-3</v>
      </c>
      <c r="R46" s="40">
        <v>1.4430000000000001</v>
      </c>
      <c r="S46" s="38">
        <v>1.4329970000000001</v>
      </c>
      <c r="T46" s="38">
        <v>4.1590000000000004E-3</v>
      </c>
      <c r="U46" s="38">
        <v>5.9030000000000003E-3</v>
      </c>
      <c r="V46" s="8">
        <f t="shared" si="0"/>
        <v>2023</v>
      </c>
    </row>
    <row r="47" spans="1:22" ht="30.6" hidden="1" x14ac:dyDescent="0.25">
      <c r="A47" s="36">
        <v>45170</v>
      </c>
      <c r="B47" s="37" t="s">
        <v>17</v>
      </c>
      <c r="C47" s="37" t="s">
        <v>108</v>
      </c>
      <c r="D47" s="37" t="s">
        <v>55</v>
      </c>
      <c r="E47" s="37" t="s">
        <v>5</v>
      </c>
      <c r="F47" s="37" t="s">
        <v>109</v>
      </c>
      <c r="G47" s="37" t="s">
        <v>110</v>
      </c>
      <c r="H47" s="37" t="s">
        <v>111</v>
      </c>
      <c r="I47" s="37" t="s">
        <v>112</v>
      </c>
      <c r="J47" s="37" t="s">
        <v>35</v>
      </c>
      <c r="K47" s="38">
        <v>30</v>
      </c>
      <c r="L47" s="39"/>
      <c r="M47" s="37"/>
      <c r="N47" s="40">
        <v>0.23799999999999999</v>
      </c>
      <c r="O47" s="38">
        <v>0.23661199999999999</v>
      </c>
      <c r="P47" s="38">
        <v>6.87E-4</v>
      </c>
      <c r="Q47" s="38">
        <v>9.7499999999999996E-4</v>
      </c>
      <c r="R47" s="40">
        <v>0.23799999999999999</v>
      </c>
      <c r="S47" s="38">
        <v>0.23661199999999999</v>
      </c>
      <c r="T47" s="38">
        <v>6.87E-4</v>
      </c>
      <c r="U47" s="38">
        <v>9.7499999999999996E-4</v>
      </c>
      <c r="V47" s="8">
        <f t="shared" si="0"/>
        <v>2023</v>
      </c>
    </row>
    <row r="48" spans="1:22" ht="30.6" hidden="1" x14ac:dyDescent="0.25">
      <c r="A48" s="36">
        <v>45200</v>
      </c>
      <c r="B48" s="37" t="s">
        <v>11</v>
      </c>
      <c r="C48" s="37" t="s">
        <v>108</v>
      </c>
      <c r="D48" s="37" t="s">
        <v>55</v>
      </c>
      <c r="E48" s="37" t="s">
        <v>5</v>
      </c>
      <c r="F48" s="37" t="s">
        <v>109</v>
      </c>
      <c r="G48" s="37" t="s">
        <v>110</v>
      </c>
      <c r="H48" s="37" t="s">
        <v>111</v>
      </c>
      <c r="I48" s="37" t="s">
        <v>112</v>
      </c>
      <c r="J48" s="37" t="s">
        <v>34</v>
      </c>
      <c r="K48" s="38">
        <v>17.511278000000001</v>
      </c>
      <c r="L48" s="39"/>
      <c r="M48" s="37"/>
      <c r="N48" s="40">
        <v>4.0979999999999999</v>
      </c>
      <c r="O48" s="38">
        <v>4.0426399999999996</v>
      </c>
      <c r="P48" s="38">
        <v>5.5278000000000001E-2</v>
      </c>
      <c r="Q48" s="38">
        <v>5.0500000000000002E-4</v>
      </c>
      <c r="R48" s="40">
        <v>4.0979999999999999</v>
      </c>
      <c r="S48" s="38">
        <v>4.0426399999999996</v>
      </c>
      <c r="T48" s="38">
        <v>5.5278000000000001E-2</v>
      </c>
      <c r="U48" s="38">
        <v>5.0500000000000002E-4</v>
      </c>
      <c r="V48" s="8">
        <f t="shared" si="0"/>
        <v>2023</v>
      </c>
    </row>
    <row r="49" spans="1:22" ht="30.6" hidden="1" x14ac:dyDescent="0.25">
      <c r="A49" s="36">
        <v>45200</v>
      </c>
      <c r="B49" s="37" t="s">
        <v>21</v>
      </c>
      <c r="C49" s="37" t="s">
        <v>108</v>
      </c>
      <c r="D49" s="37" t="s">
        <v>55</v>
      </c>
      <c r="E49" s="37" t="s">
        <v>5</v>
      </c>
      <c r="F49" s="37" t="s">
        <v>109</v>
      </c>
      <c r="G49" s="37" t="s">
        <v>110</v>
      </c>
      <c r="H49" s="37" t="s">
        <v>111</v>
      </c>
      <c r="I49" s="37" t="s">
        <v>112</v>
      </c>
      <c r="J49" s="37" t="s">
        <v>37</v>
      </c>
      <c r="K49" s="38">
        <v>0.03</v>
      </c>
      <c r="L49" s="42">
        <v>90160</v>
      </c>
      <c r="M49" s="37"/>
      <c r="N49" s="40">
        <v>0.03</v>
      </c>
      <c r="O49" s="38">
        <v>0.03</v>
      </c>
      <c r="P49" s="39"/>
      <c r="Q49" s="39"/>
      <c r="R49" s="40">
        <f>N49</f>
        <v>0.03</v>
      </c>
      <c r="S49" s="39"/>
      <c r="T49" s="39"/>
      <c r="U49" s="39"/>
      <c r="V49" s="8">
        <f t="shared" si="0"/>
        <v>2023</v>
      </c>
    </row>
    <row r="50" spans="1:22" ht="30.6" hidden="1" x14ac:dyDescent="0.25">
      <c r="A50" s="36">
        <v>45200</v>
      </c>
      <c r="B50" s="37" t="s">
        <v>15</v>
      </c>
      <c r="C50" s="37" t="s">
        <v>108</v>
      </c>
      <c r="D50" s="37" t="s">
        <v>55</v>
      </c>
      <c r="E50" s="37" t="s">
        <v>5</v>
      </c>
      <c r="F50" s="37" t="s">
        <v>109</v>
      </c>
      <c r="G50" s="37" t="s">
        <v>110</v>
      </c>
      <c r="H50" s="37" t="s">
        <v>111</v>
      </c>
      <c r="I50" s="37" t="s">
        <v>112</v>
      </c>
      <c r="J50" s="37" t="s">
        <v>34</v>
      </c>
      <c r="K50" s="38">
        <v>3.9458799999999998</v>
      </c>
      <c r="L50" s="42">
        <v>243.99</v>
      </c>
      <c r="M50" s="37"/>
      <c r="N50" s="40">
        <v>0.85499999999999998</v>
      </c>
      <c r="O50" s="38">
        <v>0.84952399999999995</v>
      </c>
      <c r="P50" s="38">
        <v>2.4659999999999999E-3</v>
      </c>
      <c r="Q50" s="38">
        <v>3.4989999999999999E-3</v>
      </c>
      <c r="R50" s="40">
        <v>0.85499999999999998</v>
      </c>
      <c r="S50" s="38">
        <v>0.84952399999999995</v>
      </c>
      <c r="T50" s="38">
        <v>2.4659999999999999E-3</v>
      </c>
      <c r="U50" s="38">
        <v>3.4989999999999999E-3</v>
      </c>
      <c r="V50" s="8">
        <f t="shared" si="0"/>
        <v>2023</v>
      </c>
    </row>
    <row r="51" spans="1:22" ht="30.6" hidden="1" x14ac:dyDescent="0.25">
      <c r="A51" s="36">
        <v>45200</v>
      </c>
      <c r="B51" s="37" t="s">
        <v>17</v>
      </c>
      <c r="C51" s="37" t="s">
        <v>108</v>
      </c>
      <c r="D51" s="37" t="s">
        <v>55</v>
      </c>
      <c r="E51" s="37" t="s">
        <v>5</v>
      </c>
      <c r="F51" s="37" t="s">
        <v>109</v>
      </c>
      <c r="G51" s="37" t="s">
        <v>110</v>
      </c>
      <c r="H51" s="37" t="s">
        <v>111</v>
      </c>
      <c r="I51" s="37" t="s">
        <v>112</v>
      </c>
      <c r="J51" s="37" t="s">
        <v>35</v>
      </c>
      <c r="K51" s="38">
        <v>446.68</v>
      </c>
      <c r="L51" s="39"/>
      <c r="M51" s="37"/>
      <c r="N51" s="40">
        <v>3.548</v>
      </c>
      <c r="O51" s="38">
        <v>3.5229910000000002</v>
      </c>
      <c r="P51" s="38">
        <v>1.0225E-2</v>
      </c>
      <c r="Q51" s="38">
        <v>1.4512000000000001E-2</v>
      </c>
      <c r="R51" s="40">
        <v>3.548</v>
      </c>
      <c r="S51" s="38">
        <v>3.5229910000000002</v>
      </c>
      <c r="T51" s="38">
        <v>1.0225E-2</v>
      </c>
      <c r="U51" s="38">
        <v>1.4512000000000001E-2</v>
      </c>
      <c r="V51" s="8">
        <f t="shared" si="0"/>
        <v>2023</v>
      </c>
    </row>
    <row r="52" spans="1:22" ht="30.6" hidden="1" x14ac:dyDescent="0.25">
      <c r="A52" s="36">
        <v>45231</v>
      </c>
      <c r="B52" s="37" t="s">
        <v>11</v>
      </c>
      <c r="C52" s="37" t="s">
        <v>108</v>
      </c>
      <c r="D52" s="37" t="s">
        <v>55</v>
      </c>
      <c r="E52" s="37" t="s">
        <v>5</v>
      </c>
      <c r="F52" s="37" t="s">
        <v>109</v>
      </c>
      <c r="G52" s="37" t="s">
        <v>110</v>
      </c>
      <c r="H52" s="37" t="s">
        <v>111</v>
      </c>
      <c r="I52" s="37" t="s">
        <v>112</v>
      </c>
      <c r="J52" s="37" t="s">
        <v>34</v>
      </c>
      <c r="K52" s="38">
        <v>77.533826000000005</v>
      </c>
      <c r="L52" s="39"/>
      <c r="M52" s="37"/>
      <c r="N52" s="40">
        <v>18.146000000000001</v>
      </c>
      <c r="O52" s="38">
        <v>17.8994</v>
      </c>
      <c r="P52" s="38">
        <v>0.244754</v>
      </c>
      <c r="Q52" s="38">
        <v>2.238E-3</v>
      </c>
      <c r="R52" s="40">
        <v>18.146000000000001</v>
      </c>
      <c r="S52" s="38">
        <v>17.8994</v>
      </c>
      <c r="T52" s="38">
        <v>0.244754</v>
      </c>
      <c r="U52" s="38">
        <v>2.238E-3</v>
      </c>
      <c r="V52" s="8">
        <f t="shared" si="0"/>
        <v>2023</v>
      </c>
    </row>
    <row r="53" spans="1:22" ht="30.6" hidden="1" x14ac:dyDescent="0.25">
      <c r="A53" s="36">
        <v>45231</v>
      </c>
      <c r="B53" s="37" t="s">
        <v>21</v>
      </c>
      <c r="C53" s="37" t="s">
        <v>108</v>
      </c>
      <c r="D53" s="37" t="s">
        <v>55</v>
      </c>
      <c r="E53" s="37" t="s">
        <v>5</v>
      </c>
      <c r="F53" s="37" t="s">
        <v>109</v>
      </c>
      <c r="G53" s="37" t="s">
        <v>110</v>
      </c>
      <c r="H53" s="37" t="s">
        <v>111</v>
      </c>
      <c r="I53" s="37" t="s">
        <v>112</v>
      </c>
      <c r="J53" s="37" t="s">
        <v>37</v>
      </c>
      <c r="K53" s="38">
        <v>0.03</v>
      </c>
      <c r="L53" s="39"/>
      <c r="M53" s="37"/>
      <c r="N53" s="40">
        <v>0.03</v>
      </c>
      <c r="O53" s="38">
        <v>0.03</v>
      </c>
      <c r="P53" s="39"/>
      <c r="Q53" s="39"/>
      <c r="R53" s="40">
        <f>N53</f>
        <v>0.03</v>
      </c>
      <c r="S53" s="39"/>
      <c r="T53" s="39"/>
      <c r="U53" s="39"/>
      <c r="V53" s="8">
        <f t="shared" si="0"/>
        <v>2023</v>
      </c>
    </row>
    <row r="54" spans="1:22" ht="30.6" hidden="1" x14ac:dyDescent="0.25">
      <c r="A54" s="36">
        <v>45231</v>
      </c>
      <c r="B54" s="37" t="s">
        <v>15</v>
      </c>
      <c r="C54" s="37" t="s">
        <v>108</v>
      </c>
      <c r="D54" s="37" t="s">
        <v>55</v>
      </c>
      <c r="E54" s="37" t="s">
        <v>5</v>
      </c>
      <c r="F54" s="37" t="s">
        <v>109</v>
      </c>
      <c r="G54" s="37" t="s">
        <v>110</v>
      </c>
      <c r="H54" s="37" t="s">
        <v>111</v>
      </c>
      <c r="I54" s="37" t="s">
        <v>112</v>
      </c>
      <c r="J54" s="37" t="s">
        <v>34</v>
      </c>
      <c r="K54" s="38">
        <v>3.778</v>
      </c>
      <c r="L54" s="39"/>
      <c r="M54" s="37"/>
      <c r="N54" s="40">
        <v>0.81899999999999995</v>
      </c>
      <c r="O54" s="38">
        <v>0.81338100000000002</v>
      </c>
      <c r="P54" s="38">
        <v>2.3609999999999998E-3</v>
      </c>
      <c r="Q54" s="38">
        <v>3.3500000000000001E-3</v>
      </c>
      <c r="R54" s="40">
        <v>0.81899999999999995</v>
      </c>
      <c r="S54" s="38">
        <v>0.81338100000000002</v>
      </c>
      <c r="T54" s="38">
        <v>2.3609999999999998E-3</v>
      </c>
      <c r="U54" s="38">
        <v>3.3500000000000001E-3</v>
      </c>
      <c r="V54" s="8">
        <f t="shared" si="0"/>
        <v>2023</v>
      </c>
    </row>
    <row r="55" spans="1:22" ht="30.6" hidden="1" x14ac:dyDescent="0.25">
      <c r="A55" s="36">
        <v>45231</v>
      </c>
      <c r="B55" s="37" t="s">
        <v>17</v>
      </c>
      <c r="C55" s="37" t="s">
        <v>108</v>
      </c>
      <c r="D55" s="37" t="s">
        <v>55</v>
      </c>
      <c r="E55" s="37" t="s">
        <v>5</v>
      </c>
      <c r="F55" s="37" t="s">
        <v>109</v>
      </c>
      <c r="G55" s="37" t="s">
        <v>110</v>
      </c>
      <c r="H55" s="37" t="s">
        <v>111</v>
      </c>
      <c r="I55" s="37" t="s">
        <v>112</v>
      </c>
      <c r="J55" s="37" t="s">
        <v>35</v>
      </c>
      <c r="K55" s="38">
        <v>1471.23</v>
      </c>
      <c r="L55" s="39"/>
      <c r="M55" s="37"/>
      <c r="N55" s="40">
        <v>11.685</v>
      </c>
      <c r="O55" s="38">
        <v>11.603675000000001</v>
      </c>
      <c r="P55" s="38">
        <v>3.3676999999999999E-2</v>
      </c>
      <c r="Q55" s="38">
        <v>4.7796999999999999E-2</v>
      </c>
      <c r="R55" s="40">
        <v>11.685</v>
      </c>
      <c r="S55" s="38">
        <v>11.603675000000001</v>
      </c>
      <c r="T55" s="38">
        <v>3.3676999999999999E-2</v>
      </c>
      <c r="U55" s="38">
        <v>4.7796999999999999E-2</v>
      </c>
      <c r="V55" s="8">
        <f t="shared" si="0"/>
        <v>2023</v>
      </c>
    </row>
    <row r="56" spans="1:22" ht="30.6" hidden="1" x14ac:dyDescent="0.25">
      <c r="A56" s="36">
        <v>45261</v>
      </c>
      <c r="B56" s="37" t="s">
        <v>11</v>
      </c>
      <c r="C56" s="37" t="s">
        <v>108</v>
      </c>
      <c r="D56" s="37" t="s">
        <v>55</v>
      </c>
      <c r="E56" s="37" t="s">
        <v>5</v>
      </c>
      <c r="F56" s="37" t="s">
        <v>109</v>
      </c>
      <c r="G56" s="37" t="s">
        <v>110</v>
      </c>
      <c r="H56" s="37" t="s">
        <v>111</v>
      </c>
      <c r="I56" s="37" t="s">
        <v>112</v>
      </c>
      <c r="J56" s="37" t="s">
        <v>34</v>
      </c>
      <c r="K56" s="38">
        <v>19.47035</v>
      </c>
      <c r="L56" s="39"/>
      <c r="M56" s="37"/>
      <c r="N56" s="40">
        <v>4.5570000000000004</v>
      </c>
      <c r="O56" s="38">
        <v>4.49491</v>
      </c>
      <c r="P56" s="38">
        <v>6.1462999999999997E-2</v>
      </c>
      <c r="Q56" s="38">
        <v>5.62E-4</v>
      </c>
      <c r="R56" s="40">
        <v>4.5570000000000004</v>
      </c>
      <c r="S56" s="38">
        <v>4.49491</v>
      </c>
      <c r="T56" s="38">
        <v>6.1462999999999997E-2</v>
      </c>
      <c r="U56" s="38">
        <v>5.62E-4</v>
      </c>
      <c r="V56" s="8">
        <f t="shared" ref="V56:V115" si="1">YEAR(A56)</f>
        <v>2023</v>
      </c>
    </row>
    <row r="57" spans="1:22" ht="30.6" hidden="1" x14ac:dyDescent="0.25">
      <c r="A57" s="36">
        <v>45261</v>
      </c>
      <c r="B57" s="37" t="s">
        <v>21</v>
      </c>
      <c r="C57" s="37" t="s">
        <v>108</v>
      </c>
      <c r="D57" s="37" t="s">
        <v>55</v>
      </c>
      <c r="E57" s="37" t="s">
        <v>5</v>
      </c>
      <c r="F57" s="37" t="s">
        <v>109</v>
      </c>
      <c r="G57" s="37" t="s">
        <v>110</v>
      </c>
      <c r="H57" s="37" t="s">
        <v>111</v>
      </c>
      <c r="I57" s="37" t="s">
        <v>112</v>
      </c>
      <c r="J57" s="37" t="s">
        <v>37</v>
      </c>
      <c r="K57" s="38">
        <v>0.03</v>
      </c>
      <c r="L57" s="42">
        <v>12499.199891</v>
      </c>
      <c r="M57" s="37"/>
      <c r="N57" s="40">
        <v>0.03</v>
      </c>
      <c r="O57" s="38">
        <v>0.03</v>
      </c>
      <c r="P57" s="39"/>
      <c r="Q57" s="39"/>
      <c r="R57" s="40">
        <f>N57</f>
        <v>0.03</v>
      </c>
      <c r="S57" s="39"/>
      <c r="T57" s="39"/>
      <c r="U57" s="39"/>
      <c r="V57" s="8">
        <f t="shared" si="1"/>
        <v>2023</v>
      </c>
    </row>
    <row r="58" spans="1:22" ht="30.6" hidden="1" x14ac:dyDescent="0.25">
      <c r="A58" s="36">
        <v>45261</v>
      </c>
      <c r="B58" s="37" t="s">
        <v>15</v>
      </c>
      <c r="C58" s="37" t="s">
        <v>108</v>
      </c>
      <c r="D58" s="37" t="s">
        <v>55</v>
      </c>
      <c r="E58" s="37" t="s">
        <v>5</v>
      </c>
      <c r="F58" s="37" t="s">
        <v>109</v>
      </c>
      <c r="G58" s="37" t="s">
        <v>110</v>
      </c>
      <c r="H58" s="37" t="s">
        <v>111</v>
      </c>
      <c r="I58" s="37" t="s">
        <v>112</v>
      </c>
      <c r="J58" s="37" t="s">
        <v>34</v>
      </c>
      <c r="K58" s="38">
        <v>3.93</v>
      </c>
      <c r="L58" s="39"/>
      <c r="M58" s="37"/>
      <c r="N58" s="40">
        <v>0.85199999999999998</v>
      </c>
      <c r="O58" s="38">
        <v>0.84610600000000002</v>
      </c>
      <c r="P58" s="38">
        <v>2.4559999999999998E-3</v>
      </c>
      <c r="Q58" s="38">
        <v>3.4849999999999998E-3</v>
      </c>
      <c r="R58" s="40">
        <v>0.85199999999999998</v>
      </c>
      <c r="S58" s="38">
        <v>0.84610600000000002</v>
      </c>
      <c r="T58" s="38">
        <v>2.4559999999999998E-3</v>
      </c>
      <c r="U58" s="38">
        <v>3.4849999999999998E-3</v>
      </c>
      <c r="V58" s="8">
        <f t="shared" si="1"/>
        <v>2023</v>
      </c>
    </row>
    <row r="59" spans="1:22" ht="30.6" hidden="1" x14ac:dyDescent="0.25">
      <c r="A59" s="36">
        <v>45261</v>
      </c>
      <c r="B59" s="37" t="s">
        <v>17</v>
      </c>
      <c r="C59" s="37" t="s">
        <v>108</v>
      </c>
      <c r="D59" s="37" t="s">
        <v>55</v>
      </c>
      <c r="E59" s="37" t="s">
        <v>5</v>
      </c>
      <c r="F59" s="37" t="s">
        <v>109</v>
      </c>
      <c r="G59" s="37" t="s">
        <v>110</v>
      </c>
      <c r="H59" s="37" t="s">
        <v>111</v>
      </c>
      <c r="I59" s="37" t="s">
        <v>112</v>
      </c>
      <c r="J59" s="37" t="s">
        <v>35</v>
      </c>
      <c r="K59" s="38">
        <v>514.41</v>
      </c>
      <c r="L59" s="39"/>
      <c r="M59" s="37"/>
      <c r="N59" s="40">
        <v>4.0860000000000003</v>
      </c>
      <c r="O59" s="38">
        <v>4.0571809999999999</v>
      </c>
      <c r="P59" s="38">
        <v>1.1775000000000001E-2</v>
      </c>
      <c r="Q59" s="38">
        <v>1.6712000000000001E-2</v>
      </c>
      <c r="R59" s="40">
        <v>4.0860000000000003</v>
      </c>
      <c r="S59" s="38">
        <v>4.0571809999999999</v>
      </c>
      <c r="T59" s="38">
        <v>1.1775000000000001E-2</v>
      </c>
      <c r="U59" s="38">
        <v>1.6712000000000001E-2</v>
      </c>
      <c r="V59" s="8">
        <f t="shared" si="1"/>
        <v>2023</v>
      </c>
    </row>
    <row r="60" spans="1:22" ht="30.6" hidden="1" x14ac:dyDescent="0.25">
      <c r="A60" s="36">
        <v>44562</v>
      </c>
      <c r="B60" s="37" t="s">
        <v>23</v>
      </c>
      <c r="C60" s="37" t="s">
        <v>108</v>
      </c>
      <c r="D60" s="37" t="s">
        <v>55</v>
      </c>
      <c r="E60" s="37" t="s">
        <v>6</v>
      </c>
      <c r="F60" s="37" t="s">
        <v>109</v>
      </c>
      <c r="G60" s="37" t="s">
        <v>110</v>
      </c>
      <c r="H60" s="37" t="s">
        <v>111</v>
      </c>
      <c r="I60" s="37" t="s">
        <v>112</v>
      </c>
      <c r="J60" s="37" t="s">
        <v>34</v>
      </c>
      <c r="K60" s="38">
        <v>490.08108299999998</v>
      </c>
      <c r="L60" s="39"/>
      <c r="M60" s="37"/>
      <c r="N60" s="40">
        <v>151.53100000000001</v>
      </c>
      <c r="O60" s="38">
        <v>151.04299</v>
      </c>
      <c r="P60" s="38">
        <v>0.26892199999999999</v>
      </c>
      <c r="Q60" s="38">
        <v>0.21877199999999999</v>
      </c>
      <c r="R60" s="40">
        <v>151.53100000000001</v>
      </c>
      <c r="S60" s="38">
        <v>151.04299</v>
      </c>
      <c r="T60" s="38">
        <v>0.26892199999999999</v>
      </c>
      <c r="U60" s="38">
        <v>0.21877199999999999</v>
      </c>
      <c r="V60" s="8">
        <f t="shared" si="1"/>
        <v>2022</v>
      </c>
    </row>
    <row r="61" spans="1:22" ht="30.6" hidden="1" x14ac:dyDescent="0.25">
      <c r="A61" s="36">
        <v>44593</v>
      </c>
      <c r="B61" s="37" t="s">
        <v>23</v>
      </c>
      <c r="C61" s="37" t="s">
        <v>108</v>
      </c>
      <c r="D61" s="37" t="s">
        <v>55</v>
      </c>
      <c r="E61" s="37" t="s">
        <v>6</v>
      </c>
      <c r="F61" s="37" t="s">
        <v>109</v>
      </c>
      <c r="G61" s="37" t="s">
        <v>110</v>
      </c>
      <c r="H61" s="37" t="s">
        <v>111</v>
      </c>
      <c r="I61" s="37" t="s">
        <v>112</v>
      </c>
      <c r="J61" s="37" t="s">
        <v>34</v>
      </c>
      <c r="K61" s="38">
        <v>490.08108299999998</v>
      </c>
      <c r="L61" s="39"/>
      <c r="M61" s="37"/>
      <c r="N61" s="40">
        <v>151.53100000000001</v>
      </c>
      <c r="O61" s="38">
        <v>151.04299</v>
      </c>
      <c r="P61" s="38">
        <v>0.26892199999999999</v>
      </c>
      <c r="Q61" s="38">
        <v>0.21877199999999999</v>
      </c>
      <c r="R61" s="40">
        <v>151.53100000000001</v>
      </c>
      <c r="S61" s="38">
        <v>151.04299</v>
      </c>
      <c r="T61" s="38">
        <v>0.26892199999999999</v>
      </c>
      <c r="U61" s="38">
        <v>0.21877199999999999</v>
      </c>
      <c r="V61" s="8">
        <f t="shared" si="1"/>
        <v>2022</v>
      </c>
    </row>
    <row r="62" spans="1:22" ht="30.6" hidden="1" x14ac:dyDescent="0.25">
      <c r="A62" s="36">
        <v>44621</v>
      </c>
      <c r="B62" s="37" t="s">
        <v>23</v>
      </c>
      <c r="C62" s="37" t="s">
        <v>108</v>
      </c>
      <c r="D62" s="37" t="s">
        <v>55</v>
      </c>
      <c r="E62" s="37" t="s">
        <v>6</v>
      </c>
      <c r="F62" s="37" t="s">
        <v>109</v>
      </c>
      <c r="G62" s="37" t="s">
        <v>110</v>
      </c>
      <c r="H62" s="37" t="s">
        <v>111</v>
      </c>
      <c r="I62" s="37" t="s">
        <v>112</v>
      </c>
      <c r="J62" s="37" t="s">
        <v>34</v>
      </c>
      <c r="K62" s="38">
        <v>490.08108299999998</v>
      </c>
      <c r="L62" s="39"/>
      <c r="M62" s="37"/>
      <c r="N62" s="40">
        <v>151.53100000000001</v>
      </c>
      <c r="O62" s="38">
        <v>151.04299</v>
      </c>
      <c r="P62" s="38">
        <v>0.26892199999999999</v>
      </c>
      <c r="Q62" s="38">
        <v>0.21877199999999999</v>
      </c>
      <c r="R62" s="40">
        <v>151.53100000000001</v>
      </c>
      <c r="S62" s="38">
        <v>151.04299</v>
      </c>
      <c r="T62" s="38">
        <v>0.26892199999999999</v>
      </c>
      <c r="U62" s="38">
        <v>0.21877199999999999</v>
      </c>
      <c r="V62" s="8">
        <f t="shared" si="1"/>
        <v>2022</v>
      </c>
    </row>
    <row r="63" spans="1:22" ht="30.6" hidden="1" x14ac:dyDescent="0.25">
      <c r="A63" s="36">
        <v>44652</v>
      </c>
      <c r="B63" s="37" t="s">
        <v>23</v>
      </c>
      <c r="C63" s="37" t="s">
        <v>108</v>
      </c>
      <c r="D63" s="37" t="s">
        <v>55</v>
      </c>
      <c r="E63" s="37" t="s">
        <v>6</v>
      </c>
      <c r="F63" s="37" t="s">
        <v>109</v>
      </c>
      <c r="G63" s="37" t="s">
        <v>110</v>
      </c>
      <c r="H63" s="37" t="s">
        <v>111</v>
      </c>
      <c r="I63" s="37" t="s">
        <v>112</v>
      </c>
      <c r="J63" s="37" t="s">
        <v>34</v>
      </c>
      <c r="K63" s="38">
        <v>490.08108299999998</v>
      </c>
      <c r="L63" s="39"/>
      <c r="M63" s="37"/>
      <c r="N63" s="40">
        <v>151.53100000000001</v>
      </c>
      <c r="O63" s="38">
        <v>151.04299</v>
      </c>
      <c r="P63" s="38">
        <v>0.26892199999999999</v>
      </c>
      <c r="Q63" s="38">
        <v>0.21877199999999999</v>
      </c>
      <c r="R63" s="40">
        <v>151.53100000000001</v>
      </c>
      <c r="S63" s="38">
        <v>151.04299</v>
      </c>
      <c r="T63" s="38">
        <v>0.26892199999999999</v>
      </c>
      <c r="U63" s="38">
        <v>0.21877199999999999</v>
      </c>
      <c r="V63" s="8">
        <f t="shared" si="1"/>
        <v>2022</v>
      </c>
    </row>
    <row r="64" spans="1:22" ht="30.6" hidden="1" x14ac:dyDescent="0.25">
      <c r="A64" s="36">
        <v>44682</v>
      </c>
      <c r="B64" s="37" t="s">
        <v>23</v>
      </c>
      <c r="C64" s="37" t="s">
        <v>108</v>
      </c>
      <c r="D64" s="37" t="s">
        <v>55</v>
      </c>
      <c r="E64" s="37" t="s">
        <v>6</v>
      </c>
      <c r="F64" s="37" t="s">
        <v>109</v>
      </c>
      <c r="G64" s="37" t="s">
        <v>110</v>
      </c>
      <c r="H64" s="37" t="s">
        <v>111</v>
      </c>
      <c r="I64" s="37" t="s">
        <v>112</v>
      </c>
      <c r="J64" s="37" t="s">
        <v>34</v>
      </c>
      <c r="K64" s="38">
        <v>490.08108299999998</v>
      </c>
      <c r="L64" s="39"/>
      <c r="M64" s="37"/>
      <c r="N64" s="40">
        <v>151.53100000000001</v>
      </c>
      <c r="O64" s="38">
        <v>151.04299</v>
      </c>
      <c r="P64" s="38">
        <v>0.26892199999999999</v>
      </c>
      <c r="Q64" s="38">
        <v>0.21877199999999999</v>
      </c>
      <c r="R64" s="40">
        <v>151.53100000000001</v>
      </c>
      <c r="S64" s="38">
        <v>151.04299</v>
      </c>
      <c r="T64" s="38">
        <v>0.26892199999999999</v>
      </c>
      <c r="U64" s="38">
        <v>0.21877199999999999</v>
      </c>
      <c r="V64" s="8">
        <f t="shared" si="1"/>
        <v>2022</v>
      </c>
    </row>
    <row r="65" spans="1:22" ht="30.6" hidden="1" x14ac:dyDescent="0.25">
      <c r="A65" s="36">
        <v>44713</v>
      </c>
      <c r="B65" s="37" t="s">
        <v>23</v>
      </c>
      <c r="C65" s="37" t="s">
        <v>108</v>
      </c>
      <c r="D65" s="37" t="s">
        <v>55</v>
      </c>
      <c r="E65" s="37" t="s">
        <v>6</v>
      </c>
      <c r="F65" s="37" t="s">
        <v>109</v>
      </c>
      <c r="G65" s="37" t="s">
        <v>110</v>
      </c>
      <c r="H65" s="37" t="s">
        <v>111</v>
      </c>
      <c r="I65" s="37" t="s">
        <v>112</v>
      </c>
      <c r="J65" s="37" t="s">
        <v>34</v>
      </c>
      <c r="K65" s="38">
        <v>490.08108299999998</v>
      </c>
      <c r="L65" s="39"/>
      <c r="M65" s="37"/>
      <c r="N65" s="40">
        <v>151.53100000000001</v>
      </c>
      <c r="O65" s="38">
        <v>151.04299</v>
      </c>
      <c r="P65" s="38">
        <v>0.26892199999999999</v>
      </c>
      <c r="Q65" s="38">
        <v>0.21877199999999999</v>
      </c>
      <c r="R65" s="40">
        <v>151.53100000000001</v>
      </c>
      <c r="S65" s="38">
        <v>151.04299</v>
      </c>
      <c r="T65" s="38">
        <v>0.26892199999999999</v>
      </c>
      <c r="U65" s="38">
        <v>0.21877199999999999</v>
      </c>
      <c r="V65" s="8">
        <f t="shared" si="1"/>
        <v>2022</v>
      </c>
    </row>
    <row r="66" spans="1:22" ht="30.6" hidden="1" x14ac:dyDescent="0.25">
      <c r="A66" s="36">
        <v>44743</v>
      </c>
      <c r="B66" s="37" t="s">
        <v>23</v>
      </c>
      <c r="C66" s="37" t="s">
        <v>108</v>
      </c>
      <c r="D66" s="37" t="s">
        <v>55</v>
      </c>
      <c r="E66" s="37" t="s">
        <v>6</v>
      </c>
      <c r="F66" s="37" t="s">
        <v>109</v>
      </c>
      <c r="G66" s="37" t="s">
        <v>110</v>
      </c>
      <c r="H66" s="37" t="s">
        <v>111</v>
      </c>
      <c r="I66" s="37" t="s">
        <v>112</v>
      </c>
      <c r="J66" s="37" t="s">
        <v>34</v>
      </c>
      <c r="K66" s="38">
        <v>490.08108299999998</v>
      </c>
      <c r="L66" s="39"/>
      <c r="M66" s="37"/>
      <c r="N66" s="40">
        <v>151.53100000000001</v>
      </c>
      <c r="O66" s="38">
        <v>151.04299</v>
      </c>
      <c r="P66" s="38">
        <v>0.26892199999999999</v>
      </c>
      <c r="Q66" s="38">
        <v>0.21877199999999999</v>
      </c>
      <c r="R66" s="40">
        <v>151.53100000000001</v>
      </c>
      <c r="S66" s="38">
        <v>151.04299</v>
      </c>
      <c r="T66" s="38">
        <v>0.26892199999999999</v>
      </c>
      <c r="U66" s="38">
        <v>0.21877199999999999</v>
      </c>
      <c r="V66" s="8">
        <f t="shared" si="1"/>
        <v>2022</v>
      </c>
    </row>
    <row r="67" spans="1:22" ht="30.6" hidden="1" x14ac:dyDescent="0.25">
      <c r="A67" s="36">
        <v>44774</v>
      </c>
      <c r="B67" s="37" t="s">
        <v>23</v>
      </c>
      <c r="C67" s="37" t="s">
        <v>108</v>
      </c>
      <c r="D67" s="37" t="s">
        <v>55</v>
      </c>
      <c r="E67" s="37" t="s">
        <v>6</v>
      </c>
      <c r="F67" s="37" t="s">
        <v>109</v>
      </c>
      <c r="G67" s="37" t="s">
        <v>110</v>
      </c>
      <c r="H67" s="37" t="s">
        <v>111</v>
      </c>
      <c r="I67" s="37" t="s">
        <v>112</v>
      </c>
      <c r="J67" s="37" t="s">
        <v>34</v>
      </c>
      <c r="K67" s="38">
        <v>490.08108299999998</v>
      </c>
      <c r="L67" s="39"/>
      <c r="M67" s="37"/>
      <c r="N67" s="40">
        <v>151.53100000000001</v>
      </c>
      <c r="O67" s="38">
        <v>151.04299</v>
      </c>
      <c r="P67" s="38">
        <v>0.26892199999999999</v>
      </c>
      <c r="Q67" s="38">
        <v>0.21877199999999999</v>
      </c>
      <c r="R67" s="40">
        <v>151.53100000000001</v>
      </c>
      <c r="S67" s="38">
        <v>151.04299</v>
      </c>
      <c r="T67" s="38">
        <v>0.26892199999999999</v>
      </c>
      <c r="U67" s="38">
        <v>0.21877199999999999</v>
      </c>
      <c r="V67" s="8">
        <f t="shared" si="1"/>
        <v>2022</v>
      </c>
    </row>
    <row r="68" spans="1:22" ht="30.6" hidden="1" x14ac:dyDescent="0.25">
      <c r="A68" s="36">
        <v>44805</v>
      </c>
      <c r="B68" s="37" t="s">
        <v>23</v>
      </c>
      <c r="C68" s="37" t="s">
        <v>108</v>
      </c>
      <c r="D68" s="37" t="s">
        <v>55</v>
      </c>
      <c r="E68" s="37" t="s">
        <v>6</v>
      </c>
      <c r="F68" s="37" t="s">
        <v>109</v>
      </c>
      <c r="G68" s="37" t="s">
        <v>110</v>
      </c>
      <c r="H68" s="37" t="s">
        <v>111</v>
      </c>
      <c r="I68" s="37" t="s">
        <v>112</v>
      </c>
      <c r="J68" s="37" t="s">
        <v>34</v>
      </c>
      <c r="K68" s="38">
        <v>490.08108299999998</v>
      </c>
      <c r="L68" s="39"/>
      <c r="M68" s="37"/>
      <c r="N68" s="40">
        <v>151.53100000000001</v>
      </c>
      <c r="O68" s="38">
        <v>151.04299</v>
      </c>
      <c r="P68" s="38">
        <v>0.26892199999999999</v>
      </c>
      <c r="Q68" s="38">
        <v>0.21877199999999999</v>
      </c>
      <c r="R68" s="40">
        <v>151.53100000000001</v>
      </c>
      <c r="S68" s="38">
        <v>151.04299</v>
      </c>
      <c r="T68" s="38">
        <v>0.26892199999999999</v>
      </c>
      <c r="U68" s="38">
        <v>0.21877199999999999</v>
      </c>
      <c r="V68" s="8">
        <f t="shared" si="1"/>
        <v>2022</v>
      </c>
    </row>
    <row r="69" spans="1:22" ht="30.6" hidden="1" x14ac:dyDescent="0.25">
      <c r="A69" s="36">
        <v>44835</v>
      </c>
      <c r="B69" s="37" t="s">
        <v>23</v>
      </c>
      <c r="C69" s="37" t="s">
        <v>108</v>
      </c>
      <c r="D69" s="37" t="s">
        <v>55</v>
      </c>
      <c r="E69" s="37" t="s">
        <v>6</v>
      </c>
      <c r="F69" s="37" t="s">
        <v>109</v>
      </c>
      <c r="G69" s="37" t="s">
        <v>110</v>
      </c>
      <c r="H69" s="37" t="s">
        <v>111</v>
      </c>
      <c r="I69" s="37" t="s">
        <v>112</v>
      </c>
      <c r="J69" s="37" t="s">
        <v>34</v>
      </c>
      <c r="K69" s="38">
        <v>490.08108299999998</v>
      </c>
      <c r="L69" s="39"/>
      <c r="M69" s="37"/>
      <c r="N69" s="40">
        <v>151.53100000000001</v>
      </c>
      <c r="O69" s="38">
        <v>151.04299</v>
      </c>
      <c r="P69" s="38">
        <v>0.26892199999999999</v>
      </c>
      <c r="Q69" s="38">
        <v>0.21877199999999999</v>
      </c>
      <c r="R69" s="40">
        <v>151.53100000000001</v>
      </c>
      <c r="S69" s="38">
        <v>151.04299</v>
      </c>
      <c r="T69" s="38">
        <v>0.26892199999999999</v>
      </c>
      <c r="U69" s="38">
        <v>0.21877199999999999</v>
      </c>
      <c r="V69" s="8">
        <f t="shared" si="1"/>
        <v>2022</v>
      </c>
    </row>
    <row r="70" spans="1:22" ht="30.6" hidden="1" x14ac:dyDescent="0.25">
      <c r="A70" s="36">
        <v>44866</v>
      </c>
      <c r="B70" s="37" t="s">
        <v>23</v>
      </c>
      <c r="C70" s="37" t="s">
        <v>108</v>
      </c>
      <c r="D70" s="37" t="s">
        <v>55</v>
      </c>
      <c r="E70" s="37" t="s">
        <v>6</v>
      </c>
      <c r="F70" s="37" t="s">
        <v>109</v>
      </c>
      <c r="G70" s="37" t="s">
        <v>110</v>
      </c>
      <c r="H70" s="37" t="s">
        <v>111</v>
      </c>
      <c r="I70" s="37" t="s">
        <v>112</v>
      </c>
      <c r="J70" s="37" t="s">
        <v>34</v>
      </c>
      <c r="K70" s="38">
        <v>490.08108299999998</v>
      </c>
      <c r="L70" s="39"/>
      <c r="M70" s="37"/>
      <c r="N70" s="40">
        <v>151.53100000000001</v>
      </c>
      <c r="O70" s="38">
        <v>151.04299</v>
      </c>
      <c r="P70" s="38">
        <v>0.26892199999999999</v>
      </c>
      <c r="Q70" s="38">
        <v>0.21877199999999999</v>
      </c>
      <c r="R70" s="40">
        <v>151.53100000000001</v>
      </c>
      <c r="S70" s="38">
        <v>151.04299</v>
      </c>
      <c r="T70" s="38">
        <v>0.26892199999999999</v>
      </c>
      <c r="U70" s="38">
        <v>0.21877199999999999</v>
      </c>
      <c r="V70" s="8">
        <f t="shared" si="1"/>
        <v>2022</v>
      </c>
    </row>
    <row r="71" spans="1:22" ht="30.6" hidden="1" x14ac:dyDescent="0.25">
      <c r="A71" s="36">
        <v>44896</v>
      </c>
      <c r="B71" s="37" t="s">
        <v>23</v>
      </c>
      <c r="C71" s="37" t="s">
        <v>108</v>
      </c>
      <c r="D71" s="37" t="s">
        <v>55</v>
      </c>
      <c r="E71" s="37" t="s">
        <v>6</v>
      </c>
      <c r="F71" s="37" t="s">
        <v>109</v>
      </c>
      <c r="G71" s="37" t="s">
        <v>110</v>
      </c>
      <c r="H71" s="37" t="s">
        <v>111</v>
      </c>
      <c r="I71" s="37" t="s">
        <v>112</v>
      </c>
      <c r="J71" s="37" t="s">
        <v>34</v>
      </c>
      <c r="K71" s="38">
        <v>490.08108299999998</v>
      </c>
      <c r="L71" s="39"/>
      <c r="M71" s="37"/>
      <c r="N71" s="40">
        <v>151.53100000000001</v>
      </c>
      <c r="O71" s="38">
        <v>151.04299</v>
      </c>
      <c r="P71" s="38">
        <v>0.26892199999999999</v>
      </c>
      <c r="Q71" s="38">
        <v>0.21877199999999999</v>
      </c>
      <c r="R71" s="40">
        <v>151.53100000000001</v>
      </c>
      <c r="S71" s="38">
        <v>151.04299</v>
      </c>
      <c r="T71" s="38">
        <v>0.26892199999999999</v>
      </c>
      <c r="U71" s="38">
        <v>0.21877199999999999</v>
      </c>
      <c r="V71" s="8">
        <f t="shared" si="1"/>
        <v>2022</v>
      </c>
    </row>
    <row r="72" spans="1:22" ht="30.6" hidden="1" x14ac:dyDescent="0.25">
      <c r="A72" s="36">
        <v>44927</v>
      </c>
      <c r="B72" s="37" t="s">
        <v>23</v>
      </c>
      <c r="C72" s="37" t="s">
        <v>108</v>
      </c>
      <c r="D72" s="37" t="s">
        <v>55</v>
      </c>
      <c r="E72" s="37" t="s">
        <v>6</v>
      </c>
      <c r="F72" s="37" t="s">
        <v>109</v>
      </c>
      <c r="G72" s="37" t="s">
        <v>110</v>
      </c>
      <c r="H72" s="37" t="s">
        <v>111</v>
      </c>
      <c r="I72" s="37" t="s">
        <v>112</v>
      </c>
      <c r="J72" s="37" t="s">
        <v>34</v>
      </c>
      <c r="K72" s="38">
        <v>593.154</v>
      </c>
      <c r="L72" s="39"/>
      <c r="M72" s="37"/>
      <c r="N72" s="40">
        <v>183.4</v>
      </c>
      <c r="O72" s="38">
        <v>182.81006300000001</v>
      </c>
      <c r="P72" s="38">
        <v>0.32548100000000002</v>
      </c>
      <c r="Q72" s="38">
        <v>0.26478400000000002</v>
      </c>
      <c r="R72" s="40">
        <v>183.4</v>
      </c>
      <c r="S72" s="38">
        <v>182.81006300000001</v>
      </c>
      <c r="T72" s="38">
        <v>0.32548100000000002</v>
      </c>
      <c r="U72" s="38">
        <v>0.26478400000000002</v>
      </c>
      <c r="V72" s="8">
        <f t="shared" si="1"/>
        <v>2023</v>
      </c>
    </row>
    <row r="73" spans="1:22" ht="30.6" hidden="1" x14ac:dyDescent="0.25">
      <c r="A73" s="36">
        <v>44958</v>
      </c>
      <c r="B73" s="37" t="s">
        <v>23</v>
      </c>
      <c r="C73" s="37" t="s">
        <v>108</v>
      </c>
      <c r="D73" s="37" t="s">
        <v>55</v>
      </c>
      <c r="E73" s="37" t="s">
        <v>6</v>
      </c>
      <c r="F73" s="37" t="s">
        <v>109</v>
      </c>
      <c r="G73" s="37" t="s">
        <v>110</v>
      </c>
      <c r="H73" s="37" t="s">
        <v>111</v>
      </c>
      <c r="I73" s="37" t="s">
        <v>112</v>
      </c>
      <c r="J73" s="37" t="s">
        <v>34</v>
      </c>
      <c r="K73" s="38">
        <v>517.39200000000005</v>
      </c>
      <c r="L73" s="39"/>
      <c r="M73" s="37"/>
      <c r="N73" s="40">
        <v>159.97499999999999</v>
      </c>
      <c r="O73" s="38">
        <v>159.46021400000001</v>
      </c>
      <c r="P73" s="38">
        <v>0.28390900000000002</v>
      </c>
      <c r="Q73" s="38">
        <v>0.230964</v>
      </c>
      <c r="R73" s="40">
        <v>159.97499999999999</v>
      </c>
      <c r="S73" s="38">
        <v>159.46021400000001</v>
      </c>
      <c r="T73" s="38">
        <v>0.28390900000000002</v>
      </c>
      <c r="U73" s="38">
        <v>0.230964</v>
      </c>
      <c r="V73" s="8">
        <f t="shared" si="1"/>
        <v>2023</v>
      </c>
    </row>
    <row r="74" spans="1:22" ht="30.6" hidden="1" x14ac:dyDescent="0.25">
      <c r="A74" s="36">
        <v>44986</v>
      </c>
      <c r="B74" s="37" t="s">
        <v>23</v>
      </c>
      <c r="C74" s="37" t="s">
        <v>108</v>
      </c>
      <c r="D74" s="37" t="s">
        <v>55</v>
      </c>
      <c r="E74" s="37" t="s">
        <v>6</v>
      </c>
      <c r="F74" s="37" t="s">
        <v>109</v>
      </c>
      <c r="G74" s="37" t="s">
        <v>110</v>
      </c>
      <c r="H74" s="37" t="s">
        <v>111</v>
      </c>
      <c r="I74" s="37" t="s">
        <v>112</v>
      </c>
      <c r="J74" s="37" t="s">
        <v>34</v>
      </c>
      <c r="K74" s="38">
        <v>382.36700000000002</v>
      </c>
      <c r="L74" s="39"/>
      <c r="M74" s="37"/>
      <c r="N74" s="40">
        <v>118.226</v>
      </c>
      <c r="O74" s="38">
        <v>117.84550900000001</v>
      </c>
      <c r="P74" s="38">
        <v>0.209816</v>
      </c>
      <c r="Q74" s="38">
        <v>0.17068900000000001</v>
      </c>
      <c r="R74" s="40">
        <v>118.226</v>
      </c>
      <c r="S74" s="38">
        <v>117.84550900000001</v>
      </c>
      <c r="T74" s="38">
        <v>0.209816</v>
      </c>
      <c r="U74" s="38">
        <v>0.17068900000000001</v>
      </c>
      <c r="V74" s="8">
        <f t="shared" si="1"/>
        <v>2023</v>
      </c>
    </row>
    <row r="75" spans="1:22" ht="30.6" hidden="1" x14ac:dyDescent="0.25">
      <c r="A75" s="36">
        <v>45017</v>
      </c>
      <c r="B75" s="37" t="s">
        <v>23</v>
      </c>
      <c r="C75" s="37" t="s">
        <v>108</v>
      </c>
      <c r="D75" s="37" t="s">
        <v>55</v>
      </c>
      <c r="E75" s="37" t="s">
        <v>6</v>
      </c>
      <c r="F75" s="37" t="s">
        <v>109</v>
      </c>
      <c r="G75" s="37" t="s">
        <v>110</v>
      </c>
      <c r="H75" s="37" t="s">
        <v>111</v>
      </c>
      <c r="I75" s="37" t="s">
        <v>112</v>
      </c>
      <c r="J75" s="37" t="s">
        <v>34</v>
      </c>
      <c r="K75" s="38">
        <v>251.571</v>
      </c>
      <c r="L75" s="39"/>
      <c r="M75" s="37"/>
      <c r="N75" s="40">
        <v>77.784999999999997</v>
      </c>
      <c r="O75" s="38">
        <v>77.534182000000001</v>
      </c>
      <c r="P75" s="38">
        <v>0.138045</v>
      </c>
      <c r="Q75" s="38">
        <v>0.112301</v>
      </c>
      <c r="R75" s="40">
        <v>77.784999999999997</v>
      </c>
      <c r="S75" s="38">
        <v>77.534182000000001</v>
      </c>
      <c r="T75" s="38">
        <v>0.138045</v>
      </c>
      <c r="U75" s="38">
        <v>0.112301</v>
      </c>
      <c r="V75" s="8">
        <f t="shared" si="1"/>
        <v>2023</v>
      </c>
    </row>
    <row r="76" spans="1:22" ht="30.6" hidden="1" x14ac:dyDescent="0.25">
      <c r="A76" s="36">
        <v>45047</v>
      </c>
      <c r="B76" s="37" t="s">
        <v>23</v>
      </c>
      <c r="C76" s="37" t="s">
        <v>108</v>
      </c>
      <c r="D76" s="37" t="s">
        <v>55</v>
      </c>
      <c r="E76" s="37" t="s">
        <v>6</v>
      </c>
      <c r="F76" s="37" t="s">
        <v>109</v>
      </c>
      <c r="G76" s="37" t="s">
        <v>110</v>
      </c>
      <c r="H76" s="37" t="s">
        <v>111</v>
      </c>
      <c r="I76" s="37" t="s">
        <v>112</v>
      </c>
      <c r="J76" s="37" t="s">
        <v>34</v>
      </c>
      <c r="K76" s="38">
        <v>31.783000000000001</v>
      </c>
      <c r="L76" s="39"/>
      <c r="M76" s="37"/>
      <c r="N76" s="40">
        <v>9.827</v>
      </c>
      <c r="O76" s="38">
        <v>9.7955210000000008</v>
      </c>
      <c r="P76" s="38">
        <v>1.7440000000000001E-2</v>
      </c>
      <c r="Q76" s="38">
        <v>1.4187999999999999E-2</v>
      </c>
      <c r="R76" s="40">
        <v>9.827</v>
      </c>
      <c r="S76" s="38">
        <v>9.7955210000000008</v>
      </c>
      <c r="T76" s="38">
        <v>1.7440000000000001E-2</v>
      </c>
      <c r="U76" s="38">
        <v>1.4187999999999999E-2</v>
      </c>
      <c r="V76" s="8">
        <f t="shared" si="1"/>
        <v>2023</v>
      </c>
    </row>
    <row r="77" spans="1:22" ht="30.6" hidden="1" x14ac:dyDescent="0.25">
      <c r="A77" s="36">
        <v>45078</v>
      </c>
      <c r="B77" s="37" t="s">
        <v>23</v>
      </c>
      <c r="C77" s="37" t="s">
        <v>108</v>
      </c>
      <c r="D77" s="37" t="s">
        <v>55</v>
      </c>
      <c r="E77" s="37" t="s">
        <v>6</v>
      </c>
      <c r="F77" s="37" t="s">
        <v>109</v>
      </c>
      <c r="G77" s="37" t="s">
        <v>110</v>
      </c>
      <c r="H77" s="37" t="s">
        <v>111</v>
      </c>
      <c r="I77" s="37" t="s">
        <v>112</v>
      </c>
      <c r="J77" s="37" t="s">
        <v>34</v>
      </c>
      <c r="K77" s="38">
        <v>26.027999999999999</v>
      </c>
      <c r="L77" s="39"/>
      <c r="M77" s="37"/>
      <c r="N77" s="40">
        <v>8.048</v>
      </c>
      <c r="O77" s="38">
        <v>8.0218299999999996</v>
      </c>
      <c r="P77" s="38">
        <v>1.4282E-2</v>
      </c>
      <c r="Q77" s="38">
        <v>1.1619000000000001E-2</v>
      </c>
      <c r="R77" s="40">
        <v>8.048</v>
      </c>
      <c r="S77" s="38">
        <v>8.0218299999999996</v>
      </c>
      <c r="T77" s="38">
        <v>1.4282E-2</v>
      </c>
      <c r="U77" s="38">
        <v>1.1619000000000001E-2</v>
      </c>
      <c r="V77" s="8">
        <f t="shared" si="1"/>
        <v>2023</v>
      </c>
    </row>
    <row r="78" spans="1:22" ht="30.6" hidden="1" x14ac:dyDescent="0.25">
      <c r="A78" s="36">
        <v>45108</v>
      </c>
      <c r="B78" s="37" t="s">
        <v>23</v>
      </c>
      <c r="C78" s="37" t="s">
        <v>108</v>
      </c>
      <c r="D78" s="37" t="s">
        <v>55</v>
      </c>
      <c r="E78" s="37" t="s">
        <v>6</v>
      </c>
      <c r="F78" s="37" t="s">
        <v>109</v>
      </c>
      <c r="G78" s="37" t="s">
        <v>110</v>
      </c>
      <c r="H78" s="37" t="s">
        <v>111</v>
      </c>
      <c r="I78" s="37" t="s">
        <v>112</v>
      </c>
      <c r="J78" s="37" t="s">
        <v>34</v>
      </c>
      <c r="K78" s="38">
        <v>391.86500000000001</v>
      </c>
      <c r="L78" s="39"/>
      <c r="M78" s="37"/>
      <c r="N78" s="40">
        <v>121.163</v>
      </c>
      <c r="O78" s="38">
        <v>120.77279299999999</v>
      </c>
      <c r="P78" s="38">
        <v>0.215028</v>
      </c>
      <c r="Q78" s="38">
        <v>0.174929</v>
      </c>
      <c r="R78" s="40">
        <v>121.163</v>
      </c>
      <c r="S78" s="38">
        <v>120.77279299999999</v>
      </c>
      <c r="T78" s="38">
        <v>0.215028</v>
      </c>
      <c r="U78" s="38">
        <v>0.174929</v>
      </c>
      <c r="V78" s="8">
        <f t="shared" si="1"/>
        <v>2023</v>
      </c>
    </row>
    <row r="79" spans="1:22" ht="30.6" hidden="1" x14ac:dyDescent="0.25">
      <c r="A79" s="36">
        <v>45139</v>
      </c>
      <c r="B79" s="37" t="s">
        <v>23</v>
      </c>
      <c r="C79" s="37" t="s">
        <v>108</v>
      </c>
      <c r="D79" s="37" t="s">
        <v>55</v>
      </c>
      <c r="E79" s="37" t="s">
        <v>6</v>
      </c>
      <c r="F79" s="37" t="s">
        <v>109</v>
      </c>
      <c r="G79" s="37" t="s">
        <v>110</v>
      </c>
      <c r="H79" s="37" t="s">
        <v>111</v>
      </c>
      <c r="I79" s="37" t="s">
        <v>112</v>
      </c>
      <c r="J79" s="37" t="s">
        <v>34</v>
      </c>
      <c r="K79" s="38">
        <v>723.61599999999999</v>
      </c>
      <c r="L79" s="39"/>
      <c r="M79" s="37"/>
      <c r="N79" s="40">
        <v>223.739</v>
      </c>
      <c r="O79" s="38">
        <v>223.018451</v>
      </c>
      <c r="P79" s="38">
        <v>0.39706999999999998</v>
      </c>
      <c r="Q79" s="38">
        <v>0.32302199999999998</v>
      </c>
      <c r="R79" s="40">
        <v>223.739</v>
      </c>
      <c r="S79" s="38">
        <v>223.018451</v>
      </c>
      <c r="T79" s="38">
        <v>0.39706999999999998</v>
      </c>
      <c r="U79" s="38">
        <v>0.32302199999999998</v>
      </c>
      <c r="V79" s="8">
        <f t="shared" si="1"/>
        <v>2023</v>
      </c>
    </row>
    <row r="80" spans="1:22" ht="30.6" hidden="1" x14ac:dyDescent="0.25">
      <c r="A80" s="36">
        <v>45170</v>
      </c>
      <c r="B80" s="37" t="s">
        <v>23</v>
      </c>
      <c r="C80" s="37" t="s">
        <v>108</v>
      </c>
      <c r="D80" s="37" t="s">
        <v>55</v>
      </c>
      <c r="E80" s="37" t="s">
        <v>6</v>
      </c>
      <c r="F80" s="37" t="s">
        <v>109</v>
      </c>
      <c r="G80" s="37" t="s">
        <v>110</v>
      </c>
      <c r="H80" s="37" t="s">
        <v>111</v>
      </c>
      <c r="I80" s="37" t="s">
        <v>112</v>
      </c>
      <c r="J80" s="37" t="s">
        <v>34</v>
      </c>
      <c r="K80" s="38">
        <v>670.55899999999997</v>
      </c>
      <c r="L80" s="39"/>
      <c r="M80" s="37"/>
      <c r="N80" s="40">
        <v>207.334</v>
      </c>
      <c r="O80" s="38">
        <v>206.66628399999999</v>
      </c>
      <c r="P80" s="38">
        <v>0.36795600000000001</v>
      </c>
      <c r="Q80" s="38">
        <v>0.29933799999999999</v>
      </c>
      <c r="R80" s="40">
        <v>207.334</v>
      </c>
      <c r="S80" s="38">
        <v>206.66628399999999</v>
      </c>
      <c r="T80" s="38">
        <v>0.36795600000000001</v>
      </c>
      <c r="U80" s="38">
        <v>0.29933799999999999</v>
      </c>
      <c r="V80" s="8">
        <f t="shared" si="1"/>
        <v>2023</v>
      </c>
    </row>
    <row r="81" spans="1:22" ht="30.6" hidden="1" x14ac:dyDescent="0.25">
      <c r="A81" s="36">
        <v>45200</v>
      </c>
      <c r="B81" s="37" t="s">
        <v>23</v>
      </c>
      <c r="C81" s="37" t="s">
        <v>108</v>
      </c>
      <c r="D81" s="37" t="s">
        <v>55</v>
      </c>
      <c r="E81" s="37" t="s">
        <v>6</v>
      </c>
      <c r="F81" s="37" t="s">
        <v>109</v>
      </c>
      <c r="G81" s="37" t="s">
        <v>110</v>
      </c>
      <c r="H81" s="37" t="s">
        <v>111</v>
      </c>
      <c r="I81" s="37" t="s">
        <v>112</v>
      </c>
      <c r="J81" s="37" t="s">
        <v>34</v>
      </c>
      <c r="K81" s="38">
        <v>651.66899999999998</v>
      </c>
      <c r="L81" s="39"/>
      <c r="M81" s="37"/>
      <c r="N81" s="40">
        <v>201.49299999999999</v>
      </c>
      <c r="O81" s="38">
        <v>200.84438599999999</v>
      </c>
      <c r="P81" s="38">
        <v>0.35759000000000002</v>
      </c>
      <c r="Q81" s="38">
        <v>0.29090500000000002</v>
      </c>
      <c r="R81" s="40">
        <v>201.49299999999999</v>
      </c>
      <c r="S81" s="38">
        <v>200.84438599999999</v>
      </c>
      <c r="T81" s="38">
        <v>0.35759000000000002</v>
      </c>
      <c r="U81" s="38">
        <v>0.29090500000000002</v>
      </c>
      <c r="V81" s="8">
        <f t="shared" si="1"/>
        <v>2023</v>
      </c>
    </row>
    <row r="82" spans="1:22" ht="30.6" hidden="1" x14ac:dyDescent="0.25">
      <c r="A82" s="36">
        <v>45231</v>
      </c>
      <c r="B82" s="37" t="s">
        <v>23</v>
      </c>
      <c r="C82" s="37" t="s">
        <v>108</v>
      </c>
      <c r="D82" s="37" t="s">
        <v>55</v>
      </c>
      <c r="E82" s="37" t="s">
        <v>6</v>
      </c>
      <c r="F82" s="37" t="s">
        <v>109</v>
      </c>
      <c r="G82" s="37" t="s">
        <v>110</v>
      </c>
      <c r="H82" s="37" t="s">
        <v>111</v>
      </c>
      <c r="I82" s="37" t="s">
        <v>112</v>
      </c>
      <c r="J82" s="37" t="s">
        <v>34</v>
      </c>
      <c r="K82" s="38">
        <v>696.89599999999996</v>
      </c>
      <c r="L82" s="39"/>
      <c r="M82" s="37"/>
      <c r="N82" s="40">
        <v>215.477</v>
      </c>
      <c r="O82" s="38">
        <v>214.78334699999999</v>
      </c>
      <c r="P82" s="38">
        <v>0.38240800000000003</v>
      </c>
      <c r="Q82" s="38">
        <v>0.31109399999999998</v>
      </c>
      <c r="R82" s="40">
        <v>215.477</v>
      </c>
      <c r="S82" s="38">
        <v>214.78334699999999</v>
      </c>
      <c r="T82" s="38">
        <v>0.38240800000000003</v>
      </c>
      <c r="U82" s="38">
        <v>0.31109399999999998</v>
      </c>
      <c r="V82" s="8">
        <f t="shared" si="1"/>
        <v>2023</v>
      </c>
    </row>
    <row r="83" spans="1:22" ht="30.6" hidden="1" x14ac:dyDescent="0.25">
      <c r="A83" s="36">
        <v>45261</v>
      </c>
      <c r="B83" s="37" t="s">
        <v>23</v>
      </c>
      <c r="C83" s="37" t="s">
        <v>108</v>
      </c>
      <c r="D83" s="37" t="s">
        <v>55</v>
      </c>
      <c r="E83" s="37" t="s">
        <v>6</v>
      </c>
      <c r="F83" s="37" t="s">
        <v>109</v>
      </c>
      <c r="G83" s="37" t="s">
        <v>110</v>
      </c>
      <c r="H83" s="37" t="s">
        <v>111</v>
      </c>
      <c r="I83" s="37" t="s">
        <v>112</v>
      </c>
      <c r="J83" s="37" t="s">
        <v>34</v>
      </c>
      <c r="K83" s="38">
        <v>669.93</v>
      </c>
      <c r="L83" s="42">
        <v>59395.022322999997</v>
      </c>
      <c r="M83" s="37"/>
      <c r="N83" s="40">
        <v>207.13900000000001</v>
      </c>
      <c r="O83" s="38">
        <v>206.47242600000001</v>
      </c>
      <c r="P83" s="38">
        <v>0.36761100000000002</v>
      </c>
      <c r="Q83" s="38">
        <v>0.29905700000000002</v>
      </c>
      <c r="R83" s="40">
        <v>207.13900000000001</v>
      </c>
      <c r="S83" s="38">
        <v>206.47242600000001</v>
      </c>
      <c r="T83" s="38">
        <v>0.36761100000000002</v>
      </c>
      <c r="U83" s="38">
        <v>0.29905700000000002</v>
      </c>
      <c r="V83" s="8">
        <f t="shared" si="1"/>
        <v>2023</v>
      </c>
    </row>
    <row r="84" spans="1:22" hidden="1" x14ac:dyDescent="0.25">
      <c r="A84" s="36">
        <v>44927</v>
      </c>
      <c r="B84" s="37" t="s">
        <v>11</v>
      </c>
      <c r="C84" s="37" t="s">
        <v>113</v>
      </c>
      <c r="D84" s="37" t="s">
        <v>56</v>
      </c>
      <c r="E84" s="37" t="s">
        <v>5</v>
      </c>
      <c r="F84" s="37" t="s">
        <v>114</v>
      </c>
      <c r="G84" s="37" t="s">
        <v>56</v>
      </c>
      <c r="H84" s="37" t="s">
        <v>115</v>
      </c>
      <c r="I84" s="37" t="s">
        <v>116</v>
      </c>
      <c r="J84" s="37" t="s">
        <v>34</v>
      </c>
      <c r="K84" s="38">
        <v>15.018001</v>
      </c>
      <c r="L84" s="39"/>
      <c r="M84" s="37" t="s">
        <v>117</v>
      </c>
      <c r="N84" s="40">
        <v>3.5150000000000001</v>
      </c>
      <c r="O84" s="38">
        <v>3.467044</v>
      </c>
      <c r="P84" s="38">
        <v>4.7407999999999999E-2</v>
      </c>
      <c r="Q84" s="38">
        <v>4.3300000000000001E-4</v>
      </c>
      <c r="R84" s="40">
        <v>3.5150000000000001</v>
      </c>
      <c r="S84" s="38">
        <v>3.467044</v>
      </c>
      <c r="T84" s="38">
        <v>4.7407999999999999E-2</v>
      </c>
      <c r="U84" s="38">
        <v>4.3300000000000001E-4</v>
      </c>
      <c r="V84" s="8">
        <f t="shared" si="1"/>
        <v>2023</v>
      </c>
    </row>
    <row r="85" spans="1:22" hidden="1" x14ac:dyDescent="0.25">
      <c r="A85" s="36">
        <v>44927</v>
      </c>
      <c r="B85" s="37" t="s">
        <v>14</v>
      </c>
      <c r="C85" s="37" t="s">
        <v>113</v>
      </c>
      <c r="D85" s="37" t="s">
        <v>56</v>
      </c>
      <c r="E85" s="37" t="s">
        <v>5</v>
      </c>
      <c r="F85" s="37" t="s">
        <v>114</v>
      </c>
      <c r="G85" s="37" t="s">
        <v>56</v>
      </c>
      <c r="H85" s="37" t="s">
        <v>115</v>
      </c>
      <c r="I85" s="37" t="s">
        <v>116</v>
      </c>
      <c r="J85" s="37" t="s">
        <v>34</v>
      </c>
      <c r="K85" s="38">
        <v>1.2180500000000001</v>
      </c>
      <c r="L85" s="42">
        <v>293.20999999999998</v>
      </c>
      <c r="M85" s="37" t="s">
        <v>117</v>
      </c>
      <c r="N85" s="40">
        <v>0.309</v>
      </c>
      <c r="O85" s="38">
        <v>0.30513899999999999</v>
      </c>
      <c r="P85" s="38">
        <v>3.2420000000000001E-3</v>
      </c>
      <c r="Q85" s="38">
        <v>3.7500000000000001E-4</v>
      </c>
      <c r="R85" s="40">
        <v>0.309</v>
      </c>
      <c r="S85" s="38">
        <v>0.30513899999999999</v>
      </c>
      <c r="T85" s="38">
        <v>3.2420000000000001E-3</v>
      </c>
      <c r="U85" s="38">
        <v>3.7500000000000001E-4</v>
      </c>
      <c r="V85" s="8">
        <f t="shared" si="1"/>
        <v>2023</v>
      </c>
    </row>
    <row r="86" spans="1:22" hidden="1" x14ac:dyDescent="0.25">
      <c r="A86" s="36">
        <v>44927</v>
      </c>
      <c r="B86" s="37" t="s">
        <v>15</v>
      </c>
      <c r="C86" s="37" t="s">
        <v>113</v>
      </c>
      <c r="D86" s="37" t="s">
        <v>56</v>
      </c>
      <c r="E86" s="37" t="s">
        <v>5</v>
      </c>
      <c r="F86" s="37" t="s">
        <v>114</v>
      </c>
      <c r="G86" s="37" t="s">
        <v>56</v>
      </c>
      <c r="H86" s="37" t="s">
        <v>115</v>
      </c>
      <c r="I86" s="37" t="s">
        <v>116</v>
      </c>
      <c r="J86" s="37" t="s">
        <v>34</v>
      </c>
      <c r="K86" s="38">
        <v>4.6930500000000004</v>
      </c>
      <c r="L86" s="42">
        <v>785</v>
      </c>
      <c r="M86" s="37" t="s">
        <v>117</v>
      </c>
      <c r="N86" s="40">
        <v>1.0169999999999999</v>
      </c>
      <c r="O86" s="38">
        <v>1.010386</v>
      </c>
      <c r="P86" s="38">
        <v>2.9320000000000001E-3</v>
      </c>
      <c r="Q86" s="38">
        <v>4.1619999999999999E-3</v>
      </c>
      <c r="R86" s="40">
        <v>1.0169999999999999</v>
      </c>
      <c r="S86" s="38">
        <v>1.010386</v>
      </c>
      <c r="T86" s="38">
        <v>2.9320000000000001E-3</v>
      </c>
      <c r="U86" s="38">
        <v>4.1619999999999999E-3</v>
      </c>
      <c r="V86" s="8">
        <f t="shared" si="1"/>
        <v>2023</v>
      </c>
    </row>
    <row r="87" spans="1:22" hidden="1" x14ac:dyDescent="0.25">
      <c r="A87" s="36">
        <v>44927</v>
      </c>
      <c r="B87" s="37" t="s">
        <v>16</v>
      </c>
      <c r="C87" s="37" t="s">
        <v>113</v>
      </c>
      <c r="D87" s="37" t="s">
        <v>56</v>
      </c>
      <c r="E87" s="37" t="s">
        <v>5</v>
      </c>
      <c r="F87" s="37" t="s">
        <v>114</v>
      </c>
      <c r="G87" s="37" t="s">
        <v>56</v>
      </c>
      <c r="H87" s="37" t="s">
        <v>115</v>
      </c>
      <c r="I87" s="37" t="s">
        <v>116</v>
      </c>
      <c r="J87" s="37" t="s">
        <v>34</v>
      </c>
      <c r="K87" s="38">
        <v>6.1645000000000003</v>
      </c>
      <c r="L87" s="42">
        <v>1065.2</v>
      </c>
      <c r="M87" s="37" t="s">
        <v>117</v>
      </c>
      <c r="N87" s="40">
        <v>1.3360000000000001</v>
      </c>
      <c r="O87" s="38">
        <v>1.32718</v>
      </c>
      <c r="P87" s="38">
        <v>3.852E-3</v>
      </c>
      <c r="Q87" s="38">
        <v>5.4669999999999996E-3</v>
      </c>
      <c r="R87" s="40">
        <v>1.3360000000000001</v>
      </c>
      <c r="S87" s="38">
        <v>1.32718</v>
      </c>
      <c r="T87" s="38">
        <v>3.852E-3</v>
      </c>
      <c r="U87" s="38">
        <v>5.4669999999999996E-3</v>
      </c>
      <c r="V87" s="8">
        <f t="shared" si="1"/>
        <v>2023</v>
      </c>
    </row>
    <row r="88" spans="1:22" x14ac:dyDescent="0.25">
      <c r="A88" s="36">
        <v>44927</v>
      </c>
      <c r="B88" s="37" t="s">
        <v>18</v>
      </c>
      <c r="C88" s="37" t="s">
        <v>113</v>
      </c>
      <c r="D88" s="37" t="s">
        <v>56</v>
      </c>
      <c r="E88" s="37" t="s">
        <v>5</v>
      </c>
      <c r="F88" s="37" t="s">
        <v>114</v>
      </c>
      <c r="G88" s="37" t="s">
        <v>56</v>
      </c>
      <c r="H88" s="37" t="s">
        <v>115</v>
      </c>
      <c r="I88" s="37" t="s">
        <v>116</v>
      </c>
      <c r="J88" s="37" t="s">
        <v>34</v>
      </c>
      <c r="K88" s="38">
        <v>2.3969999999999998</v>
      </c>
      <c r="L88" s="39"/>
      <c r="M88" s="37" t="s">
        <v>117</v>
      </c>
      <c r="N88" s="40">
        <v>0.52600000000000002</v>
      </c>
      <c r="O88" s="38">
        <v>0.52530900000000003</v>
      </c>
      <c r="P88" s="38">
        <v>3.01E-4</v>
      </c>
      <c r="Q88" s="38">
        <v>4.8700000000000002E-4</v>
      </c>
      <c r="R88" s="40">
        <v>0.52600000000000002</v>
      </c>
      <c r="S88" s="38">
        <v>0.52530900000000003</v>
      </c>
      <c r="T88" s="38">
        <v>3.01E-4</v>
      </c>
      <c r="U88" s="38">
        <v>4.8700000000000002E-4</v>
      </c>
      <c r="V88" s="8">
        <f t="shared" si="1"/>
        <v>2023</v>
      </c>
    </row>
    <row r="89" spans="1:22" hidden="1" x14ac:dyDescent="0.25">
      <c r="A89" s="36">
        <v>44927</v>
      </c>
      <c r="B89" s="37" t="s">
        <v>19</v>
      </c>
      <c r="C89" s="37" t="s">
        <v>113</v>
      </c>
      <c r="D89" s="37" t="s">
        <v>56</v>
      </c>
      <c r="E89" s="37" t="s">
        <v>5</v>
      </c>
      <c r="F89" s="37" t="s">
        <v>114</v>
      </c>
      <c r="G89" s="37" t="s">
        <v>56</v>
      </c>
      <c r="H89" s="37" t="s">
        <v>115</v>
      </c>
      <c r="I89" s="37" t="s">
        <v>116</v>
      </c>
      <c r="J89" s="37" t="s">
        <v>34</v>
      </c>
      <c r="K89" s="38">
        <v>11.0824</v>
      </c>
      <c r="L89" s="39"/>
      <c r="M89" s="37" t="s">
        <v>117</v>
      </c>
      <c r="N89" s="40">
        <v>2.0089999999999999</v>
      </c>
      <c r="O89" s="38">
        <v>2.0064489999999999</v>
      </c>
      <c r="P89" s="38">
        <v>1.0319999999999999E-3</v>
      </c>
      <c r="Q89" s="38">
        <v>1.127E-3</v>
      </c>
      <c r="R89" s="40">
        <v>2.0089999999999999</v>
      </c>
      <c r="S89" s="38">
        <v>2.0064489999999999</v>
      </c>
      <c r="T89" s="38">
        <v>1.0319999999999999E-3</v>
      </c>
      <c r="U89" s="38">
        <v>1.127E-3</v>
      </c>
      <c r="V89" s="8">
        <f t="shared" si="1"/>
        <v>2023</v>
      </c>
    </row>
    <row r="90" spans="1:22" hidden="1" x14ac:dyDescent="0.25">
      <c r="A90" s="36">
        <v>44958</v>
      </c>
      <c r="B90" s="37" t="s">
        <v>11</v>
      </c>
      <c r="C90" s="37" t="s">
        <v>113</v>
      </c>
      <c r="D90" s="37" t="s">
        <v>56</v>
      </c>
      <c r="E90" s="37" t="s">
        <v>5</v>
      </c>
      <c r="F90" s="37" t="s">
        <v>114</v>
      </c>
      <c r="G90" s="37" t="s">
        <v>56</v>
      </c>
      <c r="H90" s="37" t="s">
        <v>115</v>
      </c>
      <c r="I90" s="37" t="s">
        <v>116</v>
      </c>
      <c r="J90" s="37" t="s">
        <v>34</v>
      </c>
      <c r="K90" s="38">
        <v>13.615000999999999</v>
      </c>
      <c r="L90" s="39"/>
      <c r="M90" s="37" t="s">
        <v>117</v>
      </c>
      <c r="N90" s="40">
        <v>3.1869999999999998</v>
      </c>
      <c r="O90" s="38">
        <v>3.1431490000000002</v>
      </c>
      <c r="P90" s="38">
        <v>4.2979000000000003E-2</v>
      </c>
      <c r="Q90" s="38">
        <v>3.9300000000000001E-4</v>
      </c>
      <c r="R90" s="40">
        <v>3.1869999999999998</v>
      </c>
      <c r="S90" s="38">
        <v>3.1431490000000002</v>
      </c>
      <c r="T90" s="38">
        <v>4.2979000000000003E-2</v>
      </c>
      <c r="U90" s="38">
        <v>3.9300000000000001E-4</v>
      </c>
      <c r="V90" s="8">
        <f t="shared" si="1"/>
        <v>2023</v>
      </c>
    </row>
    <row r="91" spans="1:22" hidden="1" x14ac:dyDescent="0.25">
      <c r="A91" s="36">
        <v>44958</v>
      </c>
      <c r="B91" s="37" t="s">
        <v>14</v>
      </c>
      <c r="C91" s="37" t="s">
        <v>113</v>
      </c>
      <c r="D91" s="37" t="s">
        <v>56</v>
      </c>
      <c r="E91" s="37" t="s">
        <v>5</v>
      </c>
      <c r="F91" s="37" t="s">
        <v>114</v>
      </c>
      <c r="G91" s="37" t="s">
        <v>56</v>
      </c>
      <c r="H91" s="37" t="s">
        <v>115</v>
      </c>
      <c r="I91" s="37" t="s">
        <v>116</v>
      </c>
      <c r="J91" s="37" t="s">
        <v>34</v>
      </c>
      <c r="K91" s="38">
        <v>1.5672999999999999</v>
      </c>
      <c r="L91" s="42">
        <v>353.15</v>
      </c>
      <c r="M91" s="37" t="s">
        <v>117</v>
      </c>
      <c r="N91" s="40">
        <v>0.39700000000000002</v>
      </c>
      <c r="O91" s="38">
        <v>0.39263100000000001</v>
      </c>
      <c r="P91" s="38">
        <v>4.1710000000000002E-3</v>
      </c>
      <c r="Q91" s="38">
        <v>4.8299999999999998E-4</v>
      </c>
      <c r="R91" s="40">
        <v>0.39700000000000002</v>
      </c>
      <c r="S91" s="38">
        <v>0.39263100000000001</v>
      </c>
      <c r="T91" s="38">
        <v>4.1710000000000002E-3</v>
      </c>
      <c r="U91" s="38">
        <v>4.8299999999999998E-4</v>
      </c>
      <c r="V91" s="8">
        <f t="shared" si="1"/>
        <v>2023</v>
      </c>
    </row>
    <row r="92" spans="1:22" hidden="1" x14ac:dyDescent="0.25">
      <c r="A92" s="36">
        <v>44958</v>
      </c>
      <c r="B92" s="37" t="s">
        <v>15</v>
      </c>
      <c r="C92" s="37" t="s">
        <v>113</v>
      </c>
      <c r="D92" s="37" t="s">
        <v>56</v>
      </c>
      <c r="E92" s="37" t="s">
        <v>5</v>
      </c>
      <c r="F92" s="37" t="s">
        <v>114</v>
      </c>
      <c r="G92" s="37" t="s">
        <v>56</v>
      </c>
      <c r="H92" s="37" t="s">
        <v>115</v>
      </c>
      <c r="I92" s="37" t="s">
        <v>116</v>
      </c>
      <c r="J92" s="37" t="s">
        <v>34</v>
      </c>
      <c r="K92" s="38">
        <v>4.5551500000000003</v>
      </c>
      <c r="L92" s="42">
        <v>761.27</v>
      </c>
      <c r="M92" s="37" t="s">
        <v>117</v>
      </c>
      <c r="N92" s="40">
        <v>0.98799999999999999</v>
      </c>
      <c r="O92" s="38">
        <v>0.98069700000000004</v>
      </c>
      <c r="P92" s="38">
        <v>2.846E-3</v>
      </c>
      <c r="Q92" s="38">
        <v>4.0400000000000002E-3</v>
      </c>
      <c r="R92" s="40">
        <v>0.98799999999999999</v>
      </c>
      <c r="S92" s="38">
        <v>0.98069700000000004</v>
      </c>
      <c r="T92" s="38">
        <v>2.846E-3</v>
      </c>
      <c r="U92" s="38">
        <v>4.0400000000000002E-3</v>
      </c>
      <c r="V92" s="8">
        <f t="shared" si="1"/>
        <v>2023</v>
      </c>
    </row>
    <row r="93" spans="1:22" hidden="1" x14ac:dyDescent="0.25">
      <c r="A93" s="36">
        <v>44958</v>
      </c>
      <c r="B93" s="37" t="s">
        <v>16</v>
      </c>
      <c r="C93" s="37" t="s">
        <v>113</v>
      </c>
      <c r="D93" s="37" t="s">
        <v>56</v>
      </c>
      <c r="E93" s="37" t="s">
        <v>5</v>
      </c>
      <c r="F93" s="37" t="s">
        <v>114</v>
      </c>
      <c r="G93" s="37" t="s">
        <v>56</v>
      </c>
      <c r="H93" s="37" t="s">
        <v>115</v>
      </c>
      <c r="I93" s="37" t="s">
        <v>116</v>
      </c>
      <c r="J93" s="37" t="s">
        <v>34</v>
      </c>
      <c r="K93" s="38">
        <v>6.38795</v>
      </c>
      <c r="L93" s="42">
        <v>1089.45</v>
      </c>
      <c r="M93" s="37" t="s">
        <v>117</v>
      </c>
      <c r="N93" s="40">
        <v>1.385</v>
      </c>
      <c r="O93" s="38">
        <v>1.3752880000000001</v>
      </c>
      <c r="P93" s="38">
        <v>3.9909999999999998E-3</v>
      </c>
      <c r="Q93" s="38">
        <v>5.6649999999999999E-3</v>
      </c>
      <c r="R93" s="40">
        <v>1.385</v>
      </c>
      <c r="S93" s="38">
        <v>1.3752880000000001</v>
      </c>
      <c r="T93" s="38">
        <v>3.9909999999999998E-3</v>
      </c>
      <c r="U93" s="38">
        <v>5.6649999999999999E-3</v>
      </c>
      <c r="V93" s="8">
        <f t="shared" si="1"/>
        <v>2023</v>
      </c>
    </row>
    <row r="94" spans="1:22" x14ac:dyDescent="0.25">
      <c r="A94" s="36">
        <v>44958</v>
      </c>
      <c r="B94" s="37" t="s">
        <v>18</v>
      </c>
      <c r="C94" s="37" t="s">
        <v>113</v>
      </c>
      <c r="D94" s="37" t="s">
        <v>56</v>
      </c>
      <c r="E94" s="37" t="s">
        <v>5</v>
      </c>
      <c r="F94" s="37" t="s">
        <v>114</v>
      </c>
      <c r="G94" s="37" t="s">
        <v>56</v>
      </c>
      <c r="H94" s="37" t="s">
        <v>115</v>
      </c>
      <c r="I94" s="37" t="s">
        <v>116</v>
      </c>
      <c r="J94" s="37" t="s">
        <v>34</v>
      </c>
      <c r="K94" s="38">
        <v>2.8290000000000002</v>
      </c>
      <c r="L94" s="39"/>
      <c r="M94" s="37" t="s">
        <v>117</v>
      </c>
      <c r="N94" s="40">
        <v>0.621</v>
      </c>
      <c r="O94" s="38">
        <v>0.61998299999999995</v>
      </c>
      <c r="P94" s="38">
        <v>3.5500000000000001E-4</v>
      </c>
      <c r="Q94" s="38">
        <v>5.7499999999999999E-4</v>
      </c>
      <c r="R94" s="40">
        <v>0.621</v>
      </c>
      <c r="S94" s="38">
        <v>0.61998299999999995</v>
      </c>
      <c r="T94" s="38">
        <v>3.5500000000000001E-4</v>
      </c>
      <c r="U94" s="38">
        <v>5.7499999999999999E-4</v>
      </c>
      <c r="V94" s="8">
        <f t="shared" si="1"/>
        <v>2023</v>
      </c>
    </row>
    <row r="95" spans="1:22" hidden="1" x14ac:dyDescent="0.25">
      <c r="A95" s="36">
        <v>44958</v>
      </c>
      <c r="B95" s="37" t="s">
        <v>19</v>
      </c>
      <c r="C95" s="37" t="s">
        <v>113</v>
      </c>
      <c r="D95" s="37" t="s">
        <v>56</v>
      </c>
      <c r="E95" s="37" t="s">
        <v>5</v>
      </c>
      <c r="F95" s="37" t="s">
        <v>114</v>
      </c>
      <c r="G95" s="37" t="s">
        <v>56</v>
      </c>
      <c r="H95" s="37" t="s">
        <v>115</v>
      </c>
      <c r="I95" s="37" t="s">
        <v>116</v>
      </c>
      <c r="J95" s="37" t="s">
        <v>34</v>
      </c>
      <c r="K95" s="38">
        <v>13.0648</v>
      </c>
      <c r="L95" s="39"/>
      <c r="M95" s="37" t="s">
        <v>117</v>
      </c>
      <c r="N95" s="40">
        <v>2.3679999999999999</v>
      </c>
      <c r="O95" s="38">
        <v>2.3653590000000002</v>
      </c>
      <c r="P95" s="38">
        <v>1.217E-3</v>
      </c>
      <c r="Q95" s="38">
        <v>1.328E-3</v>
      </c>
      <c r="R95" s="40">
        <v>2.3679999999999999</v>
      </c>
      <c r="S95" s="38">
        <v>2.3653590000000002</v>
      </c>
      <c r="T95" s="38">
        <v>1.217E-3</v>
      </c>
      <c r="U95" s="38">
        <v>1.328E-3</v>
      </c>
      <c r="V95" s="8">
        <f t="shared" si="1"/>
        <v>2023</v>
      </c>
    </row>
    <row r="96" spans="1:22" hidden="1" x14ac:dyDescent="0.25">
      <c r="A96" s="36">
        <v>44986</v>
      </c>
      <c r="B96" s="37" t="s">
        <v>11</v>
      </c>
      <c r="C96" s="37" t="s">
        <v>113</v>
      </c>
      <c r="D96" s="37" t="s">
        <v>56</v>
      </c>
      <c r="E96" s="37" t="s">
        <v>5</v>
      </c>
      <c r="F96" s="37" t="s">
        <v>114</v>
      </c>
      <c r="G96" s="37" t="s">
        <v>56</v>
      </c>
      <c r="H96" s="37" t="s">
        <v>115</v>
      </c>
      <c r="I96" s="37" t="s">
        <v>116</v>
      </c>
      <c r="J96" s="37" t="s">
        <v>34</v>
      </c>
      <c r="K96" s="38">
        <v>13.696001000000001</v>
      </c>
      <c r="L96" s="39"/>
      <c r="M96" s="37" t="s">
        <v>117</v>
      </c>
      <c r="N96" s="40">
        <v>3.2050000000000001</v>
      </c>
      <c r="O96" s="38">
        <v>3.161848</v>
      </c>
      <c r="P96" s="38">
        <v>4.3235000000000003E-2</v>
      </c>
      <c r="Q96" s="38">
        <v>3.9500000000000001E-4</v>
      </c>
      <c r="R96" s="40">
        <v>3.2050000000000001</v>
      </c>
      <c r="S96" s="38">
        <v>3.161848</v>
      </c>
      <c r="T96" s="38">
        <v>4.3235000000000003E-2</v>
      </c>
      <c r="U96" s="38">
        <v>3.9500000000000001E-4</v>
      </c>
      <c r="V96" s="8">
        <f t="shared" si="1"/>
        <v>2023</v>
      </c>
    </row>
    <row r="97" spans="1:22" hidden="1" x14ac:dyDescent="0.25">
      <c r="A97" s="36">
        <v>44986</v>
      </c>
      <c r="B97" s="37" t="s">
        <v>14</v>
      </c>
      <c r="C97" s="37" t="s">
        <v>113</v>
      </c>
      <c r="D97" s="37" t="s">
        <v>56</v>
      </c>
      <c r="E97" s="37" t="s">
        <v>5</v>
      </c>
      <c r="F97" s="37" t="s">
        <v>114</v>
      </c>
      <c r="G97" s="37" t="s">
        <v>56</v>
      </c>
      <c r="H97" s="37" t="s">
        <v>115</v>
      </c>
      <c r="I97" s="37" t="s">
        <v>116</v>
      </c>
      <c r="J97" s="37" t="s">
        <v>34</v>
      </c>
      <c r="K97" s="38">
        <v>1.2517499999999999</v>
      </c>
      <c r="L97" s="42">
        <v>303.83</v>
      </c>
      <c r="M97" s="37" t="s">
        <v>117</v>
      </c>
      <c r="N97" s="40">
        <v>0.317</v>
      </c>
      <c r="O97" s="38">
        <v>0.313581</v>
      </c>
      <c r="P97" s="38">
        <v>3.3310000000000002E-3</v>
      </c>
      <c r="Q97" s="38">
        <v>3.86E-4</v>
      </c>
      <c r="R97" s="40">
        <v>0.317</v>
      </c>
      <c r="S97" s="38">
        <v>0.313581</v>
      </c>
      <c r="T97" s="38">
        <v>3.3310000000000002E-3</v>
      </c>
      <c r="U97" s="38">
        <v>3.86E-4</v>
      </c>
      <c r="V97" s="8">
        <f t="shared" si="1"/>
        <v>2023</v>
      </c>
    </row>
    <row r="98" spans="1:22" hidden="1" x14ac:dyDescent="0.25">
      <c r="A98" s="36">
        <v>44986</v>
      </c>
      <c r="B98" s="37" t="s">
        <v>15</v>
      </c>
      <c r="C98" s="37" t="s">
        <v>113</v>
      </c>
      <c r="D98" s="37" t="s">
        <v>56</v>
      </c>
      <c r="E98" s="37" t="s">
        <v>5</v>
      </c>
      <c r="F98" s="37" t="s">
        <v>114</v>
      </c>
      <c r="G98" s="37" t="s">
        <v>56</v>
      </c>
      <c r="H98" s="37" t="s">
        <v>115</v>
      </c>
      <c r="I98" s="37" t="s">
        <v>116</v>
      </c>
      <c r="J98" s="37" t="s">
        <v>34</v>
      </c>
      <c r="K98" s="38">
        <v>4.8624000000000001</v>
      </c>
      <c r="L98" s="42">
        <v>812.49</v>
      </c>
      <c r="M98" s="37" t="s">
        <v>117</v>
      </c>
      <c r="N98" s="40">
        <v>1.054</v>
      </c>
      <c r="O98" s="38">
        <v>1.0468459999999999</v>
      </c>
      <c r="P98" s="38">
        <v>3.0379999999999999E-3</v>
      </c>
      <c r="Q98" s="38">
        <v>4.3119999999999999E-3</v>
      </c>
      <c r="R98" s="40">
        <v>1.054</v>
      </c>
      <c r="S98" s="38">
        <v>1.0468459999999999</v>
      </c>
      <c r="T98" s="38">
        <v>3.0379999999999999E-3</v>
      </c>
      <c r="U98" s="38">
        <v>4.3119999999999999E-3</v>
      </c>
      <c r="V98" s="8">
        <f t="shared" si="1"/>
        <v>2023</v>
      </c>
    </row>
    <row r="99" spans="1:22" hidden="1" x14ac:dyDescent="0.25">
      <c r="A99" s="36">
        <v>44986</v>
      </c>
      <c r="B99" s="37" t="s">
        <v>16</v>
      </c>
      <c r="C99" s="37" t="s">
        <v>113</v>
      </c>
      <c r="D99" s="37" t="s">
        <v>56</v>
      </c>
      <c r="E99" s="37" t="s">
        <v>5</v>
      </c>
      <c r="F99" s="37" t="s">
        <v>114</v>
      </c>
      <c r="G99" s="37" t="s">
        <v>56</v>
      </c>
      <c r="H99" s="37" t="s">
        <v>115</v>
      </c>
      <c r="I99" s="37" t="s">
        <v>116</v>
      </c>
      <c r="J99" s="37" t="s">
        <v>34</v>
      </c>
      <c r="K99" s="38">
        <v>5.5232999999999999</v>
      </c>
      <c r="L99" s="42">
        <v>983.84</v>
      </c>
      <c r="M99" s="37" t="s">
        <v>117</v>
      </c>
      <c r="N99" s="40">
        <v>1.1970000000000001</v>
      </c>
      <c r="O99" s="38">
        <v>1.1891339999999999</v>
      </c>
      <c r="P99" s="38">
        <v>3.4510000000000001E-3</v>
      </c>
      <c r="Q99" s="38">
        <v>4.8979999999999996E-3</v>
      </c>
      <c r="R99" s="40">
        <v>1.1970000000000001</v>
      </c>
      <c r="S99" s="38">
        <v>1.1891339999999999</v>
      </c>
      <c r="T99" s="38">
        <v>3.4510000000000001E-3</v>
      </c>
      <c r="U99" s="38">
        <v>4.8979999999999996E-3</v>
      </c>
      <c r="V99" s="8">
        <f t="shared" si="1"/>
        <v>2023</v>
      </c>
    </row>
    <row r="100" spans="1:22" x14ac:dyDescent="0.25">
      <c r="A100" s="36">
        <v>44986</v>
      </c>
      <c r="B100" s="37" t="s">
        <v>18</v>
      </c>
      <c r="C100" s="37" t="s">
        <v>113</v>
      </c>
      <c r="D100" s="37" t="s">
        <v>56</v>
      </c>
      <c r="E100" s="37" t="s">
        <v>5</v>
      </c>
      <c r="F100" s="37" t="s">
        <v>114</v>
      </c>
      <c r="G100" s="37" t="s">
        <v>56</v>
      </c>
      <c r="H100" s="37" t="s">
        <v>115</v>
      </c>
      <c r="I100" s="37" t="s">
        <v>116</v>
      </c>
      <c r="J100" s="37" t="s">
        <v>34</v>
      </c>
      <c r="K100" s="38">
        <v>4.3230000000000004</v>
      </c>
      <c r="L100" s="39"/>
      <c r="M100" s="37" t="s">
        <v>117</v>
      </c>
      <c r="N100" s="40">
        <v>0.94899999999999995</v>
      </c>
      <c r="O100" s="38">
        <v>0.94739700000000004</v>
      </c>
      <c r="P100" s="38">
        <v>5.4199999999999995E-4</v>
      </c>
      <c r="Q100" s="38">
        <v>8.7900000000000001E-4</v>
      </c>
      <c r="R100" s="40">
        <v>0.94899999999999995</v>
      </c>
      <c r="S100" s="38">
        <v>0.94739700000000004</v>
      </c>
      <c r="T100" s="38">
        <v>5.4199999999999995E-4</v>
      </c>
      <c r="U100" s="38">
        <v>8.7900000000000001E-4</v>
      </c>
      <c r="V100" s="8">
        <f t="shared" si="1"/>
        <v>2023</v>
      </c>
    </row>
    <row r="101" spans="1:22" hidden="1" x14ac:dyDescent="0.25">
      <c r="A101" s="36">
        <v>44986</v>
      </c>
      <c r="B101" s="37" t="s">
        <v>19</v>
      </c>
      <c r="C101" s="37" t="s">
        <v>113</v>
      </c>
      <c r="D101" s="37" t="s">
        <v>56</v>
      </c>
      <c r="E101" s="37" t="s">
        <v>5</v>
      </c>
      <c r="F101" s="37" t="s">
        <v>114</v>
      </c>
      <c r="G101" s="37" t="s">
        <v>56</v>
      </c>
      <c r="H101" s="37" t="s">
        <v>115</v>
      </c>
      <c r="I101" s="37" t="s">
        <v>116</v>
      </c>
      <c r="J101" s="37" t="s">
        <v>34</v>
      </c>
      <c r="K101" s="38">
        <v>12.6408</v>
      </c>
      <c r="L101" s="39"/>
      <c r="M101" s="37" t="s">
        <v>117</v>
      </c>
      <c r="N101" s="40">
        <v>2.2909999999999999</v>
      </c>
      <c r="O101" s="38">
        <v>2.2885949999999999</v>
      </c>
      <c r="P101" s="38">
        <v>1.178E-3</v>
      </c>
      <c r="Q101" s="38">
        <v>1.2849999999999999E-3</v>
      </c>
      <c r="R101" s="40">
        <v>2.2909999999999999</v>
      </c>
      <c r="S101" s="38">
        <v>2.2885949999999999</v>
      </c>
      <c r="T101" s="38">
        <v>1.1770000000000001E-3</v>
      </c>
      <c r="U101" s="38">
        <v>1.2849999999999999E-3</v>
      </c>
      <c r="V101" s="8">
        <f t="shared" si="1"/>
        <v>2023</v>
      </c>
    </row>
    <row r="102" spans="1:22" hidden="1" x14ac:dyDescent="0.25">
      <c r="A102" s="36">
        <v>45017</v>
      </c>
      <c r="B102" s="37" t="s">
        <v>11</v>
      </c>
      <c r="C102" s="37" t="s">
        <v>113</v>
      </c>
      <c r="D102" s="37" t="s">
        <v>56</v>
      </c>
      <c r="E102" s="37" t="s">
        <v>5</v>
      </c>
      <c r="F102" s="37" t="s">
        <v>114</v>
      </c>
      <c r="G102" s="37" t="s">
        <v>56</v>
      </c>
      <c r="H102" s="37" t="s">
        <v>115</v>
      </c>
      <c r="I102" s="37" t="s">
        <v>116</v>
      </c>
      <c r="J102" s="37" t="s">
        <v>34</v>
      </c>
      <c r="K102" s="38">
        <v>9.8670010000000001</v>
      </c>
      <c r="L102" s="39"/>
      <c r="M102" s="37" t="s">
        <v>117</v>
      </c>
      <c r="N102" s="40">
        <v>2.3090000000000002</v>
      </c>
      <c r="O102" s="38">
        <v>2.2778879999999999</v>
      </c>
      <c r="P102" s="38">
        <v>3.1147000000000001E-2</v>
      </c>
      <c r="Q102" s="38">
        <v>2.8499999999999999E-4</v>
      </c>
      <c r="R102" s="40">
        <v>2.3090000000000002</v>
      </c>
      <c r="S102" s="38">
        <v>2.2778879999999999</v>
      </c>
      <c r="T102" s="38">
        <v>3.1147000000000001E-2</v>
      </c>
      <c r="U102" s="38">
        <v>2.8499999999999999E-4</v>
      </c>
      <c r="V102" s="8">
        <f t="shared" si="1"/>
        <v>2023</v>
      </c>
    </row>
    <row r="103" spans="1:22" hidden="1" x14ac:dyDescent="0.25">
      <c r="A103" s="36">
        <v>45017</v>
      </c>
      <c r="B103" s="37" t="s">
        <v>14</v>
      </c>
      <c r="C103" s="37" t="s">
        <v>113</v>
      </c>
      <c r="D103" s="37" t="s">
        <v>56</v>
      </c>
      <c r="E103" s="37" t="s">
        <v>5</v>
      </c>
      <c r="F103" s="37" t="s">
        <v>114</v>
      </c>
      <c r="G103" s="37" t="s">
        <v>56</v>
      </c>
      <c r="H103" s="37" t="s">
        <v>115</v>
      </c>
      <c r="I103" s="37" t="s">
        <v>116</v>
      </c>
      <c r="J103" s="37" t="s">
        <v>34</v>
      </c>
      <c r="K103" s="38">
        <v>1.0416000000000001</v>
      </c>
      <c r="L103" s="42">
        <v>280.89999999999998</v>
      </c>
      <c r="M103" s="37" t="s">
        <v>117</v>
      </c>
      <c r="N103" s="40">
        <v>0.26400000000000001</v>
      </c>
      <c r="O103" s="38">
        <v>0.260936</v>
      </c>
      <c r="P103" s="38">
        <v>2.7720000000000002E-3</v>
      </c>
      <c r="Q103" s="38">
        <v>3.21E-4</v>
      </c>
      <c r="R103" s="40">
        <v>0.26400000000000001</v>
      </c>
      <c r="S103" s="38">
        <v>0.260936</v>
      </c>
      <c r="T103" s="38">
        <v>2.7720000000000002E-3</v>
      </c>
      <c r="U103" s="38">
        <v>3.21E-4</v>
      </c>
      <c r="V103" s="8">
        <f t="shared" si="1"/>
        <v>2023</v>
      </c>
    </row>
    <row r="104" spans="1:22" hidden="1" x14ac:dyDescent="0.25">
      <c r="A104" s="36">
        <v>45017</v>
      </c>
      <c r="B104" s="37" t="s">
        <v>15</v>
      </c>
      <c r="C104" s="37" t="s">
        <v>113</v>
      </c>
      <c r="D104" s="37" t="s">
        <v>56</v>
      </c>
      <c r="E104" s="37" t="s">
        <v>5</v>
      </c>
      <c r="F104" s="37" t="s">
        <v>114</v>
      </c>
      <c r="G104" s="37" t="s">
        <v>56</v>
      </c>
      <c r="H104" s="37" t="s">
        <v>115</v>
      </c>
      <c r="I104" s="37" t="s">
        <v>116</v>
      </c>
      <c r="J104" s="37" t="s">
        <v>34</v>
      </c>
      <c r="K104" s="38">
        <v>4.2225999999999999</v>
      </c>
      <c r="L104" s="42">
        <v>713.24</v>
      </c>
      <c r="M104" s="37" t="s">
        <v>117</v>
      </c>
      <c r="N104" s="40">
        <v>0.91500000000000004</v>
      </c>
      <c r="O104" s="38">
        <v>0.90910100000000005</v>
      </c>
      <c r="P104" s="38">
        <v>2.6380000000000002E-3</v>
      </c>
      <c r="Q104" s="38">
        <v>3.7450000000000001E-3</v>
      </c>
      <c r="R104" s="40">
        <v>0.91500000000000004</v>
      </c>
      <c r="S104" s="38">
        <v>0.90910100000000005</v>
      </c>
      <c r="T104" s="38">
        <v>2.6380000000000002E-3</v>
      </c>
      <c r="U104" s="38">
        <v>3.7450000000000001E-3</v>
      </c>
      <c r="V104" s="8">
        <f t="shared" si="1"/>
        <v>2023</v>
      </c>
    </row>
    <row r="105" spans="1:22" hidden="1" x14ac:dyDescent="0.25">
      <c r="A105" s="36">
        <v>45017</v>
      </c>
      <c r="B105" s="37" t="s">
        <v>16</v>
      </c>
      <c r="C105" s="37" t="s">
        <v>113</v>
      </c>
      <c r="D105" s="37" t="s">
        <v>56</v>
      </c>
      <c r="E105" s="37" t="s">
        <v>5</v>
      </c>
      <c r="F105" s="37" t="s">
        <v>114</v>
      </c>
      <c r="G105" s="37" t="s">
        <v>56</v>
      </c>
      <c r="H105" s="37" t="s">
        <v>115</v>
      </c>
      <c r="I105" s="37" t="s">
        <v>116</v>
      </c>
      <c r="J105" s="37" t="s">
        <v>34</v>
      </c>
      <c r="K105" s="38">
        <v>4.5052500000000002</v>
      </c>
      <c r="L105" s="42">
        <v>813.37</v>
      </c>
      <c r="M105" s="37" t="s">
        <v>117</v>
      </c>
      <c r="N105" s="40">
        <v>0.97699999999999998</v>
      </c>
      <c r="O105" s="38">
        <v>0.96995299999999995</v>
      </c>
      <c r="P105" s="38">
        <v>2.8149999999999998E-3</v>
      </c>
      <c r="Q105" s="38">
        <v>3.9950000000000003E-3</v>
      </c>
      <c r="R105" s="40">
        <v>0.97699999999999998</v>
      </c>
      <c r="S105" s="38">
        <v>0.96995299999999995</v>
      </c>
      <c r="T105" s="38">
        <v>2.8149999999999998E-3</v>
      </c>
      <c r="U105" s="38">
        <v>3.9950000000000003E-3</v>
      </c>
      <c r="V105" s="8">
        <f t="shared" si="1"/>
        <v>2023</v>
      </c>
    </row>
    <row r="106" spans="1:22" x14ac:dyDescent="0.25">
      <c r="A106" s="36">
        <v>45017</v>
      </c>
      <c r="B106" s="37" t="s">
        <v>18</v>
      </c>
      <c r="C106" s="37" t="s">
        <v>113</v>
      </c>
      <c r="D106" s="37" t="s">
        <v>56</v>
      </c>
      <c r="E106" s="37" t="s">
        <v>5</v>
      </c>
      <c r="F106" s="37" t="s">
        <v>114</v>
      </c>
      <c r="G106" s="37" t="s">
        <v>56</v>
      </c>
      <c r="H106" s="37" t="s">
        <v>115</v>
      </c>
      <c r="I106" s="37" t="s">
        <v>116</v>
      </c>
      <c r="J106" s="37" t="s">
        <v>34</v>
      </c>
      <c r="K106" s="38">
        <v>3.5249999999999999</v>
      </c>
      <c r="L106" s="39"/>
      <c r="M106" s="37" t="s">
        <v>117</v>
      </c>
      <c r="N106" s="40">
        <v>0.77400000000000002</v>
      </c>
      <c r="O106" s="38">
        <v>0.77251300000000001</v>
      </c>
      <c r="P106" s="38">
        <v>4.4200000000000001E-4</v>
      </c>
      <c r="Q106" s="38">
        <v>7.1699999999999997E-4</v>
      </c>
      <c r="R106" s="40">
        <v>0.77400000000000002</v>
      </c>
      <c r="S106" s="38">
        <v>0.77251300000000001</v>
      </c>
      <c r="T106" s="38">
        <v>4.4200000000000001E-4</v>
      </c>
      <c r="U106" s="38">
        <v>7.1699999999999997E-4</v>
      </c>
      <c r="V106" s="8">
        <f t="shared" si="1"/>
        <v>2023</v>
      </c>
    </row>
    <row r="107" spans="1:22" hidden="1" x14ac:dyDescent="0.25">
      <c r="A107" s="36">
        <v>45017</v>
      </c>
      <c r="B107" s="37" t="s">
        <v>19</v>
      </c>
      <c r="C107" s="37" t="s">
        <v>113</v>
      </c>
      <c r="D107" s="37" t="s">
        <v>56</v>
      </c>
      <c r="E107" s="37" t="s">
        <v>5</v>
      </c>
      <c r="F107" s="37" t="s">
        <v>114</v>
      </c>
      <c r="G107" s="37" t="s">
        <v>56</v>
      </c>
      <c r="H107" s="37" t="s">
        <v>115</v>
      </c>
      <c r="I107" s="37" t="s">
        <v>116</v>
      </c>
      <c r="J107" s="37" t="s">
        <v>34</v>
      </c>
      <c r="K107" s="38">
        <v>11.234400000000001</v>
      </c>
      <c r="L107" s="39"/>
      <c r="M107" s="37" t="s">
        <v>117</v>
      </c>
      <c r="N107" s="40">
        <v>2.036</v>
      </c>
      <c r="O107" s="38">
        <v>2.0339680000000002</v>
      </c>
      <c r="P107" s="38">
        <v>1.0460000000000001E-3</v>
      </c>
      <c r="Q107" s="38">
        <v>1.142E-3</v>
      </c>
      <c r="R107" s="40">
        <v>2.036</v>
      </c>
      <c r="S107" s="38">
        <v>2.0339680000000002</v>
      </c>
      <c r="T107" s="38">
        <v>1.0460000000000001E-3</v>
      </c>
      <c r="U107" s="38">
        <v>1.142E-3</v>
      </c>
      <c r="V107" s="8">
        <f t="shared" si="1"/>
        <v>2023</v>
      </c>
    </row>
    <row r="108" spans="1:22" hidden="1" x14ac:dyDescent="0.25">
      <c r="A108" s="36">
        <v>45047</v>
      </c>
      <c r="B108" s="37" t="s">
        <v>11</v>
      </c>
      <c r="C108" s="37" t="s">
        <v>113</v>
      </c>
      <c r="D108" s="37" t="s">
        <v>56</v>
      </c>
      <c r="E108" s="37" t="s">
        <v>5</v>
      </c>
      <c r="F108" s="37" t="s">
        <v>114</v>
      </c>
      <c r="G108" s="37" t="s">
        <v>56</v>
      </c>
      <c r="H108" s="37" t="s">
        <v>115</v>
      </c>
      <c r="I108" s="37" t="s">
        <v>116</v>
      </c>
      <c r="J108" s="37" t="s">
        <v>34</v>
      </c>
      <c r="K108" s="38">
        <v>11.255001</v>
      </c>
      <c r="L108" s="39"/>
      <c r="M108" s="37" t="s">
        <v>117</v>
      </c>
      <c r="N108" s="40">
        <v>2.6339999999999999</v>
      </c>
      <c r="O108" s="38">
        <v>2.5983209999999999</v>
      </c>
      <c r="P108" s="38">
        <v>3.5528999999999998E-2</v>
      </c>
      <c r="Q108" s="38">
        <v>3.2499999999999999E-4</v>
      </c>
      <c r="R108" s="40">
        <v>2.6339999999999999</v>
      </c>
      <c r="S108" s="38">
        <v>2.5983209999999999</v>
      </c>
      <c r="T108" s="38">
        <v>3.5528999999999998E-2</v>
      </c>
      <c r="U108" s="38">
        <v>3.2499999999999999E-4</v>
      </c>
      <c r="V108" s="8">
        <f t="shared" si="1"/>
        <v>2023</v>
      </c>
    </row>
    <row r="109" spans="1:22" hidden="1" x14ac:dyDescent="0.25">
      <c r="A109" s="36">
        <v>45047</v>
      </c>
      <c r="B109" s="37" t="s">
        <v>14</v>
      </c>
      <c r="C109" s="37" t="s">
        <v>113</v>
      </c>
      <c r="D109" s="37" t="s">
        <v>56</v>
      </c>
      <c r="E109" s="37" t="s">
        <v>5</v>
      </c>
      <c r="F109" s="37" t="s">
        <v>114</v>
      </c>
      <c r="G109" s="37" t="s">
        <v>56</v>
      </c>
      <c r="H109" s="37" t="s">
        <v>115</v>
      </c>
      <c r="I109" s="37" t="s">
        <v>116</v>
      </c>
      <c r="J109" s="37" t="s">
        <v>34</v>
      </c>
      <c r="K109" s="38">
        <v>1.258</v>
      </c>
      <c r="L109" s="39"/>
      <c r="M109" s="37" t="s">
        <v>117</v>
      </c>
      <c r="N109" s="40">
        <v>0.31900000000000001</v>
      </c>
      <c r="O109" s="38">
        <v>0.31514700000000001</v>
      </c>
      <c r="P109" s="38">
        <v>3.3479999999999998E-3</v>
      </c>
      <c r="Q109" s="38">
        <v>3.8699999999999997E-4</v>
      </c>
      <c r="R109" s="40">
        <v>0.31900000000000001</v>
      </c>
      <c r="S109" s="38">
        <v>0.31514700000000001</v>
      </c>
      <c r="T109" s="38">
        <v>3.3479999999999998E-3</v>
      </c>
      <c r="U109" s="38">
        <v>3.8699999999999997E-4</v>
      </c>
      <c r="V109" s="8">
        <f t="shared" si="1"/>
        <v>2023</v>
      </c>
    </row>
    <row r="110" spans="1:22" hidden="1" x14ac:dyDescent="0.25">
      <c r="A110" s="36">
        <v>45047</v>
      </c>
      <c r="B110" s="37" t="s">
        <v>15</v>
      </c>
      <c r="C110" s="37" t="s">
        <v>113</v>
      </c>
      <c r="D110" s="37" t="s">
        <v>56</v>
      </c>
      <c r="E110" s="37" t="s">
        <v>5</v>
      </c>
      <c r="F110" s="37" t="s">
        <v>114</v>
      </c>
      <c r="G110" s="37" t="s">
        <v>56</v>
      </c>
      <c r="H110" s="37" t="s">
        <v>115</v>
      </c>
      <c r="I110" s="37" t="s">
        <v>116</v>
      </c>
      <c r="J110" s="37" t="s">
        <v>34</v>
      </c>
      <c r="K110" s="38">
        <v>4.1689999999999996</v>
      </c>
      <c r="L110" s="39"/>
      <c r="M110" s="37" t="s">
        <v>117</v>
      </c>
      <c r="N110" s="40">
        <v>0.90400000000000003</v>
      </c>
      <c r="O110" s="38">
        <v>0.89756100000000005</v>
      </c>
      <c r="P110" s="38">
        <v>2.6050000000000001E-3</v>
      </c>
      <c r="Q110" s="38">
        <v>3.6970000000000002E-3</v>
      </c>
      <c r="R110" s="40">
        <v>0.90400000000000003</v>
      </c>
      <c r="S110" s="38">
        <v>0.89756100000000005</v>
      </c>
      <c r="T110" s="38">
        <v>2.6050000000000001E-3</v>
      </c>
      <c r="U110" s="38">
        <v>3.6970000000000002E-3</v>
      </c>
      <c r="V110" s="8">
        <f t="shared" si="1"/>
        <v>2023</v>
      </c>
    </row>
    <row r="111" spans="1:22" hidden="1" x14ac:dyDescent="0.25">
      <c r="A111" s="36">
        <v>45047</v>
      </c>
      <c r="B111" s="37" t="s">
        <v>16</v>
      </c>
      <c r="C111" s="37" t="s">
        <v>113</v>
      </c>
      <c r="D111" s="37" t="s">
        <v>56</v>
      </c>
      <c r="E111" s="37" t="s">
        <v>5</v>
      </c>
      <c r="F111" s="37" t="s">
        <v>114</v>
      </c>
      <c r="G111" s="37" t="s">
        <v>56</v>
      </c>
      <c r="H111" s="37" t="s">
        <v>115</v>
      </c>
      <c r="I111" s="37" t="s">
        <v>116</v>
      </c>
      <c r="J111" s="37" t="s">
        <v>34</v>
      </c>
      <c r="K111" s="38">
        <v>4.4770000000000003</v>
      </c>
      <c r="L111" s="39"/>
      <c r="M111" s="37" t="s">
        <v>117</v>
      </c>
      <c r="N111" s="40">
        <v>0.97099999999999997</v>
      </c>
      <c r="O111" s="38">
        <v>0.96387100000000003</v>
      </c>
      <c r="P111" s="38">
        <v>2.797E-3</v>
      </c>
      <c r="Q111" s="38">
        <v>3.9699999999999996E-3</v>
      </c>
      <c r="R111" s="40">
        <v>0.97099999999999997</v>
      </c>
      <c r="S111" s="38">
        <v>0.96387100000000003</v>
      </c>
      <c r="T111" s="38">
        <v>2.797E-3</v>
      </c>
      <c r="U111" s="38">
        <v>3.9699999999999996E-3</v>
      </c>
      <c r="V111" s="8">
        <f t="shared" si="1"/>
        <v>2023</v>
      </c>
    </row>
    <row r="112" spans="1:22" hidden="1" x14ac:dyDescent="0.25">
      <c r="A112" s="36">
        <v>45047</v>
      </c>
      <c r="B112" s="37" t="s">
        <v>19</v>
      </c>
      <c r="C112" s="37" t="s">
        <v>113</v>
      </c>
      <c r="D112" s="37" t="s">
        <v>56</v>
      </c>
      <c r="E112" s="37" t="s">
        <v>5</v>
      </c>
      <c r="F112" s="37" t="s">
        <v>114</v>
      </c>
      <c r="G112" s="37" t="s">
        <v>56</v>
      </c>
      <c r="H112" s="37" t="s">
        <v>115</v>
      </c>
      <c r="I112" s="37" t="s">
        <v>116</v>
      </c>
      <c r="J112" s="37" t="s">
        <v>34</v>
      </c>
      <c r="K112" s="38">
        <v>13.2056</v>
      </c>
      <c r="L112" s="39"/>
      <c r="M112" s="37" t="s">
        <v>117</v>
      </c>
      <c r="N112" s="40">
        <v>2.3929999999999998</v>
      </c>
      <c r="O112" s="38">
        <v>2.3908510000000001</v>
      </c>
      <c r="P112" s="38">
        <v>1.23E-3</v>
      </c>
      <c r="Q112" s="38">
        <v>1.343E-3</v>
      </c>
      <c r="R112" s="40">
        <v>2.3929999999999998</v>
      </c>
      <c r="S112" s="38">
        <v>2.3908510000000001</v>
      </c>
      <c r="T112" s="38">
        <v>1.23E-3</v>
      </c>
      <c r="U112" s="38">
        <v>1.343E-3</v>
      </c>
      <c r="V112" s="8">
        <f t="shared" si="1"/>
        <v>2023</v>
      </c>
    </row>
    <row r="113" spans="1:22" hidden="1" x14ac:dyDescent="0.25">
      <c r="A113" s="36">
        <v>45078</v>
      </c>
      <c r="B113" s="37" t="s">
        <v>11</v>
      </c>
      <c r="C113" s="37" t="s">
        <v>113</v>
      </c>
      <c r="D113" s="37" t="s">
        <v>56</v>
      </c>
      <c r="E113" s="37" t="s">
        <v>5</v>
      </c>
      <c r="F113" s="37" t="s">
        <v>114</v>
      </c>
      <c r="G113" s="37" t="s">
        <v>56</v>
      </c>
      <c r="H113" s="37" t="s">
        <v>115</v>
      </c>
      <c r="I113" s="37" t="s">
        <v>116</v>
      </c>
      <c r="J113" s="37" t="s">
        <v>34</v>
      </c>
      <c r="K113" s="38">
        <v>11.893001</v>
      </c>
      <c r="L113" s="39"/>
      <c r="M113" s="37" t="s">
        <v>117</v>
      </c>
      <c r="N113" s="40">
        <v>2.7829999999999999</v>
      </c>
      <c r="O113" s="38">
        <v>2.745609</v>
      </c>
      <c r="P113" s="38">
        <v>3.7543E-2</v>
      </c>
      <c r="Q113" s="38">
        <v>3.4299999999999999E-4</v>
      </c>
      <c r="R113" s="40">
        <v>2.7829999999999999</v>
      </c>
      <c r="S113" s="38">
        <v>2.745609</v>
      </c>
      <c r="T113" s="38">
        <v>3.7543E-2</v>
      </c>
      <c r="U113" s="38">
        <v>3.4299999999999999E-4</v>
      </c>
      <c r="V113" s="8">
        <f t="shared" si="1"/>
        <v>2023</v>
      </c>
    </row>
    <row r="114" spans="1:22" hidden="1" x14ac:dyDescent="0.25">
      <c r="A114" s="36">
        <v>45078</v>
      </c>
      <c r="B114" s="37" t="s">
        <v>14</v>
      </c>
      <c r="C114" s="37" t="s">
        <v>113</v>
      </c>
      <c r="D114" s="37" t="s">
        <v>56</v>
      </c>
      <c r="E114" s="37" t="s">
        <v>5</v>
      </c>
      <c r="F114" s="37" t="s">
        <v>114</v>
      </c>
      <c r="G114" s="37" t="s">
        <v>56</v>
      </c>
      <c r="H114" s="37" t="s">
        <v>115</v>
      </c>
      <c r="I114" s="37" t="s">
        <v>116</v>
      </c>
      <c r="J114" s="37" t="s">
        <v>34</v>
      </c>
      <c r="K114" s="38">
        <v>1.3420000000000001</v>
      </c>
      <c r="L114" s="39"/>
      <c r="M114" s="37" t="s">
        <v>117</v>
      </c>
      <c r="N114" s="40">
        <v>0.34</v>
      </c>
      <c r="O114" s="38">
        <v>0.33618999999999999</v>
      </c>
      <c r="P114" s="38">
        <v>3.5720000000000001E-3</v>
      </c>
      <c r="Q114" s="38">
        <v>4.1300000000000001E-4</v>
      </c>
      <c r="R114" s="40">
        <v>0.34</v>
      </c>
      <c r="S114" s="38">
        <v>0.33618999999999999</v>
      </c>
      <c r="T114" s="38">
        <v>3.5720000000000001E-3</v>
      </c>
      <c r="U114" s="38">
        <v>4.1300000000000001E-4</v>
      </c>
      <c r="V114" s="8">
        <f t="shared" si="1"/>
        <v>2023</v>
      </c>
    </row>
    <row r="115" spans="1:22" hidden="1" x14ac:dyDescent="0.25">
      <c r="A115" s="36">
        <v>45078</v>
      </c>
      <c r="B115" s="37" t="s">
        <v>15</v>
      </c>
      <c r="C115" s="37" t="s">
        <v>113</v>
      </c>
      <c r="D115" s="37" t="s">
        <v>56</v>
      </c>
      <c r="E115" s="37" t="s">
        <v>5</v>
      </c>
      <c r="F115" s="37" t="s">
        <v>114</v>
      </c>
      <c r="G115" s="37" t="s">
        <v>56</v>
      </c>
      <c r="H115" s="37" t="s">
        <v>115</v>
      </c>
      <c r="I115" s="37" t="s">
        <v>116</v>
      </c>
      <c r="J115" s="37" t="s">
        <v>34</v>
      </c>
      <c r="K115" s="38">
        <v>3.8090000000000002</v>
      </c>
      <c r="L115" s="39"/>
      <c r="M115" s="37" t="s">
        <v>117</v>
      </c>
      <c r="N115" s="40">
        <v>0.82599999999999996</v>
      </c>
      <c r="O115" s="38">
        <v>0.82005499999999998</v>
      </c>
      <c r="P115" s="38">
        <v>2.3800000000000002E-3</v>
      </c>
      <c r="Q115" s="38">
        <v>3.3779999999999999E-3</v>
      </c>
      <c r="R115" s="40">
        <v>0.82599999999999996</v>
      </c>
      <c r="S115" s="38">
        <v>0.82005499999999998</v>
      </c>
      <c r="T115" s="38">
        <v>2.3800000000000002E-3</v>
      </c>
      <c r="U115" s="38">
        <v>3.3779999999999999E-3</v>
      </c>
      <c r="V115" s="8">
        <f t="shared" si="1"/>
        <v>2023</v>
      </c>
    </row>
    <row r="116" spans="1:22" hidden="1" x14ac:dyDescent="0.25">
      <c r="A116" s="36">
        <v>45078</v>
      </c>
      <c r="B116" s="37" t="s">
        <v>16</v>
      </c>
      <c r="C116" s="37" t="s">
        <v>113</v>
      </c>
      <c r="D116" s="37" t="s">
        <v>56</v>
      </c>
      <c r="E116" s="37" t="s">
        <v>5</v>
      </c>
      <c r="F116" s="37" t="s">
        <v>114</v>
      </c>
      <c r="G116" s="37" t="s">
        <v>56</v>
      </c>
      <c r="H116" s="37" t="s">
        <v>115</v>
      </c>
      <c r="I116" s="37" t="s">
        <v>116</v>
      </c>
      <c r="J116" s="37" t="s">
        <v>34</v>
      </c>
      <c r="K116" s="38">
        <v>4.4169999999999998</v>
      </c>
      <c r="L116" s="39"/>
      <c r="M116" s="37" t="s">
        <v>117</v>
      </c>
      <c r="N116" s="40">
        <v>0.95799999999999996</v>
      </c>
      <c r="O116" s="38">
        <v>0.95095399999999997</v>
      </c>
      <c r="P116" s="38">
        <v>2.7599999999999999E-3</v>
      </c>
      <c r="Q116" s="38">
        <v>3.9170000000000003E-3</v>
      </c>
      <c r="R116" s="40">
        <v>0.95799999999999996</v>
      </c>
      <c r="S116" s="38">
        <v>0.95095399999999997</v>
      </c>
      <c r="T116" s="38">
        <v>2.7599999999999999E-3</v>
      </c>
      <c r="U116" s="38">
        <v>3.9170000000000003E-3</v>
      </c>
      <c r="V116" s="8">
        <f t="shared" ref="V116:V179" si="2">YEAR(A116)</f>
        <v>2023</v>
      </c>
    </row>
    <row r="117" spans="1:22" x14ac:dyDescent="0.25">
      <c r="A117" s="36">
        <v>45078</v>
      </c>
      <c r="B117" s="37" t="s">
        <v>18</v>
      </c>
      <c r="C117" s="37" t="s">
        <v>113</v>
      </c>
      <c r="D117" s="37" t="s">
        <v>56</v>
      </c>
      <c r="E117" s="37" t="s">
        <v>5</v>
      </c>
      <c r="F117" s="37" t="s">
        <v>114</v>
      </c>
      <c r="G117" s="37" t="s">
        <v>56</v>
      </c>
      <c r="H117" s="37" t="s">
        <v>115</v>
      </c>
      <c r="I117" s="37" t="s">
        <v>116</v>
      </c>
      <c r="J117" s="37" t="s">
        <v>34</v>
      </c>
      <c r="K117" s="38">
        <v>2.5409999999999999</v>
      </c>
      <c r="L117" s="39"/>
      <c r="M117" s="37" t="s">
        <v>117</v>
      </c>
      <c r="N117" s="40">
        <v>0.55800000000000005</v>
      </c>
      <c r="O117" s="38">
        <v>0.556867</v>
      </c>
      <c r="P117" s="38">
        <v>3.19E-4</v>
      </c>
      <c r="Q117" s="38">
        <v>5.1699999999999999E-4</v>
      </c>
      <c r="R117" s="40">
        <v>0.55800000000000005</v>
      </c>
      <c r="S117" s="38">
        <v>0.556867</v>
      </c>
      <c r="T117" s="38">
        <v>3.19E-4</v>
      </c>
      <c r="U117" s="38">
        <v>5.1699999999999999E-4</v>
      </c>
      <c r="V117" s="8">
        <f t="shared" si="2"/>
        <v>2023</v>
      </c>
    </row>
    <row r="118" spans="1:22" hidden="1" x14ac:dyDescent="0.25">
      <c r="A118" s="36">
        <v>45078</v>
      </c>
      <c r="B118" s="37" t="s">
        <v>19</v>
      </c>
      <c r="C118" s="37" t="s">
        <v>113</v>
      </c>
      <c r="D118" s="37" t="s">
        <v>56</v>
      </c>
      <c r="E118" s="37" t="s">
        <v>5</v>
      </c>
      <c r="F118" s="37" t="s">
        <v>114</v>
      </c>
      <c r="G118" s="37" t="s">
        <v>56</v>
      </c>
      <c r="H118" s="37" t="s">
        <v>115</v>
      </c>
      <c r="I118" s="37" t="s">
        <v>116</v>
      </c>
      <c r="J118" s="37" t="s">
        <v>34</v>
      </c>
      <c r="K118" s="38">
        <v>8.9583999999999993</v>
      </c>
      <c r="L118" s="39"/>
      <c r="M118" s="37" t="s">
        <v>117</v>
      </c>
      <c r="N118" s="40">
        <v>1.6240000000000001</v>
      </c>
      <c r="O118" s="38">
        <v>1.6219030000000001</v>
      </c>
      <c r="P118" s="38">
        <v>8.34E-4</v>
      </c>
      <c r="Q118" s="38">
        <v>9.1100000000000003E-4</v>
      </c>
      <c r="R118" s="40">
        <v>1.6240000000000001</v>
      </c>
      <c r="S118" s="38">
        <v>1.6219030000000001</v>
      </c>
      <c r="T118" s="38">
        <v>8.3500000000000002E-4</v>
      </c>
      <c r="U118" s="38">
        <v>9.1100000000000003E-4</v>
      </c>
      <c r="V118" s="8">
        <f t="shared" si="2"/>
        <v>2023</v>
      </c>
    </row>
    <row r="119" spans="1:22" hidden="1" x14ac:dyDescent="0.25">
      <c r="A119" s="36">
        <v>45108</v>
      </c>
      <c r="B119" s="37" t="s">
        <v>11</v>
      </c>
      <c r="C119" s="37" t="s">
        <v>113</v>
      </c>
      <c r="D119" s="37" t="s">
        <v>56</v>
      </c>
      <c r="E119" s="37" t="s">
        <v>5</v>
      </c>
      <c r="F119" s="37" t="s">
        <v>114</v>
      </c>
      <c r="G119" s="37" t="s">
        <v>56</v>
      </c>
      <c r="H119" s="37" t="s">
        <v>115</v>
      </c>
      <c r="I119" s="37" t="s">
        <v>116</v>
      </c>
      <c r="J119" s="37" t="s">
        <v>34</v>
      </c>
      <c r="K119" s="38">
        <v>12.323001</v>
      </c>
      <c r="L119" s="39"/>
      <c r="M119" s="37" t="s">
        <v>117</v>
      </c>
      <c r="N119" s="40">
        <v>2.8839999999999999</v>
      </c>
      <c r="O119" s="38">
        <v>2.8448790000000002</v>
      </c>
      <c r="P119" s="38">
        <v>3.8899999999999997E-2</v>
      </c>
      <c r="Q119" s="38">
        <v>3.5599999999999998E-4</v>
      </c>
      <c r="R119" s="40">
        <v>2.8839999999999999</v>
      </c>
      <c r="S119" s="38">
        <v>2.8448790000000002</v>
      </c>
      <c r="T119" s="38">
        <v>3.8899999999999997E-2</v>
      </c>
      <c r="U119" s="38">
        <v>3.5599999999999998E-4</v>
      </c>
      <c r="V119" s="8">
        <f t="shared" si="2"/>
        <v>2023</v>
      </c>
    </row>
    <row r="120" spans="1:22" hidden="1" x14ac:dyDescent="0.25">
      <c r="A120" s="36">
        <v>45139</v>
      </c>
      <c r="B120" s="37" t="s">
        <v>11</v>
      </c>
      <c r="C120" s="37" t="s">
        <v>113</v>
      </c>
      <c r="D120" s="37" t="s">
        <v>56</v>
      </c>
      <c r="E120" s="37" t="s">
        <v>5</v>
      </c>
      <c r="F120" s="37" t="s">
        <v>114</v>
      </c>
      <c r="G120" s="37" t="s">
        <v>56</v>
      </c>
      <c r="H120" s="37" t="s">
        <v>115</v>
      </c>
      <c r="I120" s="37" t="s">
        <v>116</v>
      </c>
      <c r="J120" s="37" t="s">
        <v>34</v>
      </c>
      <c r="K120" s="38">
        <v>13.497000999999999</v>
      </c>
      <c r="L120" s="39"/>
      <c r="M120" s="37" t="s">
        <v>117</v>
      </c>
      <c r="N120" s="40">
        <v>3.1589999999999998</v>
      </c>
      <c r="O120" s="38">
        <v>3.115907</v>
      </c>
      <c r="P120" s="38">
        <v>4.2605999999999998E-2</v>
      </c>
      <c r="Q120" s="38">
        <v>3.8999999999999999E-4</v>
      </c>
      <c r="R120" s="40">
        <v>3.1589999999999998</v>
      </c>
      <c r="S120" s="38">
        <v>3.115907</v>
      </c>
      <c r="T120" s="38">
        <v>4.2605999999999998E-2</v>
      </c>
      <c r="U120" s="38">
        <v>3.8999999999999999E-4</v>
      </c>
      <c r="V120" s="8">
        <f t="shared" si="2"/>
        <v>2023</v>
      </c>
    </row>
    <row r="121" spans="1:22" hidden="1" x14ac:dyDescent="0.25">
      <c r="A121" s="36">
        <v>45170</v>
      </c>
      <c r="B121" s="37" t="s">
        <v>11</v>
      </c>
      <c r="C121" s="37" t="s">
        <v>113</v>
      </c>
      <c r="D121" s="37" t="s">
        <v>56</v>
      </c>
      <c r="E121" s="37" t="s">
        <v>5</v>
      </c>
      <c r="F121" s="37" t="s">
        <v>114</v>
      </c>
      <c r="G121" s="37" t="s">
        <v>56</v>
      </c>
      <c r="H121" s="37" t="s">
        <v>115</v>
      </c>
      <c r="I121" s="37" t="s">
        <v>116</v>
      </c>
      <c r="J121" s="37" t="s">
        <v>34</v>
      </c>
      <c r="K121" s="38">
        <v>11.024001</v>
      </c>
      <c r="L121" s="39"/>
      <c r="M121" s="37" t="s">
        <v>117</v>
      </c>
      <c r="N121" s="40">
        <v>2.58</v>
      </c>
      <c r="O121" s="38">
        <v>2.5449920000000001</v>
      </c>
      <c r="P121" s="38">
        <v>3.4799999999999998E-2</v>
      </c>
      <c r="Q121" s="38">
        <v>3.1799999999999998E-4</v>
      </c>
      <c r="R121" s="40">
        <v>2.58</v>
      </c>
      <c r="S121" s="38">
        <v>2.5449920000000001</v>
      </c>
      <c r="T121" s="38">
        <v>3.4799999999999998E-2</v>
      </c>
      <c r="U121" s="38">
        <v>3.1799999999999998E-4</v>
      </c>
      <c r="V121" s="8">
        <f t="shared" si="2"/>
        <v>2023</v>
      </c>
    </row>
    <row r="122" spans="1:22" hidden="1" x14ac:dyDescent="0.25">
      <c r="A122" s="36">
        <v>45200</v>
      </c>
      <c r="B122" s="37" t="s">
        <v>11</v>
      </c>
      <c r="C122" s="37" t="s">
        <v>113</v>
      </c>
      <c r="D122" s="37" t="s">
        <v>56</v>
      </c>
      <c r="E122" s="37" t="s">
        <v>5</v>
      </c>
      <c r="F122" s="37" t="s">
        <v>114</v>
      </c>
      <c r="G122" s="37" t="s">
        <v>56</v>
      </c>
      <c r="H122" s="37" t="s">
        <v>115</v>
      </c>
      <c r="I122" s="37" t="s">
        <v>116</v>
      </c>
      <c r="J122" s="37" t="s">
        <v>34</v>
      </c>
      <c r="K122" s="38">
        <v>10.714001</v>
      </c>
      <c r="L122" s="39"/>
      <c r="M122" s="37" t="s">
        <v>117</v>
      </c>
      <c r="N122" s="40">
        <v>2.508</v>
      </c>
      <c r="O122" s="38">
        <v>2.4734259999999999</v>
      </c>
      <c r="P122" s="38">
        <v>3.3820999999999997E-2</v>
      </c>
      <c r="Q122" s="38">
        <v>3.0899999999999998E-4</v>
      </c>
      <c r="R122" s="40">
        <v>2.508</v>
      </c>
      <c r="S122" s="38">
        <v>2.4734259999999999</v>
      </c>
      <c r="T122" s="38">
        <v>3.3820999999999997E-2</v>
      </c>
      <c r="U122" s="38">
        <v>3.0899999999999998E-4</v>
      </c>
      <c r="V122" s="8">
        <f t="shared" si="2"/>
        <v>2023</v>
      </c>
    </row>
    <row r="123" spans="1:22" hidden="1" x14ac:dyDescent="0.25">
      <c r="A123" s="36">
        <v>45231</v>
      </c>
      <c r="B123" s="37" t="s">
        <v>11</v>
      </c>
      <c r="C123" s="37" t="s">
        <v>113</v>
      </c>
      <c r="D123" s="37" t="s">
        <v>56</v>
      </c>
      <c r="E123" s="37" t="s">
        <v>5</v>
      </c>
      <c r="F123" s="37" t="s">
        <v>114</v>
      </c>
      <c r="G123" s="37" t="s">
        <v>56</v>
      </c>
      <c r="H123" s="37" t="s">
        <v>115</v>
      </c>
      <c r="I123" s="37" t="s">
        <v>116</v>
      </c>
      <c r="J123" s="37" t="s">
        <v>34</v>
      </c>
      <c r="K123" s="38">
        <v>10.718000999999999</v>
      </c>
      <c r="L123" s="39"/>
      <c r="M123" s="37" t="s">
        <v>117</v>
      </c>
      <c r="N123" s="40">
        <v>2.508</v>
      </c>
      <c r="O123" s="38">
        <v>2.4743490000000001</v>
      </c>
      <c r="P123" s="38">
        <v>3.3834000000000003E-2</v>
      </c>
      <c r="Q123" s="38">
        <v>3.0899999999999998E-4</v>
      </c>
      <c r="R123" s="40">
        <v>2.508</v>
      </c>
      <c r="S123" s="38">
        <v>2.4743499999999998</v>
      </c>
      <c r="T123" s="38">
        <v>3.3834000000000003E-2</v>
      </c>
      <c r="U123" s="38">
        <v>3.0899999999999998E-4</v>
      </c>
      <c r="V123" s="8">
        <f t="shared" si="2"/>
        <v>2023</v>
      </c>
    </row>
    <row r="124" spans="1:22" hidden="1" x14ac:dyDescent="0.25">
      <c r="A124" s="36">
        <v>45261</v>
      </c>
      <c r="B124" s="37" t="s">
        <v>11</v>
      </c>
      <c r="C124" s="37" t="s">
        <v>113</v>
      </c>
      <c r="D124" s="37" t="s">
        <v>56</v>
      </c>
      <c r="E124" s="37" t="s">
        <v>5</v>
      </c>
      <c r="F124" s="37" t="s">
        <v>114</v>
      </c>
      <c r="G124" s="37" t="s">
        <v>56</v>
      </c>
      <c r="H124" s="37" t="s">
        <v>115</v>
      </c>
      <c r="I124" s="37" t="s">
        <v>116</v>
      </c>
      <c r="J124" s="37" t="s">
        <v>34</v>
      </c>
      <c r="K124" s="38">
        <v>11.080000999999999</v>
      </c>
      <c r="L124" s="39"/>
      <c r="M124" s="37" t="s">
        <v>117</v>
      </c>
      <c r="N124" s="40">
        <v>2.593</v>
      </c>
      <c r="O124" s="38">
        <v>2.5579209999999999</v>
      </c>
      <c r="P124" s="38">
        <v>3.4977000000000001E-2</v>
      </c>
      <c r="Q124" s="38">
        <v>3.2000000000000003E-4</v>
      </c>
      <c r="R124" s="40">
        <v>2.593</v>
      </c>
      <c r="S124" s="38">
        <v>2.5579209999999999</v>
      </c>
      <c r="T124" s="38">
        <v>3.4977000000000001E-2</v>
      </c>
      <c r="U124" s="38">
        <v>3.2000000000000003E-4</v>
      </c>
      <c r="V124" s="8">
        <f t="shared" si="2"/>
        <v>2023</v>
      </c>
    </row>
    <row r="125" spans="1:22" ht="71.400000000000006" hidden="1" x14ac:dyDescent="0.25">
      <c r="A125" s="36">
        <v>44927</v>
      </c>
      <c r="B125" s="37" t="s">
        <v>19</v>
      </c>
      <c r="C125" s="37" t="s">
        <v>118</v>
      </c>
      <c r="D125" s="37" t="s">
        <v>57</v>
      </c>
      <c r="E125" s="37" t="s">
        <v>5</v>
      </c>
      <c r="F125" s="37" t="s">
        <v>119</v>
      </c>
      <c r="G125" s="37" t="s">
        <v>57</v>
      </c>
      <c r="H125" s="37" t="s">
        <v>120</v>
      </c>
      <c r="I125" s="37" t="s">
        <v>120</v>
      </c>
      <c r="J125" s="37" t="s">
        <v>34</v>
      </c>
      <c r="K125" s="38">
        <v>0</v>
      </c>
      <c r="L125" s="39"/>
      <c r="M125" s="37"/>
      <c r="N125" s="40">
        <v>0</v>
      </c>
      <c r="O125" s="38">
        <v>0</v>
      </c>
      <c r="P125" s="38">
        <v>0</v>
      </c>
      <c r="Q125" s="38">
        <v>0</v>
      </c>
      <c r="R125" s="40">
        <v>0</v>
      </c>
      <c r="S125" s="38">
        <v>0</v>
      </c>
      <c r="T125" s="38">
        <v>0</v>
      </c>
      <c r="U125" s="38">
        <v>0</v>
      </c>
      <c r="V125" s="8">
        <f t="shared" si="2"/>
        <v>2023</v>
      </c>
    </row>
    <row r="126" spans="1:22" ht="71.400000000000006" hidden="1" x14ac:dyDescent="0.25">
      <c r="A126" s="36">
        <v>44958</v>
      </c>
      <c r="B126" s="37" t="s">
        <v>19</v>
      </c>
      <c r="C126" s="37" t="s">
        <v>118</v>
      </c>
      <c r="D126" s="37" t="s">
        <v>57</v>
      </c>
      <c r="E126" s="37" t="s">
        <v>5</v>
      </c>
      <c r="F126" s="37" t="s">
        <v>119</v>
      </c>
      <c r="G126" s="37" t="s">
        <v>57</v>
      </c>
      <c r="H126" s="37" t="s">
        <v>120</v>
      </c>
      <c r="I126" s="37" t="s">
        <v>120</v>
      </c>
      <c r="J126" s="37" t="s">
        <v>34</v>
      </c>
      <c r="K126" s="38">
        <v>0</v>
      </c>
      <c r="L126" s="39"/>
      <c r="M126" s="37"/>
      <c r="N126" s="40">
        <v>0</v>
      </c>
      <c r="O126" s="38">
        <v>0</v>
      </c>
      <c r="P126" s="38">
        <v>0</v>
      </c>
      <c r="Q126" s="38">
        <v>0</v>
      </c>
      <c r="R126" s="40">
        <v>0</v>
      </c>
      <c r="S126" s="38">
        <v>0</v>
      </c>
      <c r="T126" s="38">
        <v>0</v>
      </c>
      <c r="U126" s="38">
        <v>0</v>
      </c>
      <c r="V126" s="8">
        <f t="shared" si="2"/>
        <v>2023</v>
      </c>
    </row>
    <row r="127" spans="1:22" ht="71.400000000000006" hidden="1" x14ac:dyDescent="0.25">
      <c r="A127" s="36">
        <v>44986</v>
      </c>
      <c r="B127" s="37" t="s">
        <v>19</v>
      </c>
      <c r="C127" s="37" t="s">
        <v>118</v>
      </c>
      <c r="D127" s="37" t="s">
        <v>57</v>
      </c>
      <c r="E127" s="37" t="s">
        <v>5</v>
      </c>
      <c r="F127" s="37" t="s">
        <v>119</v>
      </c>
      <c r="G127" s="37" t="s">
        <v>57</v>
      </c>
      <c r="H127" s="37" t="s">
        <v>120</v>
      </c>
      <c r="I127" s="37" t="s">
        <v>120</v>
      </c>
      <c r="J127" s="37" t="s">
        <v>34</v>
      </c>
      <c r="K127" s="38">
        <v>0</v>
      </c>
      <c r="L127" s="39"/>
      <c r="M127" s="37"/>
      <c r="N127" s="40">
        <v>0</v>
      </c>
      <c r="O127" s="38">
        <v>0</v>
      </c>
      <c r="P127" s="38">
        <v>0</v>
      </c>
      <c r="Q127" s="38">
        <v>0</v>
      </c>
      <c r="R127" s="40">
        <v>0</v>
      </c>
      <c r="S127" s="38">
        <v>0</v>
      </c>
      <c r="T127" s="38">
        <v>0</v>
      </c>
      <c r="U127" s="38">
        <v>0</v>
      </c>
      <c r="V127" s="8">
        <f t="shared" si="2"/>
        <v>2023</v>
      </c>
    </row>
    <row r="128" spans="1:22" ht="71.400000000000006" hidden="1" x14ac:dyDescent="0.25">
      <c r="A128" s="36">
        <v>45017</v>
      </c>
      <c r="B128" s="37" t="s">
        <v>19</v>
      </c>
      <c r="C128" s="37" t="s">
        <v>118</v>
      </c>
      <c r="D128" s="37" t="s">
        <v>57</v>
      </c>
      <c r="E128" s="37" t="s">
        <v>5</v>
      </c>
      <c r="F128" s="37" t="s">
        <v>119</v>
      </c>
      <c r="G128" s="37" t="s">
        <v>57</v>
      </c>
      <c r="H128" s="37" t="s">
        <v>120</v>
      </c>
      <c r="I128" s="37" t="s">
        <v>120</v>
      </c>
      <c r="J128" s="37" t="s">
        <v>34</v>
      </c>
      <c r="K128" s="38">
        <v>0</v>
      </c>
      <c r="L128" s="39"/>
      <c r="M128" s="37"/>
      <c r="N128" s="40">
        <v>0</v>
      </c>
      <c r="O128" s="38">
        <v>0</v>
      </c>
      <c r="P128" s="38">
        <v>0</v>
      </c>
      <c r="Q128" s="38">
        <v>0</v>
      </c>
      <c r="R128" s="40">
        <v>0</v>
      </c>
      <c r="S128" s="38">
        <v>0</v>
      </c>
      <c r="T128" s="38">
        <v>0</v>
      </c>
      <c r="U128" s="38">
        <v>0</v>
      </c>
      <c r="V128" s="8">
        <f t="shared" si="2"/>
        <v>2023</v>
      </c>
    </row>
    <row r="129" spans="1:22" ht="71.400000000000006" hidden="1" x14ac:dyDescent="0.25">
      <c r="A129" s="36">
        <v>45047</v>
      </c>
      <c r="B129" s="37" t="s">
        <v>19</v>
      </c>
      <c r="C129" s="37" t="s">
        <v>118</v>
      </c>
      <c r="D129" s="37" t="s">
        <v>57</v>
      </c>
      <c r="E129" s="37" t="s">
        <v>5</v>
      </c>
      <c r="F129" s="37" t="s">
        <v>119</v>
      </c>
      <c r="G129" s="37" t="s">
        <v>57</v>
      </c>
      <c r="H129" s="37" t="s">
        <v>120</v>
      </c>
      <c r="I129" s="37" t="s">
        <v>120</v>
      </c>
      <c r="J129" s="37" t="s">
        <v>34</v>
      </c>
      <c r="K129" s="38">
        <v>0</v>
      </c>
      <c r="L129" s="39"/>
      <c r="M129" s="37"/>
      <c r="N129" s="40">
        <v>0</v>
      </c>
      <c r="O129" s="38">
        <v>0</v>
      </c>
      <c r="P129" s="38">
        <v>0</v>
      </c>
      <c r="Q129" s="38">
        <v>0</v>
      </c>
      <c r="R129" s="40">
        <v>0</v>
      </c>
      <c r="S129" s="38">
        <v>0</v>
      </c>
      <c r="T129" s="38">
        <v>0</v>
      </c>
      <c r="U129" s="38">
        <v>0</v>
      </c>
      <c r="V129" s="8">
        <f t="shared" si="2"/>
        <v>2023</v>
      </c>
    </row>
    <row r="130" spans="1:22" ht="71.400000000000006" hidden="1" x14ac:dyDescent="0.25">
      <c r="A130" s="36">
        <v>45078</v>
      </c>
      <c r="B130" s="37" t="s">
        <v>19</v>
      </c>
      <c r="C130" s="37" t="s">
        <v>118</v>
      </c>
      <c r="D130" s="37" t="s">
        <v>57</v>
      </c>
      <c r="E130" s="37" t="s">
        <v>5</v>
      </c>
      <c r="F130" s="37" t="s">
        <v>119</v>
      </c>
      <c r="G130" s="37" t="s">
        <v>57</v>
      </c>
      <c r="H130" s="37" t="s">
        <v>120</v>
      </c>
      <c r="I130" s="37" t="s">
        <v>120</v>
      </c>
      <c r="J130" s="37" t="s">
        <v>34</v>
      </c>
      <c r="K130" s="38">
        <v>0</v>
      </c>
      <c r="L130" s="39"/>
      <c r="M130" s="37"/>
      <c r="N130" s="40">
        <v>0</v>
      </c>
      <c r="O130" s="38">
        <v>0</v>
      </c>
      <c r="P130" s="38">
        <v>0</v>
      </c>
      <c r="Q130" s="38">
        <v>0</v>
      </c>
      <c r="R130" s="40">
        <v>0</v>
      </c>
      <c r="S130" s="38">
        <v>0</v>
      </c>
      <c r="T130" s="38">
        <v>0</v>
      </c>
      <c r="U130" s="38">
        <v>0</v>
      </c>
      <c r="V130" s="8">
        <f t="shared" si="2"/>
        <v>2023</v>
      </c>
    </row>
    <row r="131" spans="1:22" ht="71.400000000000006" hidden="1" x14ac:dyDescent="0.25">
      <c r="A131" s="36">
        <v>45108</v>
      </c>
      <c r="B131" s="37" t="s">
        <v>19</v>
      </c>
      <c r="C131" s="37" t="s">
        <v>118</v>
      </c>
      <c r="D131" s="37" t="s">
        <v>57</v>
      </c>
      <c r="E131" s="37" t="s">
        <v>5</v>
      </c>
      <c r="F131" s="37" t="s">
        <v>119</v>
      </c>
      <c r="G131" s="37" t="s">
        <v>57</v>
      </c>
      <c r="H131" s="37" t="s">
        <v>120</v>
      </c>
      <c r="I131" s="37" t="s">
        <v>120</v>
      </c>
      <c r="J131" s="37" t="s">
        <v>34</v>
      </c>
      <c r="K131" s="38">
        <v>0</v>
      </c>
      <c r="L131" s="39"/>
      <c r="M131" s="37"/>
      <c r="N131" s="40">
        <v>0</v>
      </c>
      <c r="O131" s="38">
        <v>0</v>
      </c>
      <c r="P131" s="38">
        <v>0</v>
      </c>
      <c r="Q131" s="38">
        <v>0</v>
      </c>
      <c r="R131" s="40">
        <v>0</v>
      </c>
      <c r="S131" s="38">
        <v>0</v>
      </c>
      <c r="T131" s="38">
        <v>0</v>
      </c>
      <c r="U131" s="38">
        <v>0</v>
      </c>
      <c r="V131" s="8">
        <f t="shared" si="2"/>
        <v>2023</v>
      </c>
    </row>
    <row r="132" spans="1:22" ht="71.400000000000006" hidden="1" x14ac:dyDescent="0.25">
      <c r="A132" s="36">
        <v>45139</v>
      </c>
      <c r="B132" s="37" t="s">
        <v>19</v>
      </c>
      <c r="C132" s="37" t="s">
        <v>118</v>
      </c>
      <c r="D132" s="37" t="s">
        <v>57</v>
      </c>
      <c r="E132" s="37" t="s">
        <v>5</v>
      </c>
      <c r="F132" s="37" t="s">
        <v>119</v>
      </c>
      <c r="G132" s="37" t="s">
        <v>57</v>
      </c>
      <c r="H132" s="37" t="s">
        <v>120</v>
      </c>
      <c r="I132" s="37" t="s">
        <v>120</v>
      </c>
      <c r="J132" s="37" t="s">
        <v>34</v>
      </c>
      <c r="K132" s="38">
        <v>0</v>
      </c>
      <c r="L132" s="39"/>
      <c r="M132" s="37"/>
      <c r="N132" s="40">
        <v>0</v>
      </c>
      <c r="O132" s="38">
        <v>0</v>
      </c>
      <c r="P132" s="38">
        <v>0</v>
      </c>
      <c r="Q132" s="38">
        <v>0</v>
      </c>
      <c r="R132" s="40">
        <v>0</v>
      </c>
      <c r="S132" s="38">
        <v>0</v>
      </c>
      <c r="T132" s="38">
        <v>0</v>
      </c>
      <c r="U132" s="38">
        <v>0</v>
      </c>
      <c r="V132" s="8">
        <f t="shared" si="2"/>
        <v>2023</v>
      </c>
    </row>
    <row r="133" spans="1:22" ht="71.400000000000006" hidden="1" x14ac:dyDescent="0.25">
      <c r="A133" s="36">
        <v>45170</v>
      </c>
      <c r="B133" s="37" t="s">
        <v>19</v>
      </c>
      <c r="C133" s="37" t="s">
        <v>118</v>
      </c>
      <c r="D133" s="37" t="s">
        <v>57</v>
      </c>
      <c r="E133" s="37" t="s">
        <v>5</v>
      </c>
      <c r="F133" s="37" t="s">
        <v>119</v>
      </c>
      <c r="G133" s="37" t="s">
        <v>57</v>
      </c>
      <c r="H133" s="37" t="s">
        <v>120</v>
      </c>
      <c r="I133" s="37" t="s">
        <v>120</v>
      </c>
      <c r="J133" s="37" t="s">
        <v>34</v>
      </c>
      <c r="K133" s="38">
        <v>0</v>
      </c>
      <c r="L133" s="39"/>
      <c r="M133" s="37"/>
      <c r="N133" s="40">
        <v>0</v>
      </c>
      <c r="O133" s="38">
        <v>0</v>
      </c>
      <c r="P133" s="38">
        <v>0</v>
      </c>
      <c r="Q133" s="38">
        <v>0</v>
      </c>
      <c r="R133" s="40">
        <v>0</v>
      </c>
      <c r="S133" s="38">
        <v>0</v>
      </c>
      <c r="T133" s="38">
        <v>0</v>
      </c>
      <c r="U133" s="38">
        <v>0</v>
      </c>
      <c r="V133" s="8">
        <f t="shared" si="2"/>
        <v>2023</v>
      </c>
    </row>
    <row r="134" spans="1:22" ht="71.400000000000006" hidden="1" x14ac:dyDescent="0.25">
      <c r="A134" s="36">
        <v>45200</v>
      </c>
      <c r="B134" s="37" t="s">
        <v>19</v>
      </c>
      <c r="C134" s="37" t="s">
        <v>118</v>
      </c>
      <c r="D134" s="37" t="s">
        <v>57</v>
      </c>
      <c r="E134" s="37" t="s">
        <v>5</v>
      </c>
      <c r="F134" s="37" t="s">
        <v>119</v>
      </c>
      <c r="G134" s="37" t="s">
        <v>57</v>
      </c>
      <c r="H134" s="37" t="s">
        <v>120</v>
      </c>
      <c r="I134" s="37" t="s">
        <v>120</v>
      </c>
      <c r="J134" s="37" t="s">
        <v>34</v>
      </c>
      <c r="K134" s="38">
        <v>0</v>
      </c>
      <c r="L134" s="39"/>
      <c r="M134" s="37"/>
      <c r="N134" s="40">
        <v>0</v>
      </c>
      <c r="O134" s="38">
        <v>0</v>
      </c>
      <c r="P134" s="38">
        <v>0</v>
      </c>
      <c r="Q134" s="38">
        <v>0</v>
      </c>
      <c r="R134" s="40">
        <v>0</v>
      </c>
      <c r="S134" s="38">
        <v>0</v>
      </c>
      <c r="T134" s="38">
        <v>0</v>
      </c>
      <c r="U134" s="38">
        <v>0</v>
      </c>
      <c r="V134" s="8">
        <f t="shared" si="2"/>
        <v>2023</v>
      </c>
    </row>
    <row r="135" spans="1:22" ht="71.400000000000006" hidden="1" x14ac:dyDescent="0.25">
      <c r="A135" s="36">
        <v>45231</v>
      </c>
      <c r="B135" s="37" t="s">
        <v>19</v>
      </c>
      <c r="C135" s="37" t="s">
        <v>118</v>
      </c>
      <c r="D135" s="37" t="s">
        <v>57</v>
      </c>
      <c r="E135" s="37" t="s">
        <v>5</v>
      </c>
      <c r="F135" s="37" t="s">
        <v>119</v>
      </c>
      <c r="G135" s="37" t="s">
        <v>57</v>
      </c>
      <c r="H135" s="37" t="s">
        <v>120</v>
      </c>
      <c r="I135" s="37" t="s">
        <v>120</v>
      </c>
      <c r="J135" s="37" t="s">
        <v>34</v>
      </c>
      <c r="K135" s="38">
        <v>0</v>
      </c>
      <c r="L135" s="39"/>
      <c r="M135" s="37"/>
      <c r="N135" s="40">
        <v>0</v>
      </c>
      <c r="O135" s="38">
        <v>0</v>
      </c>
      <c r="P135" s="38">
        <v>0</v>
      </c>
      <c r="Q135" s="38">
        <v>0</v>
      </c>
      <c r="R135" s="40">
        <v>0</v>
      </c>
      <c r="S135" s="38">
        <v>0</v>
      </c>
      <c r="T135" s="38">
        <v>0</v>
      </c>
      <c r="U135" s="38">
        <v>0</v>
      </c>
      <c r="V135" s="8">
        <f t="shared" si="2"/>
        <v>2023</v>
      </c>
    </row>
    <row r="136" spans="1:22" ht="71.400000000000006" hidden="1" x14ac:dyDescent="0.25">
      <c r="A136" s="36">
        <v>45261</v>
      </c>
      <c r="B136" s="37" t="s">
        <v>19</v>
      </c>
      <c r="C136" s="37" t="s">
        <v>118</v>
      </c>
      <c r="D136" s="37" t="s">
        <v>57</v>
      </c>
      <c r="E136" s="37" t="s">
        <v>5</v>
      </c>
      <c r="F136" s="37" t="s">
        <v>119</v>
      </c>
      <c r="G136" s="37" t="s">
        <v>57</v>
      </c>
      <c r="H136" s="37" t="s">
        <v>120</v>
      </c>
      <c r="I136" s="37" t="s">
        <v>120</v>
      </c>
      <c r="J136" s="37" t="s">
        <v>34</v>
      </c>
      <c r="K136" s="38">
        <v>0</v>
      </c>
      <c r="L136" s="39"/>
      <c r="M136" s="37"/>
      <c r="N136" s="40">
        <v>0</v>
      </c>
      <c r="O136" s="38">
        <v>0</v>
      </c>
      <c r="P136" s="38">
        <v>0</v>
      </c>
      <c r="Q136" s="38">
        <v>0</v>
      </c>
      <c r="R136" s="40">
        <v>0</v>
      </c>
      <c r="S136" s="38">
        <v>0</v>
      </c>
      <c r="T136" s="38">
        <v>0</v>
      </c>
      <c r="U136" s="38">
        <v>0</v>
      </c>
      <c r="V136" s="8">
        <f t="shared" si="2"/>
        <v>2023</v>
      </c>
    </row>
    <row r="137" spans="1:22" ht="71.400000000000006" hidden="1" x14ac:dyDescent="0.25">
      <c r="A137" s="36">
        <v>44562</v>
      </c>
      <c r="B137" s="37" t="s">
        <v>23</v>
      </c>
      <c r="C137" s="37" t="s">
        <v>118</v>
      </c>
      <c r="D137" s="37" t="s">
        <v>57</v>
      </c>
      <c r="E137" s="37" t="s">
        <v>6</v>
      </c>
      <c r="F137" s="37" t="s">
        <v>119</v>
      </c>
      <c r="G137" s="37" t="s">
        <v>57</v>
      </c>
      <c r="H137" s="37" t="s">
        <v>120</v>
      </c>
      <c r="I137" s="37" t="s">
        <v>120</v>
      </c>
      <c r="J137" s="37" t="s">
        <v>34</v>
      </c>
      <c r="K137" s="38">
        <v>1.9296169999999999</v>
      </c>
      <c r="L137" s="39"/>
      <c r="M137" s="37"/>
      <c r="N137" s="40">
        <v>0.29499999999999998</v>
      </c>
      <c r="O137" s="38">
        <v>0.29310900000000001</v>
      </c>
      <c r="P137" s="38">
        <v>1.238E-3</v>
      </c>
      <c r="Q137" s="38">
        <v>6.4599999999999998E-4</v>
      </c>
      <c r="R137" s="40">
        <v>0.29499999999999998</v>
      </c>
      <c r="S137" s="38">
        <v>0.29310900000000001</v>
      </c>
      <c r="T137" s="38">
        <v>1.238E-3</v>
      </c>
      <c r="U137" s="38">
        <v>6.4599999999999998E-4</v>
      </c>
      <c r="V137" s="8">
        <f t="shared" si="2"/>
        <v>2022</v>
      </c>
    </row>
    <row r="138" spans="1:22" ht="71.400000000000006" hidden="1" x14ac:dyDescent="0.25">
      <c r="A138" s="36">
        <v>44593</v>
      </c>
      <c r="B138" s="37" t="s">
        <v>23</v>
      </c>
      <c r="C138" s="37" t="s">
        <v>118</v>
      </c>
      <c r="D138" s="37" t="s">
        <v>57</v>
      </c>
      <c r="E138" s="37" t="s">
        <v>6</v>
      </c>
      <c r="F138" s="37" t="s">
        <v>119</v>
      </c>
      <c r="G138" s="37" t="s">
        <v>57</v>
      </c>
      <c r="H138" s="37" t="s">
        <v>120</v>
      </c>
      <c r="I138" s="37" t="s">
        <v>120</v>
      </c>
      <c r="J138" s="37" t="s">
        <v>34</v>
      </c>
      <c r="K138" s="38">
        <v>1.9296169999999999</v>
      </c>
      <c r="L138" s="39"/>
      <c r="M138" s="37"/>
      <c r="N138" s="40">
        <v>0.29499999999999998</v>
      </c>
      <c r="O138" s="38">
        <v>0.29310900000000001</v>
      </c>
      <c r="P138" s="38">
        <v>1.238E-3</v>
      </c>
      <c r="Q138" s="38">
        <v>6.4599999999999998E-4</v>
      </c>
      <c r="R138" s="40">
        <v>0.29499999999999998</v>
      </c>
      <c r="S138" s="38">
        <v>0.29310900000000001</v>
      </c>
      <c r="T138" s="38">
        <v>1.238E-3</v>
      </c>
      <c r="U138" s="38">
        <v>6.4599999999999998E-4</v>
      </c>
      <c r="V138" s="8">
        <f t="shared" si="2"/>
        <v>2022</v>
      </c>
    </row>
    <row r="139" spans="1:22" ht="71.400000000000006" hidden="1" x14ac:dyDescent="0.25">
      <c r="A139" s="36">
        <v>44621</v>
      </c>
      <c r="B139" s="37" t="s">
        <v>23</v>
      </c>
      <c r="C139" s="37" t="s">
        <v>118</v>
      </c>
      <c r="D139" s="37" t="s">
        <v>57</v>
      </c>
      <c r="E139" s="37" t="s">
        <v>6</v>
      </c>
      <c r="F139" s="37" t="s">
        <v>119</v>
      </c>
      <c r="G139" s="37" t="s">
        <v>57</v>
      </c>
      <c r="H139" s="37" t="s">
        <v>120</v>
      </c>
      <c r="I139" s="37" t="s">
        <v>120</v>
      </c>
      <c r="J139" s="37" t="s">
        <v>34</v>
      </c>
      <c r="K139" s="38">
        <v>1.9296169999999999</v>
      </c>
      <c r="L139" s="39"/>
      <c r="M139" s="37"/>
      <c r="N139" s="40">
        <v>0.29499999999999998</v>
      </c>
      <c r="O139" s="38">
        <v>0.29310900000000001</v>
      </c>
      <c r="P139" s="38">
        <v>1.238E-3</v>
      </c>
      <c r="Q139" s="38">
        <v>6.4599999999999998E-4</v>
      </c>
      <c r="R139" s="40">
        <v>0.29499999999999998</v>
      </c>
      <c r="S139" s="38">
        <v>0.29310900000000001</v>
      </c>
      <c r="T139" s="38">
        <v>1.238E-3</v>
      </c>
      <c r="U139" s="38">
        <v>6.4599999999999998E-4</v>
      </c>
      <c r="V139" s="8">
        <f t="shared" si="2"/>
        <v>2022</v>
      </c>
    </row>
    <row r="140" spans="1:22" ht="71.400000000000006" hidden="1" x14ac:dyDescent="0.25">
      <c r="A140" s="36">
        <v>44652</v>
      </c>
      <c r="B140" s="37" t="s">
        <v>23</v>
      </c>
      <c r="C140" s="37" t="s">
        <v>118</v>
      </c>
      <c r="D140" s="37" t="s">
        <v>57</v>
      </c>
      <c r="E140" s="37" t="s">
        <v>6</v>
      </c>
      <c r="F140" s="37" t="s">
        <v>119</v>
      </c>
      <c r="G140" s="37" t="s">
        <v>57</v>
      </c>
      <c r="H140" s="37" t="s">
        <v>120</v>
      </c>
      <c r="I140" s="37" t="s">
        <v>120</v>
      </c>
      <c r="J140" s="37" t="s">
        <v>34</v>
      </c>
      <c r="K140" s="38">
        <v>1.9296169999999999</v>
      </c>
      <c r="L140" s="39"/>
      <c r="M140" s="37"/>
      <c r="N140" s="40">
        <v>0.29499999999999998</v>
      </c>
      <c r="O140" s="38">
        <v>0.29310900000000001</v>
      </c>
      <c r="P140" s="38">
        <v>1.238E-3</v>
      </c>
      <c r="Q140" s="38">
        <v>6.4599999999999998E-4</v>
      </c>
      <c r="R140" s="40">
        <v>0.29499999999999998</v>
      </c>
      <c r="S140" s="38">
        <v>0.29310900000000001</v>
      </c>
      <c r="T140" s="38">
        <v>1.238E-3</v>
      </c>
      <c r="U140" s="38">
        <v>6.4599999999999998E-4</v>
      </c>
      <c r="V140" s="8">
        <f t="shared" si="2"/>
        <v>2022</v>
      </c>
    </row>
    <row r="141" spans="1:22" ht="71.400000000000006" hidden="1" x14ac:dyDescent="0.25">
      <c r="A141" s="36">
        <v>44682</v>
      </c>
      <c r="B141" s="37" t="s">
        <v>23</v>
      </c>
      <c r="C141" s="37" t="s">
        <v>118</v>
      </c>
      <c r="D141" s="37" t="s">
        <v>57</v>
      </c>
      <c r="E141" s="37" t="s">
        <v>6</v>
      </c>
      <c r="F141" s="37" t="s">
        <v>119</v>
      </c>
      <c r="G141" s="37" t="s">
        <v>57</v>
      </c>
      <c r="H141" s="37" t="s">
        <v>120</v>
      </c>
      <c r="I141" s="37" t="s">
        <v>120</v>
      </c>
      <c r="J141" s="37" t="s">
        <v>34</v>
      </c>
      <c r="K141" s="38">
        <v>1.9296169999999999</v>
      </c>
      <c r="L141" s="39"/>
      <c r="M141" s="37"/>
      <c r="N141" s="40">
        <v>0.29499999999999998</v>
      </c>
      <c r="O141" s="38">
        <v>0.29310900000000001</v>
      </c>
      <c r="P141" s="38">
        <v>1.238E-3</v>
      </c>
      <c r="Q141" s="38">
        <v>6.4599999999999998E-4</v>
      </c>
      <c r="R141" s="40">
        <v>0.29499999999999998</v>
      </c>
      <c r="S141" s="38">
        <v>0.29310900000000001</v>
      </c>
      <c r="T141" s="38">
        <v>1.238E-3</v>
      </c>
      <c r="U141" s="38">
        <v>6.4599999999999998E-4</v>
      </c>
      <c r="V141" s="8">
        <f t="shared" si="2"/>
        <v>2022</v>
      </c>
    </row>
    <row r="142" spans="1:22" ht="71.400000000000006" hidden="1" x14ac:dyDescent="0.25">
      <c r="A142" s="36">
        <v>44713</v>
      </c>
      <c r="B142" s="37" t="s">
        <v>23</v>
      </c>
      <c r="C142" s="37" t="s">
        <v>118</v>
      </c>
      <c r="D142" s="37" t="s">
        <v>57</v>
      </c>
      <c r="E142" s="37" t="s">
        <v>6</v>
      </c>
      <c r="F142" s="37" t="s">
        <v>119</v>
      </c>
      <c r="G142" s="37" t="s">
        <v>57</v>
      </c>
      <c r="H142" s="37" t="s">
        <v>120</v>
      </c>
      <c r="I142" s="37" t="s">
        <v>120</v>
      </c>
      <c r="J142" s="37" t="s">
        <v>34</v>
      </c>
      <c r="K142" s="38">
        <v>1.9296169999999999</v>
      </c>
      <c r="L142" s="39"/>
      <c r="M142" s="37"/>
      <c r="N142" s="40">
        <v>0.29499999999999998</v>
      </c>
      <c r="O142" s="38">
        <v>0.29310900000000001</v>
      </c>
      <c r="P142" s="38">
        <v>1.238E-3</v>
      </c>
      <c r="Q142" s="38">
        <v>6.4599999999999998E-4</v>
      </c>
      <c r="R142" s="40">
        <v>0.29499999999999998</v>
      </c>
      <c r="S142" s="38">
        <v>0.29310900000000001</v>
      </c>
      <c r="T142" s="38">
        <v>1.238E-3</v>
      </c>
      <c r="U142" s="38">
        <v>6.4599999999999998E-4</v>
      </c>
      <c r="V142" s="8">
        <f t="shared" si="2"/>
        <v>2022</v>
      </c>
    </row>
    <row r="143" spans="1:22" ht="71.400000000000006" hidden="1" x14ac:dyDescent="0.25">
      <c r="A143" s="36">
        <v>44743</v>
      </c>
      <c r="B143" s="37" t="s">
        <v>23</v>
      </c>
      <c r="C143" s="37" t="s">
        <v>118</v>
      </c>
      <c r="D143" s="37" t="s">
        <v>57</v>
      </c>
      <c r="E143" s="37" t="s">
        <v>6</v>
      </c>
      <c r="F143" s="37" t="s">
        <v>119</v>
      </c>
      <c r="G143" s="37" t="s">
        <v>57</v>
      </c>
      <c r="H143" s="37" t="s">
        <v>120</v>
      </c>
      <c r="I143" s="37" t="s">
        <v>120</v>
      </c>
      <c r="J143" s="37" t="s">
        <v>34</v>
      </c>
      <c r="K143" s="38">
        <v>1.9296169999999999</v>
      </c>
      <c r="L143" s="39"/>
      <c r="M143" s="37"/>
      <c r="N143" s="40">
        <v>0.29499999999999998</v>
      </c>
      <c r="O143" s="38">
        <v>0.29310900000000001</v>
      </c>
      <c r="P143" s="38">
        <v>1.238E-3</v>
      </c>
      <c r="Q143" s="38">
        <v>6.4599999999999998E-4</v>
      </c>
      <c r="R143" s="40">
        <v>0.29499999999999998</v>
      </c>
      <c r="S143" s="38">
        <v>0.29310900000000001</v>
      </c>
      <c r="T143" s="38">
        <v>1.238E-3</v>
      </c>
      <c r="U143" s="38">
        <v>6.4599999999999998E-4</v>
      </c>
      <c r="V143" s="8">
        <f t="shared" si="2"/>
        <v>2022</v>
      </c>
    </row>
    <row r="144" spans="1:22" ht="71.400000000000006" hidden="1" x14ac:dyDescent="0.25">
      <c r="A144" s="36">
        <v>44774</v>
      </c>
      <c r="B144" s="37" t="s">
        <v>23</v>
      </c>
      <c r="C144" s="37" t="s">
        <v>118</v>
      </c>
      <c r="D144" s="37" t="s">
        <v>57</v>
      </c>
      <c r="E144" s="37" t="s">
        <v>6</v>
      </c>
      <c r="F144" s="37" t="s">
        <v>119</v>
      </c>
      <c r="G144" s="37" t="s">
        <v>57</v>
      </c>
      <c r="H144" s="37" t="s">
        <v>120</v>
      </c>
      <c r="I144" s="37" t="s">
        <v>120</v>
      </c>
      <c r="J144" s="37" t="s">
        <v>34</v>
      </c>
      <c r="K144" s="38">
        <v>1.9296169999999999</v>
      </c>
      <c r="L144" s="39"/>
      <c r="M144" s="37"/>
      <c r="N144" s="40">
        <v>0.29499999999999998</v>
      </c>
      <c r="O144" s="38">
        <v>0.29310900000000001</v>
      </c>
      <c r="P144" s="38">
        <v>1.238E-3</v>
      </c>
      <c r="Q144" s="38">
        <v>6.4599999999999998E-4</v>
      </c>
      <c r="R144" s="40">
        <v>0.29499999999999998</v>
      </c>
      <c r="S144" s="38">
        <v>0.29310900000000001</v>
      </c>
      <c r="T144" s="38">
        <v>1.238E-3</v>
      </c>
      <c r="U144" s="38">
        <v>6.4599999999999998E-4</v>
      </c>
      <c r="V144" s="8">
        <f t="shared" si="2"/>
        <v>2022</v>
      </c>
    </row>
    <row r="145" spans="1:22" ht="71.400000000000006" hidden="1" x14ac:dyDescent="0.25">
      <c r="A145" s="36">
        <v>44805</v>
      </c>
      <c r="B145" s="37" t="s">
        <v>23</v>
      </c>
      <c r="C145" s="37" t="s">
        <v>118</v>
      </c>
      <c r="D145" s="37" t="s">
        <v>57</v>
      </c>
      <c r="E145" s="37" t="s">
        <v>6</v>
      </c>
      <c r="F145" s="37" t="s">
        <v>119</v>
      </c>
      <c r="G145" s="37" t="s">
        <v>57</v>
      </c>
      <c r="H145" s="37" t="s">
        <v>120</v>
      </c>
      <c r="I145" s="37" t="s">
        <v>120</v>
      </c>
      <c r="J145" s="37" t="s">
        <v>34</v>
      </c>
      <c r="K145" s="38">
        <v>1.9296169999999999</v>
      </c>
      <c r="L145" s="39"/>
      <c r="M145" s="37"/>
      <c r="N145" s="40">
        <v>0.29499999999999998</v>
      </c>
      <c r="O145" s="38">
        <v>0.29310900000000001</v>
      </c>
      <c r="P145" s="38">
        <v>1.238E-3</v>
      </c>
      <c r="Q145" s="38">
        <v>6.4599999999999998E-4</v>
      </c>
      <c r="R145" s="40">
        <v>0.29499999999999998</v>
      </c>
      <c r="S145" s="38">
        <v>0.29310900000000001</v>
      </c>
      <c r="T145" s="38">
        <v>1.238E-3</v>
      </c>
      <c r="U145" s="38">
        <v>6.4599999999999998E-4</v>
      </c>
      <c r="V145" s="8">
        <f t="shared" si="2"/>
        <v>2022</v>
      </c>
    </row>
    <row r="146" spans="1:22" ht="71.400000000000006" hidden="1" x14ac:dyDescent="0.25">
      <c r="A146" s="36">
        <v>44835</v>
      </c>
      <c r="B146" s="37" t="s">
        <v>23</v>
      </c>
      <c r="C146" s="37" t="s">
        <v>118</v>
      </c>
      <c r="D146" s="37" t="s">
        <v>57</v>
      </c>
      <c r="E146" s="37" t="s">
        <v>6</v>
      </c>
      <c r="F146" s="37" t="s">
        <v>119</v>
      </c>
      <c r="G146" s="37" t="s">
        <v>57</v>
      </c>
      <c r="H146" s="37" t="s">
        <v>120</v>
      </c>
      <c r="I146" s="37" t="s">
        <v>120</v>
      </c>
      <c r="J146" s="37" t="s">
        <v>34</v>
      </c>
      <c r="K146" s="38">
        <v>1.9296169999999999</v>
      </c>
      <c r="L146" s="39"/>
      <c r="M146" s="37"/>
      <c r="N146" s="40">
        <v>0.29499999999999998</v>
      </c>
      <c r="O146" s="38">
        <v>0.29310900000000001</v>
      </c>
      <c r="P146" s="38">
        <v>1.238E-3</v>
      </c>
      <c r="Q146" s="38">
        <v>6.4599999999999998E-4</v>
      </c>
      <c r="R146" s="40">
        <v>0.29499999999999998</v>
      </c>
      <c r="S146" s="38">
        <v>0.29310900000000001</v>
      </c>
      <c r="T146" s="38">
        <v>1.238E-3</v>
      </c>
      <c r="U146" s="38">
        <v>6.4599999999999998E-4</v>
      </c>
      <c r="V146" s="8">
        <f t="shared" si="2"/>
        <v>2022</v>
      </c>
    </row>
    <row r="147" spans="1:22" ht="71.400000000000006" hidden="1" x14ac:dyDescent="0.25">
      <c r="A147" s="36">
        <v>44866</v>
      </c>
      <c r="B147" s="37" t="s">
        <v>23</v>
      </c>
      <c r="C147" s="37" t="s">
        <v>118</v>
      </c>
      <c r="D147" s="37" t="s">
        <v>57</v>
      </c>
      <c r="E147" s="37" t="s">
        <v>6</v>
      </c>
      <c r="F147" s="37" t="s">
        <v>119</v>
      </c>
      <c r="G147" s="37" t="s">
        <v>57</v>
      </c>
      <c r="H147" s="37" t="s">
        <v>120</v>
      </c>
      <c r="I147" s="37" t="s">
        <v>120</v>
      </c>
      <c r="J147" s="37" t="s">
        <v>34</v>
      </c>
      <c r="K147" s="38">
        <v>1.9296169999999999</v>
      </c>
      <c r="L147" s="39"/>
      <c r="M147" s="37"/>
      <c r="N147" s="40">
        <v>0.29499999999999998</v>
      </c>
      <c r="O147" s="38">
        <v>0.29310900000000001</v>
      </c>
      <c r="P147" s="38">
        <v>1.238E-3</v>
      </c>
      <c r="Q147" s="38">
        <v>6.4599999999999998E-4</v>
      </c>
      <c r="R147" s="40">
        <v>0.29499999999999998</v>
      </c>
      <c r="S147" s="38">
        <v>0.29310900000000001</v>
      </c>
      <c r="T147" s="38">
        <v>1.238E-3</v>
      </c>
      <c r="U147" s="38">
        <v>6.4599999999999998E-4</v>
      </c>
      <c r="V147" s="8">
        <f t="shared" si="2"/>
        <v>2022</v>
      </c>
    </row>
    <row r="148" spans="1:22" ht="71.400000000000006" hidden="1" x14ac:dyDescent="0.25">
      <c r="A148" s="36">
        <v>44896</v>
      </c>
      <c r="B148" s="37" t="s">
        <v>23</v>
      </c>
      <c r="C148" s="37" t="s">
        <v>118</v>
      </c>
      <c r="D148" s="37" t="s">
        <v>57</v>
      </c>
      <c r="E148" s="37" t="s">
        <v>6</v>
      </c>
      <c r="F148" s="37" t="s">
        <v>119</v>
      </c>
      <c r="G148" s="37" t="s">
        <v>57</v>
      </c>
      <c r="H148" s="37" t="s">
        <v>120</v>
      </c>
      <c r="I148" s="37" t="s">
        <v>120</v>
      </c>
      <c r="J148" s="37" t="s">
        <v>34</v>
      </c>
      <c r="K148" s="38">
        <v>1.9296169999999999</v>
      </c>
      <c r="L148" s="39"/>
      <c r="M148" s="37"/>
      <c r="N148" s="40">
        <v>0.29499999999999998</v>
      </c>
      <c r="O148" s="38">
        <v>0.29310900000000001</v>
      </c>
      <c r="P148" s="38">
        <v>1.238E-3</v>
      </c>
      <c r="Q148" s="38">
        <v>6.4599999999999998E-4</v>
      </c>
      <c r="R148" s="40">
        <v>0.29499999999999998</v>
      </c>
      <c r="S148" s="38">
        <v>0.29310900000000001</v>
      </c>
      <c r="T148" s="38">
        <v>1.238E-3</v>
      </c>
      <c r="U148" s="38">
        <v>6.4599999999999998E-4</v>
      </c>
      <c r="V148" s="8">
        <f t="shared" si="2"/>
        <v>2022</v>
      </c>
    </row>
    <row r="149" spans="1:22" ht="20.399999999999999" hidden="1" x14ac:dyDescent="0.25">
      <c r="A149" s="36">
        <v>44927</v>
      </c>
      <c r="B149" s="37" t="s">
        <v>19</v>
      </c>
      <c r="C149" s="37" t="s">
        <v>118</v>
      </c>
      <c r="D149" s="37" t="s">
        <v>58</v>
      </c>
      <c r="E149" s="37" t="s">
        <v>5</v>
      </c>
      <c r="F149" s="37" t="s">
        <v>121</v>
      </c>
      <c r="G149" s="37" t="s">
        <v>122</v>
      </c>
      <c r="H149" s="37" t="s">
        <v>111</v>
      </c>
      <c r="I149" s="37" t="s">
        <v>112</v>
      </c>
      <c r="J149" s="37" t="s">
        <v>34</v>
      </c>
      <c r="K149" s="38">
        <v>0</v>
      </c>
      <c r="L149" s="39"/>
      <c r="M149" s="37"/>
      <c r="N149" s="40">
        <v>0</v>
      </c>
      <c r="O149" s="38">
        <v>0</v>
      </c>
      <c r="P149" s="38">
        <v>0</v>
      </c>
      <c r="Q149" s="38">
        <v>0</v>
      </c>
      <c r="R149" s="40">
        <v>0</v>
      </c>
      <c r="S149" s="38">
        <v>0</v>
      </c>
      <c r="T149" s="38">
        <v>0</v>
      </c>
      <c r="U149" s="38">
        <v>0</v>
      </c>
      <c r="V149" s="8">
        <f t="shared" si="2"/>
        <v>2023</v>
      </c>
    </row>
    <row r="150" spans="1:22" ht="20.399999999999999" hidden="1" x14ac:dyDescent="0.25">
      <c r="A150" s="36">
        <v>44958</v>
      </c>
      <c r="B150" s="37" t="s">
        <v>19</v>
      </c>
      <c r="C150" s="37" t="s">
        <v>118</v>
      </c>
      <c r="D150" s="37" t="s">
        <v>58</v>
      </c>
      <c r="E150" s="37" t="s">
        <v>5</v>
      </c>
      <c r="F150" s="37" t="s">
        <v>121</v>
      </c>
      <c r="G150" s="37" t="s">
        <v>122</v>
      </c>
      <c r="H150" s="37" t="s">
        <v>111</v>
      </c>
      <c r="I150" s="37" t="s">
        <v>112</v>
      </c>
      <c r="J150" s="37" t="s">
        <v>34</v>
      </c>
      <c r="K150" s="38">
        <v>0</v>
      </c>
      <c r="L150" s="39"/>
      <c r="M150" s="37"/>
      <c r="N150" s="40">
        <v>0</v>
      </c>
      <c r="O150" s="38">
        <v>0</v>
      </c>
      <c r="P150" s="38">
        <v>0</v>
      </c>
      <c r="Q150" s="38">
        <v>0</v>
      </c>
      <c r="R150" s="40">
        <v>0</v>
      </c>
      <c r="S150" s="38">
        <v>0</v>
      </c>
      <c r="T150" s="38">
        <v>0</v>
      </c>
      <c r="U150" s="38">
        <v>0</v>
      </c>
      <c r="V150" s="8">
        <f t="shared" si="2"/>
        <v>2023</v>
      </c>
    </row>
    <row r="151" spans="1:22" ht="20.399999999999999" hidden="1" x14ac:dyDescent="0.25">
      <c r="A151" s="36">
        <v>44986</v>
      </c>
      <c r="B151" s="37" t="s">
        <v>19</v>
      </c>
      <c r="C151" s="37" t="s">
        <v>118</v>
      </c>
      <c r="D151" s="37" t="s">
        <v>58</v>
      </c>
      <c r="E151" s="37" t="s">
        <v>5</v>
      </c>
      <c r="F151" s="37" t="s">
        <v>121</v>
      </c>
      <c r="G151" s="37" t="s">
        <v>122</v>
      </c>
      <c r="H151" s="37" t="s">
        <v>111</v>
      </c>
      <c r="I151" s="37" t="s">
        <v>112</v>
      </c>
      <c r="J151" s="37" t="s">
        <v>34</v>
      </c>
      <c r="K151" s="38">
        <v>0</v>
      </c>
      <c r="L151" s="39"/>
      <c r="M151" s="37"/>
      <c r="N151" s="40">
        <v>0</v>
      </c>
      <c r="O151" s="38">
        <v>0</v>
      </c>
      <c r="P151" s="38">
        <v>0</v>
      </c>
      <c r="Q151" s="38">
        <v>0</v>
      </c>
      <c r="R151" s="40">
        <v>0</v>
      </c>
      <c r="S151" s="38">
        <v>0</v>
      </c>
      <c r="T151" s="38">
        <v>0</v>
      </c>
      <c r="U151" s="38">
        <v>0</v>
      </c>
      <c r="V151" s="8">
        <f t="shared" si="2"/>
        <v>2023</v>
      </c>
    </row>
    <row r="152" spans="1:22" ht="20.399999999999999" hidden="1" x14ac:dyDescent="0.25">
      <c r="A152" s="36">
        <v>45017</v>
      </c>
      <c r="B152" s="37" t="s">
        <v>19</v>
      </c>
      <c r="C152" s="37" t="s">
        <v>118</v>
      </c>
      <c r="D152" s="37" t="s">
        <v>58</v>
      </c>
      <c r="E152" s="37" t="s">
        <v>5</v>
      </c>
      <c r="F152" s="37" t="s">
        <v>121</v>
      </c>
      <c r="G152" s="37" t="s">
        <v>122</v>
      </c>
      <c r="H152" s="37" t="s">
        <v>111</v>
      </c>
      <c r="I152" s="37" t="s">
        <v>112</v>
      </c>
      <c r="J152" s="37" t="s">
        <v>34</v>
      </c>
      <c r="K152" s="38">
        <v>0</v>
      </c>
      <c r="L152" s="39"/>
      <c r="M152" s="37"/>
      <c r="N152" s="40">
        <v>0</v>
      </c>
      <c r="O152" s="38">
        <v>0</v>
      </c>
      <c r="P152" s="38">
        <v>0</v>
      </c>
      <c r="Q152" s="38">
        <v>0</v>
      </c>
      <c r="R152" s="40">
        <v>0</v>
      </c>
      <c r="S152" s="38">
        <v>0</v>
      </c>
      <c r="T152" s="38">
        <v>0</v>
      </c>
      <c r="U152" s="38">
        <v>0</v>
      </c>
      <c r="V152" s="8">
        <f t="shared" si="2"/>
        <v>2023</v>
      </c>
    </row>
    <row r="153" spans="1:22" ht="20.399999999999999" hidden="1" x14ac:dyDescent="0.25">
      <c r="A153" s="36">
        <v>45047</v>
      </c>
      <c r="B153" s="37" t="s">
        <v>19</v>
      </c>
      <c r="C153" s="37" t="s">
        <v>118</v>
      </c>
      <c r="D153" s="37" t="s">
        <v>58</v>
      </c>
      <c r="E153" s="37" t="s">
        <v>5</v>
      </c>
      <c r="F153" s="37" t="s">
        <v>121</v>
      </c>
      <c r="G153" s="37" t="s">
        <v>122</v>
      </c>
      <c r="H153" s="37" t="s">
        <v>111</v>
      </c>
      <c r="I153" s="37" t="s">
        <v>112</v>
      </c>
      <c r="J153" s="37" t="s">
        <v>34</v>
      </c>
      <c r="K153" s="38">
        <v>0</v>
      </c>
      <c r="L153" s="39"/>
      <c r="M153" s="37"/>
      <c r="N153" s="40">
        <v>0</v>
      </c>
      <c r="O153" s="38">
        <v>0</v>
      </c>
      <c r="P153" s="38">
        <v>0</v>
      </c>
      <c r="Q153" s="38">
        <v>0</v>
      </c>
      <c r="R153" s="40">
        <v>0</v>
      </c>
      <c r="S153" s="38">
        <v>0</v>
      </c>
      <c r="T153" s="38">
        <v>0</v>
      </c>
      <c r="U153" s="38">
        <v>0</v>
      </c>
      <c r="V153" s="8">
        <f t="shared" si="2"/>
        <v>2023</v>
      </c>
    </row>
    <row r="154" spans="1:22" ht="20.399999999999999" hidden="1" x14ac:dyDescent="0.25">
      <c r="A154" s="36">
        <v>45078</v>
      </c>
      <c r="B154" s="37" t="s">
        <v>19</v>
      </c>
      <c r="C154" s="37" t="s">
        <v>118</v>
      </c>
      <c r="D154" s="37" t="s">
        <v>58</v>
      </c>
      <c r="E154" s="37" t="s">
        <v>5</v>
      </c>
      <c r="F154" s="37" t="s">
        <v>121</v>
      </c>
      <c r="G154" s="37" t="s">
        <v>122</v>
      </c>
      <c r="H154" s="37" t="s">
        <v>111</v>
      </c>
      <c r="I154" s="37" t="s">
        <v>112</v>
      </c>
      <c r="J154" s="37" t="s">
        <v>34</v>
      </c>
      <c r="K154" s="38">
        <v>0</v>
      </c>
      <c r="L154" s="39"/>
      <c r="M154" s="37"/>
      <c r="N154" s="40">
        <v>0</v>
      </c>
      <c r="O154" s="38">
        <v>0</v>
      </c>
      <c r="P154" s="38">
        <v>0</v>
      </c>
      <c r="Q154" s="38">
        <v>0</v>
      </c>
      <c r="R154" s="40">
        <v>0</v>
      </c>
      <c r="S154" s="38">
        <v>0</v>
      </c>
      <c r="T154" s="38">
        <v>0</v>
      </c>
      <c r="U154" s="38">
        <v>0</v>
      </c>
      <c r="V154" s="8">
        <f t="shared" si="2"/>
        <v>2023</v>
      </c>
    </row>
    <row r="155" spans="1:22" ht="20.399999999999999" hidden="1" x14ac:dyDescent="0.25">
      <c r="A155" s="36">
        <v>45108</v>
      </c>
      <c r="B155" s="37" t="s">
        <v>19</v>
      </c>
      <c r="C155" s="37" t="s">
        <v>118</v>
      </c>
      <c r="D155" s="37" t="s">
        <v>58</v>
      </c>
      <c r="E155" s="37" t="s">
        <v>5</v>
      </c>
      <c r="F155" s="37" t="s">
        <v>121</v>
      </c>
      <c r="G155" s="37" t="s">
        <v>122</v>
      </c>
      <c r="H155" s="37" t="s">
        <v>111</v>
      </c>
      <c r="I155" s="37" t="s">
        <v>112</v>
      </c>
      <c r="J155" s="37" t="s">
        <v>34</v>
      </c>
      <c r="K155" s="38">
        <v>0</v>
      </c>
      <c r="L155" s="39"/>
      <c r="M155" s="37"/>
      <c r="N155" s="40">
        <v>0</v>
      </c>
      <c r="O155" s="38">
        <v>0</v>
      </c>
      <c r="P155" s="38">
        <v>0</v>
      </c>
      <c r="Q155" s="38">
        <v>0</v>
      </c>
      <c r="R155" s="40">
        <v>0</v>
      </c>
      <c r="S155" s="38">
        <v>0</v>
      </c>
      <c r="T155" s="38">
        <v>0</v>
      </c>
      <c r="U155" s="38">
        <v>0</v>
      </c>
      <c r="V155" s="8">
        <f t="shared" si="2"/>
        <v>2023</v>
      </c>
    </row>
    <row r="156" spans="1:22" ht="20.399999999999999" hidden="1" x14ac:dyDescent="0.25">
      <c r="A156" s="36">
        <v>45139</v>
      </c>
      <c r="B156" s="37" t="s">
        <v>19</v>
      </c>
      <c r="C156" s="37" t="s">
        <v>118</v>
      </c>
      <c r="D156" s="37" t="s">
        <v>58</v>
      </c>
      <c r="E156" s="37" t="s">
        <v>5</v>
      </c>
      <c r="F156" s="37" t="s">
        <v>121</v>
      </c>
      <c r="G156" s="37" t="s">
        <v>122</v>
      </c>
      <c r="H156" s="37" t="s">
        <v>111</v>
      </c>
      <c r="I156" s="37" t="s">
        <v>112</v>
      </c>
      <c r="J156" s="37" t="s">
        <v>34</v>
      </c>
      <c r="K156" s="38">
        <v>0</v>
      </c>
      <c r="L156" s="39"/>
      <c r="M156" s="37"/>
      <c r="N156" s="40">
        <v>0</v>
      </c>
      <c r="O156" s="38">
        <v>0</v>
      </c>
      <c r="P156" s="38">
        <v>0</v>
      </c>
      <c r="Q156" s="38">
        <v>0</v>
      </c>
      <c r="R156" s="40">
        <v>0</v>
      </c>
      <c r="S156" s="38">
        <v>0</v>
      </c>
      <c r="T156" s="38">
        <v>0</v>
      </c>
      <c r="U156" s="38">
        <v>0</v>
      </c>
      <c r="V156" s="8">
        <f t="shared" si="2"/>
        <v>2023</v>
      </c>
    </row>
    <row r="157" spans="1:22" ht="20.399999999999999" hidden="1" x14ac:dyDescent="0.25">
      <c r="A157" s="36">
        <v>45170</v>
      </c>
      <c r="B157" s="37" t="s">
        <v>19</v>
      </c>
      <c r="C157" s="37" t="s">
        <v>118</v>
      </c>
      <c r="D157" s="37" t="s">
        <v>58</v>
      </c>
      <c r="E157" s="37" t="s">
        <v>5</v>
      </c>
      <c r="F157" s="37" t="s">
        <v>121</v>
      </c>
      <c r="G157" s="37" t="s">
        <v>122</v>
      </c>
      <c r="H157" s="37" t="s">
        <v>111</v>
      </c>
      <c r="I157" s="37" t="s">
        <v>112</v>
      </c>
      <c r="J157" s="37" t="s">
        <v>34</v>
      </c>
      <c r="K157" s="38">
        <v>0</v>
      </c>
      <c r="L157" s="39"/>
      <c r="M157" s="37"/>
      <c r="N157" s="40">
        <v>0</v>
      </c>
      <c r="O157" s="38">
        <v>0</v>
      </c>
      <c r="P157" s="38">
        <v>0</v>
      </c>
      <c r="Q157" s="38">
        <v>0</v>
      </c>
      <c r="R157" s="40">
        <v>0</v>
      </c>
      <c r="S157" s="38">
        <v>0</v>
      </c>
      <c r="T157" s="38">
        <v>0</v>
      </c>
      <c r="U157" s="38">
        <v>0</v>
      </c>
      <c r="V157" s="8">
        <f t="shared" si="2"/>
        <v>2023</v>
      </c>
    </row>
    <row r="158" spans="1:22" ht="20.399999999999999" hidden="1" x14ac:dyDescent="0.25">
      <c r="A158" s="36">
        <v>45200</v>
      </c>
      <c r="B158" s="37" t="s">
        <v>19</v>
      </c>
      <c r="C158" s="37" t="s">
        <v>118</v>
      </c>
      <c r="D158" s="37" t="s">
        <v>58</v>
      </c>
      <c r="E158" s="37" t="s">
        <v>5</v>
      </c>
      <c r="F158" s="37" t="s">
        <v>121</v>
      </c>
      <c r="G158" s="37" t="s">
        <v>122</v>
      </c>
      <c r="H158" s="37" t="s">
        <v>111</v>
      </c>
      <c r="I158" s="37" t="s">
        <v>112</v>
      </c>
      <c r="J158" s="37" t="s">
        <v>34</v>
      </c>
      <c r="K158" s="38">
        <v>0</v>
      </c>
      <c r="L158" s="39"/>
      <c r="M158" s="37"/>
      <c r="N158" s="40">
        <v>0</v>
      </c>
      <c r="O158" s="38">
        <v>0</v>
      </c>
      <c r="P158" s="38">
        <v>0</v>
      </c>
      <c r="Q158" s="38">
        <v>0</v>
      </c>
      <c r="R158" s="40">
        <v>0</v>
      </c>
      <c r="S158" s="38">
        <v>0</v>
      </c>
      <c r="T158" s="38">
        <v>0</v>
      </c>
      <c r="U158" s="38">
        <v>0</v>
      </c>
      <c r="V158" s="8">
        <f t="shared" si="2"/>
        <v>2023</v>
      </c>
    </row>
    <row r="159" spans="1:22" ht="20.399999999999999" hidden="1" x14ac:dyDescent="0.25">
      <c r="A159" s="36">
        <v>45231</v>
      </c>
      <c r="B159" s="37" t="s">
        <v>19</v>
      </c>
      <c r="C159" s="37" t="s">
        <v>118</v>
      </c>
      <c r="D159" s="37" t="s">
        <v>58</v>
      </c>
      <c r="E159" s="37" t="s">
        <v>5</v>
      </c>
      <c r="F159" s="37" t="s">
        <v>121</v>
      </c>
      <c r="G159" s="37" t="s">
        <v>122</v>
      </c>
      <c r="H159" s="37" t="s">
        <v>111</v>
      </c>
      <c r="I159" s="37" t="s">
        <v>112</v>
      </c>
      <c r="J159" s="37" t="s">
        <v>34</v>
      </c>
      <c r="K159" s="38">
        <v>0</v>
      </c>
      <c r="L159" s="39"/>
      <c r="M159" s="37"/>
      <c r="N159" s="40">
        <v>0</v>
      </c>
      <c r="O159" s="38">
        <v>0</v>
      </c>
      <c r="P159" s="38">
        <v>0</v>
      </c>
      <c r="Q159" s="38">
        <v>0</v>
      </c>
      <c r="R159" s="40">
        <v>0</v>
      </c>
      <c r="S159" s="38">
        <v>0</v>
      </c>
      <c r="T159" s="38">
        <v>0</v>
      </c>
      <c r="U159" s="38">
        <v>0</v>
      </c>
      <c r="V159" s="8">
        <f t="shared" si="2"/>
        <v>2023</v>
      </c>
    </row>
    <row r="160" spans="1:22" ht="20.399999999999999" hidden="1" x14ac:dyDescent="0.25">
      <c r="A160" s="36">
        <v>45261</v>
      </c>
      <c r="B160" s="37" t="s">
        <v>19</v>
      </c>
      <c r="C160" s="37" t="s">
        <v>118</v>
      </c>
      <c r="D160" s="37" t="s">
        <v>58</v>
      </c>
      <c r="E160" s="37" t="s">
        <v>5</v>
      </c>
      <c r="F160" s="37" t="s">
        <v>121</v>
      </c>
      <c r="G160" s="37" t="s">
        <v>122</v>
      </c>
      <c r="H160" s="37" t="s">
        <v>111</v>
      </c>
      <c r="I160" s="37" t="s">
        <v>112</v>
      </c>
      <c r="J160" s="37" t="s">
        <v>34</v>
      </c>
      <c r="K160" s="38">
        <v>0</v>
      </c>
      <c r="L160" s="39"/>
      <c r="M160" s="37"/>
      <c r="N160" s="40">
        <v>0</v>
      </c>
      <c r="O160" s="38">
        <v>0</v>
      </c>
      <c r="P160" s="38">
        <v>0</v>
      </c>
      <c r="Q160" s="38">
        <v>0</v>
      </c>
      <c r="R160" s="40">
        <v>0</v>
      </c>
      <c r="S160" s="38">
        <v>0</v>
      </c>
      <c r="T160" s="38">
        <v>0</v>
      </c>
      <c r="U160" s="38">
        <v>0</v>
      </c>
      <c r="V160" s="8">
        <f t="shared" si="2"/>
        <v>2023</v>
      </c>
    </row>
    <row r="161" spans="1:22" ht="20.399999999999999" hidden="1" x14ac:dyDescent="0.25">
      <c r="A161" s="36">
        <v>44562</v>
      </c>
      <c r="B161" s="37" t="s">
        <v>23</v>
      </c>
      <c r="C161" s="37" t="s">
        <v>118</v>
      </c>
      <c r="D161" s="37" t="s">
        <v>58</v>
      </c>
      <c r="E161" s="37" t="s">
        <v>6</v>
      </c>
      <c r="F161" s="37" t="s">
        <v>121</v>
      </c>
      <c r="G161" s="37" t="s">
        <v>122</v>
      </c>
      <c r="H161" s="37" t="s">
        <v>111</v>
      </c>
      <c r="I161" s="37" t="s">
        <v>112</v>
      </c>
      <c r="J161" s="37" t="s">
        <v>34</v>
      </c>
      <c r="K161" s="38">
        <v>0.62647600000000003</v>
      </c>
      <c r="L161" s="39"/>
      <c r="M161" s="37"/>
      <c r="N161" s="40">
        <v>0.19400000000000001</v>
      </c>
      <c r="O161" s="38">
        <v>0.19308</v>
      </c>
      <c r="P161" s="38">
        <v>3.4400000000000001E-4</v>
      </c>
      <c r="Q161" s="38">
        <v>2.7999999999999998E-4</v>
      </c>
      <c r="R161" s="40">
        <v>0.19400000000000001</v>
      </c>
      <c r="S161" s="38">
        <v>0.19308</v>
      </c>
      <c r="T161" s="38">
        <v>3.4400000000000001E-4</v>
      </c>
      <c r="U161" s="38">
        <v>2.7999999999999998E-4</v>
      </c>
      <c r="V161" s="8">
        <f t="shared" si="2"/>
        <v>2022</v>
      </c>
    </row>
    <row r="162" spans="1:22" ht="20.399999999999999" hidden="1" x14ac:dyDescent="0.25">
      <c r="A162" s="36">
        <v>44593</v>
      </c>
      <c r="B162" s="37" t="s">
        <v>23</v>
      </c>
      <c r="C162" s="37" t="s">
        <v>118</v>
      </c>
      <c r="D162" s="37" t="s">
        <v>58</v>
      </c>
      <c r="E162" s="37" t="s">
        <v>6</v>
      </c>
      <c r="F162" s="37" t="s">
        <v>121</v>
      </c>
      <c r="G162" s="37" t="s">
        <v>122</v>
      </c>
      <c r="H162" s="37" t="s">
        <v>111</v>
      </c>
      <c r="I162" s="37" t="s">
        <v>112</v>
      </c>
      <c r="J162" s="37" t="s">
        <v>34</v>
      </c>
      <c r="K162" s="38">
        <v>0.62647600000000003</v>
      </c>
      <c r="L162" s="39"/>
      <c r="M162" s="37"/>
      <c r="N162" s="40">
        <v>0.19400000000000001</v>
      </c>
      <c r="O162" s="38">
        <v>0.19308</v>
      </c>
      <c r="P162" s="38">
        <v>3.4400000000000001E-4</v>
      </c>
      <c r="Q162" s="38">
        <v>2.7999999999999998E-4</v>
      </c>
      <c r="R162" s="40">
        <v>0.19400000000000001</v>
      </c>
      <c r="S162" s="38">
        <v>0.19308</v>
      </c>
      <c r="T162" s="38">
        <v>3.4400000000000001E-4</v>
      </c>
      <c r="U162" s="38">
        <v>2.7999999999999998E-4</v>
      </c>
      <c r="V162" s="8">
        <f t="shared" si="2"/>
        <v>2022</v>
      </c>
    </row>
    <row r="163" spans="1:22" ht="20.399999999999999" hidden="1" x14ac:dyDescent="0.25">
      <c r="A163" s="36">
        <v>44621</v>
      </c>
      <c r="B163" s="37" t="s">
        <v>23</v>
      </c>
      <c r="C163" s="37" t="s">
        <v>118</v>
      </c>
      <c r="D163" s="37" t="s">
        <v>58</v>
      </c>
      <c r="E163" s="37" t="s">
        <v>6</v>
      </c>
      <c r="F163" s="37" t="s">
        <v>121</v>
      </c>
      <c r="G163" s="37" t="s">
        <v>122</v>
      </c>
      <c r="H163" s="37" t="s">
        <v>111</v>
      </c>
      <c r="I163" s="37" t="s">
        <v>112</v>
      </c>
      <c r="J163" s="37" t="s">
        <v>34</v>
      </c>
      <c r="K163" s="38">
        <v>0.62647600000000003</v>
      </c>
      <c r="L163" s="39"/>
      <c r="M163" s="37"/>
      <c r="N163" s="40">
        <v>0.19400000000000001</v>
      </c>
      <c r="O163" s="38">
        <v>0.19308</v>
      </c>
      <c r="P163" s="38">
        <v>3.4400000000000001E-4</v>
      </c>
      <c r="Q163" s="38">
        <v>2.7999999999999998E-4</v>
      </c>
      <c r="R163" s="40">
        <v>0.19400000000000001</v>
      </c>
      <c r="S163" s="38">
        <v>0.19308</v>
      </c>
      <c r="T163" s="38">
        <v>3.4400000000000001E-4</v>
      </c>
      <c r="U163" s="38">
        <v>2.7999999999999998E-4</v>
      </c>
      <c r="V163" s="8">
        <f t="shared" si="2"/>
        <v>2022</v>
      </c>
    </row>
    <row r="164" spans="1:22" ht="20.399999999999999" hidden="1" x14ac:dyDescent="0.25">
      <c r="A164" s="36">
        <v>44652</v>
      </c>
      <c r="B164" s="37" t="s">
        <v>23</v>
      </c>
      <c r="C164" s="37" t="s">
        <v>118</v>
      </c>
      <c r="D164" s="37" t="s">
        <v>58</v>
      </c>
      <c r="E164" s="37" t="s">
        <v>6</v>
      </c>
      <c r="F164" s="37" t="s">
        <v>121</v>
      </c>
      <c r="G164" s="37" t="s">
        <v>122</v>
      </c>
      <c r="H164" s="37" t="s">
        <v>111</v>
      </c>
      <c r="I164" s="37" t="s">
        <v>112</v>
      </c>
      <c r="J164" s="37" t="s">
        <v>34</v>
      </c>
      <c r="K164" s="38">
        <v>0.62647600000000003</v>
      </c>
      <c r="L164" s="39"/>
      <c r="M164" s="37"/>
      <c r="N164" s="40">
        <v>0.19400000000000001</v>
      </c>
      <c r="O164" s="38">
        <v>0.19308</v>
      </c>
      <c r="P164" s="38">
        <v>3.4400000000000001E-4</v>
      </c>
      <c r="Q164" s="38">
        <v>2.7999999999999998E-4</v>
      </c>
      <c r="R164" s="40">
        <v>0.19400000000000001</v>
      </c>
      <c r="S164" s="38">
        <v>0.19308</v>
      </c>
      <c r="T164" s="38">
        <v>3.4400000000000001E-4</v>
      </c>
      <c r="U164" s="38">
        <v>2.7999999999999998E-4</v>
      </c>
      <c r="V164" s="8">
        <f t="shared" si="2"/>
        <v>2022</v>
      </c>
    </row>
    <row r="165" spans="1:22" ht="20.399999999999999" hidden="1" x14ac:dyDescent="0.25">
      <c r="A165" s="36">
        <v>44682</v>
      </c>
      <c r="B165" s="37" t="s">
        <v>23</v>
      </c>
      <c r="C165" s="37" t="s">
        <v>118</v>
      </c>
      <c r="D165" s="37" t="s">
        <v>58</v>
      </c>
      <c r="E165" s="37" t="s">
        <v>6</v>
      </c>
      <c r="F165" s="37" t="s">
        <v>121</v>
      </c>
      <c r="G165" s="37" t="s">
        <v>122</v>
      </c>
      <c r="H165" s="37" t="s">
        <v>111</v>
      </c>
      <c r="I165" s="37" t="s">
        <v>112</v>
      </c>
      <c r="J165" s="37" t="s">
        <v>34</v>
      </c>
      <c r="K165" s="38">
        <v>0.62647600000000003</v>
      </c>
      <c r="L165" s="39"/>
      <c r="M165" s="37"/>
      <c r="N165" s="40">
        <v>0.19400000000000001</v>
      </c>
      <c r="O165" s="38">
        <v>0.19308</v>
      </c>
      <c r="P165" s="38">
        <v>3.4400000000000001E-4</v>
      </c>
      <c r="Q165" s="38">
        <v>2.7999999999999998E-4</v>
      </c>
      <c r="R165" s="40">
        <v>0.19400000000000001</v>
      </c>
      <c r="S165" s="38">
        <v>0.19308</v>
      </c>
      <c r="T165" s="38">
        <v>3.4400000000000001E-4</v>
      </c>
      <c r="U165" s="38">
        <v>2.7999999999999998E-4</v>
      </c>
      <c r="V165" s="8">
        <f t="shared" si="2"/>
        <v>2022</v>
      </c>
    </row>
    <row r="166" spans="1:22" ht="20.399999999999999" hidden="1" x14ac:dyDescent="0.25">
      <c r="A166" s="36">
        <v>44713</v>
      </c>
      <c r="B166" s="37" t="s">
        <v>23</v>
      </c>
      <c r="C166" s="37" t="s">
        <v>118</v>
      </c>
      <c r="D166" s="37" t="s">
        <v>58</v>
      </c>
      <c r="E166" s="37" t="s">
        <v>6</v>
      </c>
      <c r="F166" s="37" t="s">
        <v>121</v>
      </c>
      <c r="G166" s="37" t="s">
        <v>122</v>
      </c>
      <c r="H166" s="37" t="s">
        <v>111</v>
      </c>
      <c r="I166" s="37" t="s">
        <v>112</v>
      </c>
      <c r="J166" s="37" t="s">
        <v>34</v>
      </c>
      <c r="K166" s="38">
        <v>0.62647600000000003</v>
      </c>
      <c r="L166" s="39"/>
      <c r="M166" s="37"/>
      <c r="N166" s="40">
        <v>0.19400000000000001</v>
      </c>
      <c r="O166" s="38">
        <v>0.19308</v>
      </c>
      <c r="P166" s="38">
        <v>3.4400000000000001E-4</v>
      </c>
      <c r="Q166" s="38">
        <v>2.7999999999999998E-4</v>
      </c>
      <c r="R166" s="40">
        <v>0.19400000000000001</v>
      </c>
      <c r="S166" s="38">
        <v>0.19308</v>
      </c>
      <c r="T166" s="38">
        <v>3.4400000000000001E-4</v>
      </c>
      <c r="U166" s="38">
        <v>2.7999999999999998E-4</v>
      </c>
      <c r="V166" s="8">
        <f t="shared" si="2"/>
        <v>2022</v>
      </c>
    </row>
    <row r="167" spans="1:22" ht="20.399999999999999" hidden="1" x14ac:dyDescent="0.25">
      <c r="A167" s="36">
        <v>44743</v>
      </c>
      <c r="B167" s="37" t="s">
        <v>23</v>
      </c>
      <c r="C167" s="37" t="s">
        <v>118</v>
      </c>
      <c r="D167" s="37" t="s">
        <v>58</v>
      </c>
      <c r="E167" s="37" t="s">
        <v>6</v>
      </c>
      <c r="F167" s="37" t="s">
        <v>121</v>
      </c>
      <c r="G167" s="37" t="s">
        <v>122</v>
      </c>
      <c r="H167" s="37" t="s">
        <v>111</v>
      </c>
      <c r="I167" s="37" t="s">
        <v>112</v>
      </c>
      <c r="J167" s="37" t="s">
        <v>34</v>
      </c>
      <c r="K167" s="38">
        <v>0.62647600000000003</v>
      </c>
      <c r="L167" s="39"/>
      <c r="M167" s="37"/>
      <c r="N167" s="40">
        <v>0.19400000000000001</v>
      </c>
      <c r="O167" s="38">
        <v>0.19308</v>
      </c>
      <c r="P167" s="38">
        <v>3.4400000000000001E-4</v>
      </c>
      <c r="Q167" s="38">
        <v>2.7999999999999998E-4</v>
      </c>
      <c r="R167" s="40">
        <v>0.19400000000000001</v>
      </c>
      <c r="S167" s="38">
        <v>0.19308</v>
      </c>
      <c r="T167" s="38">
        <v>3.4400000000000001E-4</v>
      </c>
      <c r="U167" s="38">
        <v>2.7999999999999998E-4</v>
      </c>
      <c r="V167" s="8">
        <f t="shared" si="2"/>
        <v>2022</v>
      </c>
    </row>
    <row r="168" spans="1:22" ht="20.399999999999999" hidden="1" x14ac:dyDescent="0.25">
      <c r="A168" s="36">
        <v>44774</v>
      </c>
      <c r="B168" s="37" t="s">
        <v>23</v>
      </c>
      <c r="C168" s="37" t="s">
        <v>118</v>
      </c>
      <c r="D168" s="37" t="s">
        <v>58</v>
      </c>
      <c r="E168" s="37" t="s">
        <v>6</v>
      </c>
      <c r="F168" s="37" t="s">
        <v>121</v>
      </c>
      <c r="G168" s="37" t="s">
        <v>122</v>
      </c>
      <c r="H168" s="37" t="s">
        <v>111</v>
      </c>
      <c r="I168" s="37" t="s">
        <v>112</v>
      </c>
      <c r="J168" s="37" t="s">
        <v>34</v>
      </c>
      <c r="K168" s="38">
        <v>0.62647600000000003</v>
      </c>
      <c r="L168" s="39"/>
      <c r="M168" s="37"/>
      <c r="N168" s="40">
        <v>0.19400000000000001</v>
      </c>
      <c r="O168" s="38">
        <v>0.19308</v>
      </c>
      <c r="P168" s="38">
        <v>3.4400000000000001E-4</v>
      </c>
      <c r="Q168" s="38">
        <v>2.7999999999999998E-4</v>
      </c>
      <c r="R168" s="40">
        <v>0.19400000000000001</v>
      </c>
      <c r="S168" s="38">
        <v>0.19308</v>
      </c>
      <c r="T168" s="38">
        <v>3.4400000000000001E-4</v>
      </c>
      <c r="U168" s="38">
        <v>2.7999999999999998E-4</v>
      </c>
      <c r="V168" s="8">
        <f t="shared" si="2"/>
        <v>2022</v>
      </c>
    </row>
    <row r="169" spans="1:22" ht="20.399999999999999" hidden="1" x14ac:dyDescent="0.25">
      <c r="A169" s="36">
        <v>44805</v>
      </c>
      <c r="B169" s="37" t="s">
        <v>23</v>
      </c>
      <c r="C169" s="37" t="s">
        <v>118</v>
      </c>
      <c r="D169" s="37" t="s">
        <v>58</v>
      </c>
      <c r="E169" s="37" t="s">
        <v>6</v>
      </c>
      <c r="F169" s="37" t="s">
        <v>121</v>
      </c>
      <c r="G169" s="37" t="s">
        <v>122</v>
      </c>
      <c r="H169" s="37" t="s">
        <v>111</v>
      </c>
      <c r="I169" s="37" t="s">
        <v>112</v>
      </c>
      <c r="J169" s="37" t="s">
        <v>34</v>
      </c>
      <c r="K169" s="38">
        <v>0.62647600000000003</v>
      </c>
      <c r="L169" s="39"/>
      <c r="M169" s="37"/>
      <c r="N169" s="40">
        <v>0.19400000000000001</v>
      </c>
      <c r="O169" s="38">
        <v>0.19308</v>
      </c>
      <c r="P169" s="38">
        <v>3.4400000000000001E-4</v>
      </c>
      <c r="Q169" s="38">
        <v>2.7999999999999998E-4</v>
      </c>
      <c r="R169" s="40">
        <v>0.19400000000000001</v>
      </c>
      <c r="S169" s="38">
        <v>0.19308</v>
      </c>
      <c r="T169" s="38">
        <v>3.4400000000000001E-4</v>
      </c>
      <c r="U169" s="38">
        <v>2.7999999999999998E-4</v>
      </c>
      <c r="V169" s="8">
        <f t="shared" si="2"/>
        <v>2022</v>
      </c>
    </row>
    <row r="170" spans="1:22" ht="20.399999999999999" hidden="1" x14ac:dyDescent="0.25">
      <c r="A170" s="36">
        <v>44835</v>
      </c>
      <c r="B170" s="37" t="s">
        <v>23</v>
      </c>
      <c r="C170" s="37" t="s">
        <v>118</v>
      </c>
      <c r="D170" s="37" t="s">
        <v>58</v>
      </c>
      <c r="E170" s="37" t="s">
        <v>6</v>
      </c>
      <c r="F170" s="37" t="s">
        <v>121</v>
      </c>
      <c r="G170" s="37" t="s">
        <v>122</v>
      </c>
      <c r="H170" s="37" t="s">
        <v>111</v>
      </c>
      <c r="I170" s="37" t="s">
        <v>112</v>
      </c>
      <c r="J170" s="37" t="s">
        <v>34</v>
      </c>
      <c r="K170" s="38">
        <v>0.62647600000000003</v>
      </c>
      <c r="L170" s="39"/>
      <c r="M170" s="37"/>
      <c r="N170" s="40">
        <v>0.19400000000000001</v>
      </c>
      <c r="O170" s="38">
        <v>0.19308</v>
      </c>
      <c r="P170" s="38">
        <v>3.4400000000000001E-4</v>
      </c>
      <c r="Q170" s="38">
        <v>2.7999999999999998E-4</v>
      </c>
      <c r="R170" s="40">
        <v>0.19400000000000001</v>
      </c>
      <c r="S170" s="38">
        <v>0.19308</v>
      </c>
      <c r="T170" s="38">
        <v>3.4400000000000001E-4</v>
      </c>
      <c r="U170" s="38">
        <v>2.7999999999999998E-4</v>
      </c>
      <c r="V170" s="8">
        <f t="shared" si="2"/>
        <v>2022</v>
      </c>
    </row>
    <row r="171" spans="1:22" ht="20.399999999999999" hidden="1" x14ac:dyDescent="0.25">
      <c r="A171" s="36">
        <v>44866</v>
      </c>
      <c r="B171" s="37" t="s">
        <v>23</v>
      </c>
      <c r="C171" s="37" t="s">
        <v>118</v>
      </c>
      <c r="D171" s="37" t="s">
        <v>58</v>
      </c>
      <c r="E171" s="37" t="s">
        <v>6</v>
      </c>
      <c r="F171" s="37" t="s">
        <v>121</v>
      </c>
      <c r="G171" s="37" t="s">
        <v>122</v>
      </c>
      <c r="H171" s="37" t="s">
        <v>111</v>
      </c>
      <c r="I171" s="37" t="s">
        <v>112</v>
      </c>
      <c r="J171" s="37" t="s">
        <v>34</v>
      </c>
      <c r="K171" s="38">
        <v>0.62647600000000003</v>
      </c>
      <c r="L171" s="39"/>
      <c r="M171" s="37"/>
      <c r="N171" s="40">
        <v>0.19400000000000001</v>
      </c>
      <c r="O171" s="38">
        <v>0.19308</v>
      </c>
      <c r="P171" s="38">
        <v>3.4400000000000001E-4</v>
      </c>
      <c r="Q171" s="38">
        <v>2.7999999999999998E-4</v>
      </c>
      <c r="R171" s="40">
        <v>0.19400000000000001</v>
      </c>
      <c r="S171" s="38">
        <v>0.19308</v>
      </c>
      <c r="T171" s="38">
        <v>3.4400000000000001E-4</v>
      </c>
      <c r="U171" s="38">
        <v>2.7999999999999998E-4</v>
      </c>
      <c r="V171" s="8">
        <f t="shared" si="2"/>
        <v>2022</v>
      </c>
    </row>
    <row r="172" spans="1:22" ht="20.399999999999999" hidden="1" x14ac:dyDescent="0.25">
      <c r="A172" s="36">
        <v>44896</v>
      </c>
      <c r="B172" s="37" t="s">
        <v>23</v>
      </c>
      <c r="C172" s="37" t="s">
        <v>118</v>
      </c>
      <c r="D172" s="37" t="s">
        <v>58</v>
      </c>
      <c r="E172" s="37" t="s">
        <v>6</v>
      </c>
      <c r="F172" s="37" t="s">
        <v>121</v>
      </c>
      <c r="G172" s="37" t="s">
        <v>122</v>
      </c>
      <c r="H172" s="37" t="s">
        <v>111</v>
      </c>
      <c r="I172" s="37" t="s">
        <v>112</v>
      </c>
      <c r="J172" s="37" t="s">
        <v>34</v>
      </c>
      <c r="K172" s="38">
        <v>0.62647600000000003</v>
      </c>
      <c r="L172" s="39"/>
      <c r="M172" s="37"/>
      <c r="N172" s="40">
        <v>0.19400000000000001</v>
      </c>
      <c r="O172" s="38">
        <v>0.19308</v>
      </c>
      <c r="P172" s="38">
        <v>3.4400000000000001E-4</v>
      </c>
      <c r="Q172" s="38">
        <v>2.7999999999999998E-4</v>
      </c>
      <c r="R172" s="40">
        <v>0.19400000000000001</v>
      </c>
      <c r="S172" s="38">
        <v>0.19308</v>
      </c>
      <c r="T172" s="38">
        <v>3.4400000000000001E-4</v>
      </c>
      <c r="U172" s="38">
        <v>2.7999999999999998E-4</v>
      </c>
      <c r="V172" s="8">
        <f t="shared" si="2"/>
        <v>2022</v>
      </c>
    </row>
    <row r="173" spans="1:22" hidden="1" x14ac:dyDescent="0.25">
      <c r="A173" s="36">
        <v>44562</v>
      </c>
      <c r="B173" s="37" t="s">
        <v>11</v>
      </c>
      <c r="C173" s="37" t="s">
        <v>123</v>
      </c>
      <c r="D173" s="37" t="s">
        <v>59</v>
      </c>
      <c r="E173" s="37" t="s">
        <v>5</v>
      </c>
      <c r="F173" s="37" t="s">
        <v>124</v>
      </c>
      <c r="G173" s="37" t="s">
        <v>125</v>
      </c>
      <c r="H173" s="37" t="s">
        <v>126</v>
      </c>
      <c r="I173" s="37" t="s">
        <v>127</v>
      </c>
      <c r="J173" s="37" t="s">
        <v>34</v>
      </c>
      <c r="K173" s="38">
        <v>0</v>
      </c>
      <c r="L173" s="39"/>
      <c r="M173" s="37" t="s">
        <v>117</v>
      </c>
      <c r="N173" s="40">
        <v>0</v>
      </c>
      <c r="O173" s="38">
        <v>0</v>
      </c>
      <c r="P173" s="38">
        <v>0</v>
      </c>
      <c r="Q173" s="38">
        <v>0</v>
      </c>
      <c r="R173" s="40">
        <v>0</v>
      </c>
      <c r="S173" s="38">
        <v>0</v>
      </c>
      <c r="T173" s="38">
        <v>0</v>
      </c>
      <c r="U173" s="38">
        <v>0</v>
      </c>
      <c r="V173" s="8">
        <f t="shared" si="2"/>
        <v>2022</v>
      </c>
    </row>
    <row r="174" spans="1:22" hidden="1" x14ac:dyDescent="0.25">
      <c r="A174" s="36">
        <v>44562</v>
      </c>
      <c r="B174" s="37" t="s">
        <v>19</v>
      </c>
      <c r="C174" s="37" t="s">
        <v>123</v>
      </c>
      <c r="D174" s="37" t="s">
        <v>59</v>
      </c>
      <c r="E174" s="37" t="s">
        <v>5</v>
      </c>
      <c r="F174" s="37" t="s">
        <v>124</v>
      </c>
      <c r="G174" s="37" t="s">
        <v>125</v>
      </c>
      <c r="H174" s="37" t="s">
        <v>126</v>
      </c>
      <c r="I174" s="37" t="s">
        <v>127</v>
      </c>
      <c r="J174" s="37" t="s">
        <v>34</v>
      </c>
      <c r="K174" s="38">
        <v>1006.021604</v>
      </c>
      <c r="L174" s="42">
        <v>19945.21</v>
      </c>
      <c r="M174" s="37" t="s">
        <v>117</v>
      </c>
      <c r="N174" s="40">
        <v>182.334</v>
      </c>
      <c r="O174" s="38">
        <v>182.13843600000001</v>
      </c>
      <c r="P174" s="38">
        <v>9.3712000000000004E-2</v>
      </c>
      <c r="Q174" s="38">
        <v>0.102294</v>
      </c>
      <c r="R174" s="40">
        <v>182.334</v>
      </c>
      <c r="S174" s="38">
        <v>182.13843600000001</v>
      </c>
      <c r="T174" s="38">
        <v>9.3712000000000004E-2</v>
      </c>
      <c r="U174" s="38">
        <v>0.102294</v>
      </c>
      <c r="V174" s="8">
        <f t="shared" si="2"/>
        <v>2022</v>
      </c>
    </row>
    <row r="175" spans="1:22" hidden="1" x14ac:dyDescent="0.25">
      <c r="A175" s="36">
        <v>44562</v>
      </c>
      <c r="B175" s="37" t="s">
        <v>20</v>
      </c>
      <c r="C175" s="37" t="s">
        <v>123</v>
      </c>
      <c r="D175" s="37" t="s">
        <v>59</v>
      </c>
      <c r="E175" s="37" t="s">
        <v>5</v>
      </c>
      <c r="F175" s="37" t="s">
        <v>124</v>
      </c>
      <c r="G175" s="37" t="s">
        <v>125</v>
      </c>
      <c r="H175" s="37" t="s">
        <v>126</v>
      </c>
      <c r="I175" s="37" t="s">
        <v>127</v>
      </c>
      <c r="J175" s="37" t="s">
        <v>34</v>
      </c>
      <c r="K175" s="38">
        <v>0.99040899999999998</v>
      </c>
      <c r="L175" s="39"/>
      <c r="M175" s="37" t="s">
        <v>117</v>
      </c>
      <c r="N175" s="40">
        <v>0.21299999999999999</v>
      </c>
      <c r="O175" s="38">
        <v>0.21246399999999999</v>
      </c>
      <c r="P175" s="38">
        <v>5.5400000000000002E-4</v>
      </c>
      <c r="Q175" s="38">
        <v>3.0200000000000002E-4</v>
      </c>
      <c r="R175" s="39" t="s">
        <v>117</v>
      </c>
      <c r="S175" s="39"/>
      <c r="T175" s="39"/>
      <c r="U175" s="39"/>
      <c r="V175" s="8">
        <f t="shared" si="2"/>
        <v>2022</v>
      </c>
    </row>
    <row r="176" spans="1:22" hidden="1" x14ac:dyDescent="0.25">
      <c r="A176" s="36">
        <v>44593</v>
      </c>
      <c r="B176" s="37" t="s">
        <v>11</v>
      </c>
      <c r="C176" s="37" t="s">
        <v>123</v>
      </c>
      <c r="D176" s="37" t="s">
        <v>59</v>
      </c>
      <c r="E176" s="37" t="s">
        <v>5</v>
      </c>
      <c r="F176" s="37" t="s">
        <v>124</v>
      </c>
      <c r="G176" s="37" t="s">
        <v>125</v>
      </c>
      <c r="H176" s="37" t="s">
        <v>126</v>
      </c>
      <c r="I176" s="37" t="s">
        <v>127</v>
      </c>
      <c r="J176" s="37" t="s">
        <v>34</v>
      </c>
      <c r="K176" s="38">
        <v>0</v>
      </c>
      <c r="L176" s="39"/>
      <c r="M176" s="37" t="s">
        <v>117</v>
      </c>
      <c r="N176" s="40">
        <v>0</v>
      </c>
      <c r="O176" s="38">
        <v>0</v>
      </c>
      <c r="P176" s="38">
        <v>0</v>
      </c>
      <c r="Q176" s="38">
        <v>0</v>
      </c>
      <c r="R176" s="40">
        <v>0</v>
      </c>
      <c r="S176" s="38">
        <v>0</v>
      </c>
      <c r="T176" s="38">
        <v>0</v>
      </c>
      <c r="U176" s="38">
        <v>0</v>
      </c>
      <c r="V176" s="8">
        <f t="shared" si="2"/>
        <v>2022</v>
      </c>
    </row>
    <row r="177" spans="1:22" hidden="1" x14ac:dyDescent="0.25">
      <c r="A177" s="36">
        <v>44593</v>
      </c>
      <c r="B177" s="37" t="s">
        <v>19</v>
      </c>
      <c r="C177" s="37" t="s">
        <v>123</v>
      </c>
      <c r="D177" s="37" t="s">
        <v>59</v>
      </c>
      <c r="E177" s="37" t="s">
        <v>5</v>
      </c>
      <c r="F177" s="37" t="s">
        <v>124</v>
      </c>
      <c r="G177" s="37" t="s">
        <v>125</v>
      </c>
      <c r="H177" s="37" t="s">
        <v>126</v>
      </c>
      <c r="I177" s="37" t="s">
        <v>127</v>
      </c>
      <c r="J177" s="37" t="s">
        <v>34</v>
      </c>
      <c r="K177" s="38">
        <v>889.59408099999996</v>
      </c>
      <c r="L177" s="42">
        <v>17652.37</v>
      </c>
      <c r="M177" s="37" t="s">
        <v>117</v>
      </c>
      <c r="N177" s="40">
        <v>161.233</v>
      </c>
      <c r="O177" s="38">
        <v>161.059438</v>
      </c>
      <c r="P177" s="38">
        <v>8.2866999999999996E-2</v>
      </c>
      <c r="Q177" s="38">
        <v>9.0455999999999995E-2</v>
      </c>
      <c r="R177" s="40">
        <v>161.233</v>
      </c>
      <c r="S177" s="38">
        <v>161.059438</v>
      </c>
      <c r="T177" s="38">
        <v>8.2866999999999996E-2</v>
      </c>
      <c r="U177" s="38">
        <v>9.0455999999999995E-2</v>
      </c>
      <c r="V177" s="8">
        <f t="shared" si="2"/>
        <v>2022</v>
      </c>
    </row>
    <row r="178" spans="1:22" hidden="1" x14ac:dyDescent="0.25">
      <c r="A178" s="36">
        <v>44593</v>
      </c>
      <c r="B178" s="37" t="s">
        <v>20</v>
      </c>
      <c r="C178" s="37" t="s">
        <v>123</v>
      </c>
      <c r="D178" s="37" t="s">
        <v>59</v>
      </c>
      <c r="E178" s="37" t="s">
        <v>5</v>
      </c>
      <c r="F178" s="37" t="s">
        <v>124</v>
      </c>
      <c r="G178" s="37" t="s">
        <v>125</v>
      </c>
      <c r="H178" s="37" t="s">
        <v>126</v>
      </c>
      <c r="I178" s="37" t="s">
        <v>127</v>
      </c>
      <c r="J178" s="37" t="s">
        <v>34</v>
      </c>
      <c r="K178" s="38">
        <v>0.99040899999999998</v>
      </c>
      <c r="L178" s="39"/>
      <c r="M178" s="37" t="s">
        <v>117</v>
      </c>
      <c r="N178" s="40">
        <v>0.21299999999999999</v>
      </c>
      <c r="O178" s="38">
        <v>0.21246399999999999</v>
      </c>
      <c r="P178" s="38">
        <v>5.5400000000000002E-4</v>
      </c>
      <c r="Q178" s="38">
        <v>3.0200000000000002E-4</v>
      </c>
      <c r="R178" s="39" t="s">
        <v>117</v>
      </c>
      <c r="S178" s="39"/>
      <c r="T178" s="39"/>
      <c r="U178" s="39"/>
      <c r="V178" s="8">
        <f t="shared" si="2"/>
        <v>2022</v>
      </c>
    </row>
    <row r="179" spans="1:22" hidden="1" x14ac:dyDescent="0.25">
      <c r="A179" s="36">
        <v>44621</v>
      </c>
      <c r="B179" s="37" t="s">
        <v>11</v>
      </c>
      <c r="C179" s="37" t="s">
        <v>123</v>
      </c>
      <c r="D179" s="37" t="s">
        <v>59</v>
      </c>
      <c r="E179" s="37" t="s">
        <v>5</v>
      </c>
      <c r="F179" s="37" t="s">
        <v>124</v>
      </c>
      <c r="G179" s="37" t="s">
        <v>125</v>
      </c>
      <c r="H179" s="37" t="s">
        <v>126</v>
      </c>
      <c r="I179" s="37" t="s">
        <v>127</v>
      </c>
      <c r="J179" s="37" t="s">
        <v>34</v>
      </c>
      <c r="K179" s="38">
        <v>0</v>
      </c>
      <c r="L179" s="39"/>
      <c r="M179" s="37" t="s">
        <v>117</v>
      </c>
      <c r="N179" s="40">
        <v>0</v>
      </c>
      <c r="O179" s="38">
        <v>0</v>
      </c>
      <c r="P179" s="38">
        <v>0</v>
      </c>
      <c r="Q179" s="38">
        <v>0</v>
      </c>
      <c r="R179" s="40">
        <v>0</v>
      </c>
      <c r="S179" s="38">
        <v>0</v>
      </c>
      <c r="T179" s="38">
        <v>0</v>
      </c>
      <c r="U179" s="38">
        <v>0</v>
      </c>
      <c r="V179" s="8">
        <f t="shared" si="2"/>
        <v>2022</v>
      </c>
    </row>
    <row r="180" spans="1:22" hidden="1" x14ac:dyDescent="0.25">
      <c r="A180" s="36">
        <v>44621</v>
      </c>
      <c r="B180" s="37" t="s">
        <v>19</v>
      </c>
      <c r="C180" s="37" t="s">
        <v>123</v>
      </c>
      <c r="D180" s="37" t="s">
        <v>59</v>
      </c>
      <c r="E180" s="37" t="s">
        <v>5</v>
      </c>
      <c r="F180" s="37" t="s">
        <v>124</v>
      </c>
      <c r="G180" s="37" t="s">
        <v>125</v>
      </c>
      <c r="H180" s="37" t="s">
        <v>126</v>
      </c>
      <c r="I180" s="37" t="s">
        <v>127</v>
      </c>
      <c r="J180" s="37" t="s">
        <v>34</v>
      </c>
      <c r="K180" s="38">
        <v>783.87115400000005</v>
      </c>
      <c r="L180" s="42">
        <v>15568.84</v>
      </c>
      <c r="M180" s="37" t="s">
        <v>117</v>
      </c>
      <c r="N180" s="40">
        <v>142.071</v>
      </c>
      <c r="O180" s="38">
        <v>141.91848899999999</v>
      </c>
      <c r="P180" s="38">
        <v>7.3019000000000001E-2</v>
      </c>
      <c r="Q180" s="38">
        <v>7.9704999999999998E-2</v>
      </c>
      <c r="R180" s="40">
        <v>142.071</v>
      </c>
      <c r="S180" s="38">
        <v>141.91848899999999</v>
      </c>
      <c r="T180" s="38">
        <v>7.3019000000000001E-2</v>
      </c>
      <c r="U180" s="38">
        <v>7.9704999999999998E-2</v>
      </c>
      <c r="V180" s="8">
        <f t="shared" ref="V180:V243" si="3">YEAR(A180)</f>
        <v>2022</v>
      </c>
    </row>
    <row r="181" spans="1:22" hidden="1" x14ac:dyDescent="0.25">
      <c r="A181" s="36">
        <v>44621</v>
      </c>
      <c r="B181" s="37" t="s">
        <v>20</v>
      </c>
      <c r="C181" s="37" t="s">
        <v>123</v>
      </c>
      <c r="D181" s="37" t="s">
        <v>59</v>
      </c>
      <c r="E181" s="37" t="s">
        <v>5</v>
      </c>
      <c r="F181" s="37" t="s">
        <v>124</v>
      </c>
      <c r="G181" s="37" t="s">
        <v>125</v>
      </c>
      <c r="H181" s="37" t="s">
        <v>126</v>
      </c>
      <c r="I181" s="37" t="s">
        <v>127</v>
      </c>
      <c r="J181" s="37" t="s">
        <v>34</v>
      </c>
      <c r="K181" s="38">
        <v>0.99040899999999998</v>
      </c>
      <c r="L181" s="39"/>
      <c r="M181" s="37" t="s">
        <v>117</v>
      </c>
      <c r="N181" s="40">
        <v>0.21299999999999999</v>
      </c>
      <c r="O181" s="38">
        <v>0.21246399999999999</v>
      </c>
      <c r="P181" s="38">
        <v>5.5400000000000002E-4</v>
      </c>
      <c r="Q181" s="38">
        <v>3.0200000000000002E-4</v>
      </c>
      <c r="R181" s="39" t="s">
        <v>117</v>
      </c>
      <c r="S181" s="39"/>
      <c r="T181" s="39"/>
      <c r="U181" s="39"/>
      <c r="V181" s="8">
        <f t="shared" si="3"/>
        <v>2022</v>
      </c>
    </row>
    <row r="182" spans="1:22" hidden="1" x14ac:dyDescent="0.25">
      <c r="A182" s="36">
        <v>44652</v>
      </c>
      <c r="B182" s="37" t="s">
        <v>11</v>
      </c>
      <c r="C182" s="37" t="s">
        <v>123</v>
      </c>
      <c r="D182" s="37" t="s">
        <v>59</v>
      </c>
      <c r="E182" s="37" t="s">
        <v>5</v>
      </c>
      <c r="F182" s="37" t="s">
        <v>124</v>
      </c>
      <c r="G182" s="37" t="s">
        <v>125</v>
      </c>
      <c r="H182" s="37" t="s">
        <v>126</v>
      </c>
      <c r="I182" s="37" t="s">
        <v>127</v>
      </c>
      <c r="J182" s="37" t="s">
        <v>34</v>
      </c>
      <c r="K182" s="38">
        <v>0</v>
      </c>
      <c r="L182" s="39"/>
      <c r="M182" s="37" t="s">
        <v>117</v>
      </c>
      <c r="N182" s="40">
        <v>0</v>
      </c>
      <c r="O182" s="38">
        <v>0</v>
      </c>
      <c r="P182" s="38">
        <v>0</v>
      </c>
      <c r="Q182" s="38">
        <v>0</v>
      </c>
      <c r="R182" s="40">
        <v>0</v>
      </c>
      <c r="S182" s="38">
        <v>0</v>
      </c>
      <c r="T182" s="38">
        <v>0</v>
      </c>
      <c r="U182" s="38">
        <v>0</v>
      </c>
      <c r="V182" s="8">
        <f t="shared" si="3"/>
        <v>2022</v>
      </c>
    </row>
    <row r="183" spans="1:22" hidden="1" x14ac:dyDescent="0.25">
      <c r="A183" s="36">
        <v>44652</v>
      </c>
      <c r="B183" s="37" t="s">
        <v>19</v>
      </c>
      <c r="C183" s="37" t="s">
        <v>123</v>
      </c>
      <c r="D183" s="37" t="s">
        <v>59</v>
      </c>
      <c r="E183" s="37" t="s">
        <v>5</v>
      </c>
      <c r="F183" s="37" t="s">
        <v>124</v>
      </c>
      <c r="G183" s="37" t="s">
        <v>125</v>
      </c>
      <c r="H183" s="37" t="s">
        <v>126</v>
      </c>
      <c r="I183" s="37" t="s">
        <v>127</v>
      </c>
      <c r="J183" s="37" t="s">
        <v>34</v>
      </c>
      <c r="K183" s="38">
        <v>631.12016800000004</v>
      </c>
      <c r="L183" s="42">
        <v>12570.1</v>
      </c>
      <c r="M183" s="37" t="s">
        <v>117</v>
      </c>
      <c r="N183" s="40">
        <v>114.386</v>
      </c>
      <c r="O183" s="38">
        <v>114.263192</v>
      </c>
      <c r="P183" s="38">
        <v>5.8790000000000002E-2</v>
      </c>
      <c r="Q183" s="38">
        <v>6.4172999999999994E-2</v>
      </c>
      <c r="R183" s="40">
        <v>114.386</v>
      </c>
      <c r="S183" s="38">
        <v>114.263192</v>
      </c>
      <c r="T183" s="38">
        <v>5.8790000000000002E-2</v>
      </c>
      <c r="U183" s="38">
        <v>6.4172999999999994E-2</v>
      </c>
      <c r="V183" s="8">
        <f t="shared" si="3"/>
        <v>2022</v>
      </c>
    </row>
    <row r="184" spans="1:22" hidden="1" x14ac:dyDescent="0.25">
      <c r="A184" s="36">
        <v>44652</v>
      </c>
      <c r="B184" s="37" t="s">
        <v>20</v>
      </c>
      <c r="C184" s="37" t="s">
        <v>123</v>
      </c>
      <c r="D184" s="37" t="s">
        <v>59</v>
      </c>
      <c r="E184" s="37" t="s">
        <v>5</v>
      </c>
      <c r="F184" s="37" t="s">
        <v>124</v>
      </c>
      <c r="G184" s="37" t="s">
        <v>125</v>
      </c>
      <c r="H184" s="37" t="s">
        <v>126</v>
      </c>
      <c r="I184" s="37" t="s">
        <v>127</v>
      </c>
      <c r="J184" s="37" t="s">
        <v>34</v>
      </c>
      <c r="K184" s="38">
        <v>0.99040899999999998</v>
      </c>
      <c r="L184" s="39"/>
      <c r="M184" s="37" t="s">
        <v>117</v>
      </c>
      <c r="N184" s="40">
        <v>0.21299999999999999</v>
      </c>
      <c r="O184" s="38">
        <v>0.21246399999999999</v>
      </c>
      <c r="P184" s="38">
        <v>5.5400000000000002E-4</v>
      </c>
      <c r="Q184" s="38">
        <v>3.0200000000000002E-4</v>
      </c>
      <c r="R184" s="39" t="s">
        <v>117</v>
      </c>
      <c r="S184" s="39"/>
      <c r="T184" s="39"/>
      <c r="U184" s="39"/>
      <c r="V184" s="8">
        <f t="shared" si="3"/>
        <v>2022</v>
      </c>
    </row>
    <row r="185" spans="1:22" hidden="1" x14ac:dyDescent="0.25">
      <c r="A185" s="36">
        <v>44682</v>
      </c>
      <c r="B185" s="37" t="s">
        <v>11</v>
      </c>
      <c r="C185" s="37" t="s">
        <v>123</v>
      </c>
      <c r="D185" s="37" t="s">
        <v>59</v>
      </c>
      <c r="E185" s="37" t="s">
        <v>5</v>
      </c>
      <c r="F185" s="37" t="s">
        <v>124</v>
      </c>
      <c r="G185" s="37" t="s">
        <v>125</v>
      </c>
      <c r="H185" s="37" t="s">
        <v>126</v>
      </c>
      <c r="I185" s="37" t="s">
        <v>127</v>
      </c>
      <c r="J185" s="37" t="s">
        <v>34</v>
      </c>
      <c r="K185" s="38">
        <v>0</v>
      </c>
      <c r="L185" s="39"/>
      <c r="M185" s="37" t="s">
        <v>117</v>
      </c>
      <c r="N185" s="40">
        <v>0</v>
      </c>
      <c r="O185" s="38">
        <v>0</v>
      </c>
      <c r="P185" s="38">
        <v>0</v>
      </c>
      <c r="Q185" s="38">
        <v>0</v>
      </c>
      <c r="R185" s="40">
        <v>0</v>
      </c>
      <c r="S185" s="38">
        <v>0</v>
      </c>
      <c r="T185" s="38">
        <v>0</v>
      </c>
      <c r="U185" s="38">
        <v>0</v>
      </c>
      <c r="V185" s="8">
        <f t="shared" si="3"/>
        <v>2022</v>
      </c>
    </row>
    <row r="186" spans="1:22" hidden="1" x14ac:dyDescent="0.25">
      <c r="A186" s="36">
        <v>44682</v>
      </c>
      <c r="B186" s="37" t="s">
        <v>19</v>
      </c>
      <c r="C186" s="37" t="s">
        <v>123</v>
      </c>
      <c r="D186" s="37" t="s">
        <v>59</v>
      </c>
      <c r="E186" s="37" t="s">
        <v>5</v>
      </c>
      <c r="F186" s="37" t="s">
        <v>124</v>
      </c>
      <c r="G186" s="37" t="s">
        <v>125</v>
      </c>
      <c r="H186" s="37" t="s">
        <v>126</v>
      </c>
      <c r="I186" s="37" t="s">
        <v>127</v>
      </c>
      <c r="J186" s="37" t="s">
        <v>34</v>
      </c>
      <c r="K186" s="38">
        <v>550.56507099999999</v>
      </c>
      <c r="L186" s="42">
        <v>6264.06</v>
      </c>
      <c r="M186" s="37" t="s">
        <v>117</v>
      </c>
      <c r="N186" s="40">
        <v>99.786000000000001</v>
      </c>
      <c r="O186" s="38">
        <v>99.678833999999995</v>
      </c>
      <c r="P186" s="38">
        <v>5.1285999999999998E-2</v>
      </c>
      <c r="Q186" s="38">
        <v>5.5981999999999997E-2</v>
      </c>
      <c r="R186" s="40">
        <v>99.786000000000001</v>
      </c>
      <c r="S186" s="38">
        <v>99.678833999999995</v>
      </c>
      <c r="T186" s="38">
        <v>5.1285999999999998E-2</v>
      </c>
      <c r="U186" s="38">
        <v>5.5981999999999997E-2</v>
      </c>
      <c r="V186" s="8">
        <f t="shared" si="3"/>
        <v>2022</v>
      </c>
    </row>
    <row r="187" spans="1:22" hidden="1" x14ac:dyDescent="0.25">
      <c r="A187" s="36">
        <v>44682</v>
      </c>
      <c r="B187" s="37" t="s">
        <v>20</v>
      </c>
      <c r="C187" s="37" t="s">
        <v>123</v>
      </c>
      <c r="D187" s="37" t="s">
        <v>59</v>
      </c>
      <c r="E187" s="37" t="s">
        <v>5</v>
      </c>
      <c r="F187" s="37" t="s">
        <v>124</v>
      </c>
      <c r="G187" s="37" t="s">
        <v>125</v>
      </c>
      <c r="H187" s="37" t="s">
        <v>126</v>
      </c>
      <c r="I187" s="37" t="s">
        <v>127</v>
      </c>
      <c r="J187" s="37" t="s">
        <v>34</v>
      </c>
      <c r="K187" s="38">
        <v>0.99040899999999998</v>
      </c>
      <c r="L187" s="39"/>
      <c r="M187" s="37" t="s">
        <v>117</v>
      </c>
      <c r="N187" s="40">
        <v>0.21299999999999999</v>
      </c>
      <c r="O187" s="38">
        <v>0.21246399999999999</v>
      </c>
      <c r="P187" s="38">
        <v>5.5400000000000002E-4</v>
      </c>
      <c r="Q187" s="38">
        <v>3.0200000000000002E-4</v>
      </c>
      <c r="R187" s="39" t="s">
        <v>117</v>
      </c>
      <c r="S187" s="39"/>
      <c r="T187" s="39"/>
      <c r="U187" s="39"/>
      <c r="V187" s="8">
        <f t="shared" si="3"/>
        <v>2022</v>
      </c>
    </row>
    <row r="188" spans="1:22" hidden="1" x14ac:dyDescent="0.25">
      <c r="A188" s="36">
        <v>44713</v>
      </c>
      <c r="B188" s="37" t="s">
        <v>11</v>
      </c>
      <c r="C188" s="37" t="s">
        <v>123</v>
      </c>
      <c r="D188" s="37" t="s">
        <v>59</v>
      </c>
      <c r="E188" s="37" t="s">
        <v>5</v>
      </c>
      <c r="F188" s="37" t="s">
        <v>124</v>
      </c>
      <c r="G188" s="37" t="s">
        <v>125</v>
      </c>
      <c r="H188" s="37" t="s">
        <v>126</v>
      </c>
      <c r="I188" s="37" t="s">
        <v>127</v>
      </c>
      <c r="J188" s="37" t="s">
        <v>34</v>
      </c>
      <c r="K188" s="38">
        <v>0</v>
      </c>
      <c r="L188" s="39"/>
      <c r="M188" s="37" t="s">
        <v>117</v>
      </c>
      <c r="N188" s="40">
        <v>0</v>
      </c>
      <c r="O188" s="38">
        <v>0</v>
      </c>
      <c r="P188" s="38">
        <v>0</v>
      </c>
      <c r="Q188" s="38">
        <v>0</v>
      </c>
      <c r="R188" s="40">
        <v>0</v>
      </c>
      <c r="S188" s="38">
        <v>0</v>
      </c>
      <c r="T188" s="38">
        <v>0</v>
      </c>
      <c r="U188" s="38">
        <v>0</v>
      </c>
      <c r="V188" s="8">
        <f t="shared" si="3"/>
        <v>2022</v>
      </c>
    </row>
    <row r="189" spans="1:22" hidden="1" x14ac:dyDescent="0.25">
      <c r="A189" s="36">
        <v>44713</v>
      </c>
      <c r="B189" s="37" t="s">
        <v>19</v>
      </c>
      <c r="C189" s="37" t="s">
        <v>123</v>
      </c>
      <c r="D189" s="37" t="s">
        <v>59</v>
      </c>
      <c r="E189" s="37" t="s">
        <v>5</v>
      </c>
      <c r="F189" s="37" t="s">
        <v>124</v>
      </c>
      <c r="G189" s="37" t="s">
        <v>125</v>
      </c>
      <c r="H189" s="37" t="s">
        <v>126</v>
      </c>
      <c r="I189" s="37" t="s">
        <v>127</v>
      </c>
      <c r="J189" s="37" t="s">
        <v>34</v>
      </c>
      <c r="K189" s="38">
        <v>324.68605300000002</v>
      </c>
      <c r="L189" s="42">
        <v>3743.66</v>
      </c>
      <c r="M189" s="37" t="s">
        <v>117</v>
      </c>
      <c r="N189" s="40">
        <v>58.847000000000001</v>
      </c>
      <c r="O189" s="38">
        <v>58.783836999999998</v>
      </c>
      <c r="P189" s="38">
        <v>3.0245000000000001E-2</v>
      </c>
      <c r="Q189" s="38">
        <v>3.3015000000000003E-2</v>
      </c>
      <c r="R189" s="40">
        <v>58.847000000000001</v>
      </c>
      <c r="S189" s="38">
        <v>58.783836999999998</v>
      </c>
      <c r="T189" s="38">
        <v>3.0245000000000001E-2</v>
      </c>
      <c r="U189" s="38">
        <v>3.3015000000000003E-2</v>
      </c>
      <c r="V189" s="8">
        <f t="shared" si="3"/>
        <v>2022</v>
      </c>
    </row>
    <row r="190" spans="1:22" hidden="1" x14ac:dyDescent="0.25">
      <c r="A190" s="36">
        <v>44713</v>
      </c>
      <c r="B190" s="37" t="s">
        <v>20</v>
      </c>
      <c r="C190" s="37" t="s">
        <v>123</v>
      </c>
      <c r="D190" s="37" t="s">
        <v>59</v>
      </c>
      <c r="E190" s="37" t="s">
        <v>5</v>
      </c>
      <c r="F190" s="37" t="s">
        <v>124</v>
      </c>
      <c r="G190" s="37" t="s">
        <v>125</v>
      </c>
      <c r="H190" s="37" t="s">
        <v>126</v>
      </c>
      <c r="I190" s="37" t="s">
        <v>127</v>
      </c>
      <c r="J190" s="37" t="s">
        <v>34</v>
      </c>
      <c r="K190" s="38">
        <v>0.99040899999999998</v>
      </c>
      <c r="L190" s="39"/>
      <c r="M190" s="37" t="s">
        <v>117</v>
      </c>
      <c r="N190" s="40">
        <v>0.21299999999999999</v>
      </c>
      <c r="O190" s="38">
        <v>0.21246399999999999</v>
      </c>
      <c r="P190" s="38">
        <v>5.5400000000000002E-4</v>
      </c>
      <c r="Q190" s="38">
        <v>3.0200000000000002E-4</v>
      </c>
      <c r="R190" s="39" t="s">
        <v>117</v>
      </c>
      <c r="S190" s="39"/>
      <c r="T190" s="39"/>
      <c r="U190" s="39"/>
      <c r="V190" s="8">
        <f t="shared" si="3"/>
        <v>2022</v>
      </c>
    </row>
    <row r="191" spans="1:22" hidden="1" x14ac:dyDescent="0.25">
      <c r="A191" s="36">
        <v>44743</v>
      </c>
      <c r="B191" s="37" t="s">
        <v>11</v>
      </c>
      <c r="C191" s="37" t="s">
        <v>123</v>
      </c>
      <c r="D191" s="37" t="s">
        <v>59</v>
      </c>
      <c r="E191" s="37" t="s">
        <v>5</v>
      </c>
      <c r="F191" s="37" t="s">
        <v>124</v>
      </c>
      <c r="G191" s="37" t="s">
        <v>125</v>
      </c>
      <c r="H191" s="37" t="s">
        <v>126</v>
      </c>
      <c r="I191" s="37" t="s">
        <v>127</v>
      </c>
      <c r="J191" s="37" t="s">
        <v>34</v>
      </c>
      <c r="K191" s="38">
        <v>0</v>
      </c>
      <c r="L191" s="39"/>
      <c r="M191" s="37" t="s">
        <v>117</v>
      </c>
      <c r="N191" s="40">
        <v>0</v>
      </c>
      <c r="O191" s="38">
        <v>0</v>
      </c>
      <c r="P191" s="38">
        <v>0</v>
      </c>
      <c r="Q191" s="38">
        <v>0</v>
      </c>
      <c r="R191" s="40">
        <v>0</v>
      </c>
      <c r="S191" s="38">
        <v>0</v>
      </c>
      <c r="T191" s="38">
        <v>0</v>
      </c>
      <c r="U191" s="38">
        <v>0</v>
      </c>
      <c r="V191" s="8">
        <f t="shared" si="3"/>
        <v>2022</v>
      </c>
    </row>
    <row r="192" spans="1:22" hidden="1" x14ac:dyDescent="0.25">
      <c r="A192" s="36">
        <v>44743</v>
      </c>
      <c r="B192" s="37" t="s">
        <v>19</v>
      </c>
      <c r="C192" s="37" t="s">
        <v>123</v>
      </c>
      <c r="D192" s="37" t="s">
        <v>59</v>
      </c>
      <c r="E192" s="37" t="s">
        <v>5</v>
      </c>
      <c r="F192" s="37" t="s">
        <v>124</v>
      </c>
      <c r="G192" s="37" t="s">
        <v>125</v>
      </c>
      <c r="H192" s="37" t="s">
        <v>126</v>
      </c>
      <c r="I192" s="37" t="s">
        <v>127</v>
      </c>
      <c r="J192" s="37" t="s">
        <v>34</v>
      </c>
      <c r="K192" s="38">
        <v>279.31179400000002</v>
      </c>
      <c r="L192" s="42">
        <v>3237.38</v>
      </c>
      <c r="M192" s="37" t="s">
        <v>117</v>
      </c>
      <c r="N192" s="40">
        <v>50.622999999999998</v>
      </c>
      <c r="O192" s="38">
        <v>50.568907000000003</v>
      </c>
      <c r="P192" s="38">
        <v>2.6017999999999999E-2</v>
      </c>
      <c r="Q192" s="38">
        <v>2.8400999999999999E-2</v>
      </c>
      <c r="R192" s="40">
        <v>50.622999999999998</v>
      </c>
      <c r="S192" s="38">
        <v>50.568907000000003</v>
      </c>
      <c r="T192" s="38">
        <v>2.6017999999999999E-2</v>
      </c>
      <c r="U192" s="38">
        <v>2.8400999999999999E-2</v>
      </c>
      <c r="V192" s="8">
        <f t="shared" si="3"/>
        <v>2022</v>
      </c>
    </row>
    <row r="193" spans="1:22" hidden="1" x14ac:dyDescent="0.25">
      <c r="A193" s="36">
        <v>44743</v>
      </c>
      <c r="B193" s="37" t="s">
        <v>20</v>
      </c>
      <c r="C193" s="37" t="s">
        <v>123</v>
      </c>
      <c r="D193" s="37" t="s">
        <v>59</v>
      </c>
      <c r="E193" s="37" t="s">
        <v>5</v>
      </c>
      <c r="F193" s="37" t="s">
        <v>124</v>
      </c>
      <c r="G193" s="37" t="s">
        <v>125</v>
      </c>
      <c r="H193" s="37" t="s">
        <v>126</v>
      </c>
      <c r="I193" s="37" t="s">
        <v>127</v>
      </c>
      <c r="J193" s="37" t="s">
        <v>34</v>
      </c>
      <c r="K193" s="38">
        <v>0.99040899999999998</v>
      </c>
      <c r="L193" s="39"/>
      <c r="M193" s="37" t="s">
        <v>117</v>
      </c>
      <c r="N193" s="40">
        <v>0.21299999999999999</v>
      </c>
      <c r="O193" s="38">
        <v>0.21246399999999999</v>
      </c>
      <c r="P193" s="38">
        <v>5.5400000000000002E-4</v>
      </c>
      <c r="Q193" s="38">
        <v>3.0200000000000002E-4</v>
      </c>
      <c r="R193" s="39" t="s">
        <v>117</v>
      </c>
      <c r="S193" s="39"/>
      <c r="T193" s="39"/>
      <c r="U193" s="39"/>
      <c r="V193" s="8">
        <f t="shared" si="3"/>
        <v>2022</v>
      </c>
    </row>
    <row r="194" spans="1:22" hidden="1" x14ac:dyDescent="0.25">
      <c r="A194" s="36">
        <v>44774</v>
      </c>
      <c r="B194" s="37" t="s">
        <v>11</v>
      </c>
      <c r="C194" s="37" t="s">
        <v>123</v>
      </c>
      <c r="D194" s="37" t="s">
        <v>59</v>
      </c>
      <c r="E194" s="37" t="s">
        <v>5</v>
      </c>
      <c r="F194" s="37" t="s">
        <v>124</v>
      </c>
      <c r="G194" s="37" t="s">
        <v>125</v>
      </c>
      <c r="H194" s="37" t="s">
        <v>126</v>
      </c>
      <c r="I194" s="37" t="s">
        <v>127</v>
      </c>
      <c r="J194" s="37" t="s">
        <v>34</v>
      </c>
      <c r="K194" s="38">
        <v>0</v>
      </c>
      <c r="L194" s="39"/>
      <c r="M194" s="37" t="s">
        <v>117</v>
      </c>
      <c r="N194" s="40">
        <v>0</v>
      </c>
      <c r="O194" s="38">
        <v>0</v>
      </c>
      <c r="P194" s="38">
        <v>0</v>
      </c>
      <c r="Q194" s="38">
        <v>0</v>
      </c>
      <c r="R194" s="40">
        <v>0</v>
      </c>
      <c r="S194" s="38">
        <v>0</v>
      </c>
      <c r="T194" s="38">
        <v>0</v>
      </c>
      <c r="U194" s="38">
        <v>0</v>
      </c>
      <c r="V194" s="8">
        <f t="shared" si="3"/>
        <v>2022</v>
      </c>
    </row>
    <row r="195" spans="1:22" hidden="1" x14ac:dyDescent="0.25">
      <c r="A195" s="36">
        <v>44774</v>
      </c>
      <c r="B195" s="37" t="s">
        <v>19</v>
      </c>
      <c r="C195" s="37" t="s">
        <v>123</v>
      </c>
      <c r="D195" s="37" t="s">
        <v>59</v>
      </c>
      <c r="E195" s="37" t="s">
        <v>5</v>
      </c>
      <c r="F195" s="37" t="s">
        <v>124</v>
      </c>
      <c r="G195" s="37" t="s">
        <v>125</v>
      </c>
      <c r="H195" s="37" t="s">
        <v>126</v>
      </c>
      <c r="I195" s="37" t="s">
        <v>127</v>
      </c>
      <c r="J195" s="37" t="s">
        <v>34</v>
      </c>
      <c r="K195" s="38">
        <v>351.056647</v>
      </c>
      <c r="L195" s="42">
        <v>4037.91</v>
      </c>
      <c r="M195" s="37" t="s">
        <v>117</v>
      </c>
      <c r="N195" s="40">
        <v>63.627000000000002</v>
      </c>
      <c r="O195" s="38">
        <v>63.558185999999999</v>
      </c>
      <c r="P195" s="38">
        <v>3.2701000000000001E-2</v>
      </c>
      <c r="Q195" s="38">
        <v>3.5695999999999999E-2</v>
      </c>
      <c r="R195" s="40">
        <v>63.627000000000002</v>
      </c>
      <c r="S195" s="38">
        <v>63.558185999999999</v>
      </c>
      <c r="T195" s="38">
        <v>3.2701000000000001E-2</v>
      </c>
      <c r="U195" s="38">
        <v>3.5695999999999999E-2</v>
      </c>
      <c r="V195" s="8">
        <f t="shared" si="3"/>
        <v>2022</v>
      </c>
    </row>
    <row r="196" spans="1:22" hidden="1" x14ac:dyDescent="0.25">
      <c r="A196" s="36">
        <v>44774</v>
      </c>
      <c r="B196" s="37" t="s">
        <v>20</v>
      </c>
      <c r="C196" s="37" t="s">
        <v>123</v>
      </c>
      <c r="D196" s="37" t="s">
        <v>59</v>
      </c>
      <c r="E196" s="37" t="s">
        <v>5</v>
      </c>
      <c r="F196" s="37" t="s">
        <v>124</v>
      </c>
      <c r="G196" s="37" t="s">
        <v>125</v>
      </c>
      <c r="H196" s="37" t="s">
        <v>126</v>
      </c>
      <c r="I196" s="37" t="s">
        <v>127</v>
      </c>
      <c r="J196" s="37" t="s">
        <v>34</v>
      </c>
      <c r="K196" s="38">
        <v>0.99040899999999998</v>
      </c>
      <c r="L196" s="39"/>
      <c r="M196" s="37" t="s">
        <v>117</v>
      </c>
      <c r="N196" s="40">
        <v>0.21299999999999999</v>
      </c>
      <c r="O196" s="38">
        <v>0.21246399999999999</v>
      </c>
      <c r="P196" s="38">
        <v>5.5400000000000002E-4</v>
      </c>
      <c r="Q196" s="38">
        <v>3.0200000000000002E-4</v>
      </c>
      <c r="R196" s="39" t="s">
        <v>117</v>
      </c>
      <c r="S196" s="39"/>
      <c r="T196" s="39"/>
      <c r="U196" s="39"/>
      <c r="V196" s="8">
        <f t="shared" si="3"/>
        <v>2022</v>
      </c>
    </row>
    <row r="197" spans="1:22" hidden="1" x14ac:dyDescent="0.25">
      <c r="A197" s="36">
        <v>44805</v>
      </c>
      <c r="B197" s="37" t="s">
        <v>11</v>
      </c>
      <c r="C197" s="37" t="s">
        <v>123</v>
      </c>
      <c r="D197" s="37" t="s">
        <v>59</v>
      </c>
      <c r="E197" s="37" t="s">
        <v>5</v>
      </c>
      <c r="F197" s="37" t="s">
        <v>124</v>
      </c>
      <c r="G197" s="37" t="s">
        <v>125</v>
      </c>
      <c r="H197" s="37" t="s">
        <v>126</v>
      </c>
      <c r="I197" s="37" t="s">
        <v>127</v>
      </c>
      <c r="J197" s="37" t="s">
        <v>34</v>
      </c>
      <c r="K197" s="38">
        <v>0</v>
      </c>
      <c r="L197" s="39"/>
      <c r="M197" s="37" t="s">
        <v>117</v>
      </c>
      <c r="N197" s="40">
        <v>0</v>
      </c>
      <c r="O197" s="38">
        <v>0</v>
      </c>
      <c r="P197" s="38">
        <v>0</v>
      </c>
      <c r="Q197" s="38">
        <v>0</v>
      </c>
      <c r="R197" s="40">
        <v>0</v>
      </c>
      <c r="S197" s="38">
        <v>0</v>
      </c>
      <c r="T197" s="38">
        <v>0</v>
      </c>
      <c r="U197" s="38">
        <v>0</v>
      </c>
      <c r="V197" s="8">
        <f t="shared" si="3"/>
        <v>2022</v>
      </c>
    </row>
    <row r="198" spans="1:22" hidden="1" x14ac:dyDescent="0.25">
      <c r="A198" s="36">
        <v>44805</v>
      </c>
      <c r="B198" s="37" t="s">
        <v>19</v>
      </c>
      <c r="C198" s="37" t="s">
        <v>123</v>
      </c>
      <c r="D198" s="37" t="s">
        <v>59</v>
      </c>
      <c r="E198" s="37" t="s">
        <v>5</v>
      </c>
      <c r="F198" s="37" t="s">
        <v>124</v>
      </c>
      <c r="G198" s="37" t="s">
        <v>125</v>
      </c>
      <c r="H198" s="37" t="s">
        <v>126</v>
      </c>
      <c r="I198" s="37" t="s">
        <v>127</v>
      </c>
      <c r="J198" s="37" t="s">
        <v>34</v>
      </c>
      <c r="K198" s="38">
        <v>335.270374</v>
      </c>
      <c r="L198" s="42">
        <v>3861.75</v>
      </c>
      <c r="M198" s="37" t="s">
        <v>117</v>
      </c>
      <c r="N198" s="40">
        <v>60.765000000000001</v>
      </c>
      <c r="O198" s="38">
        <v>60.700108999999998</v>
      </c>
      <c r="P198" s="38">
        <v>3.1230999999999998E-2</v>
      </c>
      <c r="Q198" s="38">
        <v>3.4091000000000003E-2</v>
      </c>
      <c r="R198" s="40">
        <v>60.765000000000001</v>
      </c>
      <c r="S198" s="38">
        <v>60.700108999999998</v>
      </c>
      <c r="T198" s="38">
        <v>3.1230999999999998E-2</v>
      </c>
      <c r="U198" s="38">
        <v>3.4091000000000003E-2</v>
      </c>
      <c r="V198" s="8">
        <f t="shared" si="3"/>
        <v>2022</v>
      </c>
    </row>
    <row r="199" spans="1:22" hidden="1" x14ac:dyDescent="0.25">
      <c r="A199" s="36">
        <v>44805</v>
      </c>
      <c r="B199" s="37" t="s">
        <v>20</v>
      </c>
      <c r="C199" s="37" t="s">
        <v>123</v>
      </c>
      <c r="D199" s="37" t="s">
        <v>59</v>
      </c>
      <c r="E199" s="37" t="s">
        <v>5</v>
      </c>
      <c r="F199" s="37" t="s">
        <v>124</v>
      </c>
      <c r="G199" s="37" t="s">
        <v>125</v>
      </c>
      <c r="H199" s="37" t="s">
        <v>126</v>
      </c>
      <c r="I199" s="37" t="s">
        <v>127</v>
      </c>
      <c r="J199" s="37" t="s">
        <v>34</v>
      </c>
      <c r="K199" s="38">
        <v>0.99040899999999998</v>
      </c>
      <c r="L199" s="39"/>
      <c r="M199" s="37" t="s">
        <v>117</v>
      </c>
      <c r="N199" s="40">
        <v>0.21299999999999999</v>
      </c>
      <c r="O199" s="38">
        <v>0.21246399999999999</v>
      </c>
      <c r="P199" s="38">
        <v>5.5400000000000002E-4</v>
      </c>
      <c r="Q199" s="38">
        <v>3.0200000000000002E-4</v>
      </c>
      <c r="R199" s="39" t="s">
        <v>117</v>
      </c>
      <c r="S199" s="39"/>
      <c r="T199" s="39"/>
      <c r="U199" s="39"/>
      <c r="V199" s="8">
        <f t="shared" si="3"/>
        <v>2022</v>
      </c>
    </row>
    <row r="200" spans="1:22" hidden="1" x14ac:dyDescent="0.25">
      <c r="A200" s="36">
        <v>44835</v>
      </c>
      <c r="B200" s="37" t="s">
        <v>11</v>
      </c>
      <c r="C200" s="37" t="s">
        <v>123</v>
      </c>
      <c r="D200" s="37" t="s">
        <v>59</v>
      </c>
      <c r="E200" s="37" t="s">
        <v>5</v>
      </c>
      <c r="F200" s="37" t="s">
        <v>124</v>
      </c>
      <c r="G200" s="37" t="s">
        <v>125</v>
      </c>
      <c r="H200" s="37" t="s">
        <v>126</v>
      </c>
      <c r="I200" s="37" t="s">
        <v>127</v>
      </c>
      <c r="J200" s="37" t="s">
        <v>34</v>
      </c>
      <c r="K200" s="38">
        <v>0</v>
      </c>
      <c r="L200" s="39"/>
      <c r="M200" s="37" t="s">
        <v>117</v>
      </c>
      <c r="N200" s="40">
        <v>0</v>
      </c>
      <c r="O200" s="38">
        <v>0</v>
      </c>
      <c r="P200" s="38">
        <v>0</v>
      </c>
      <c r="Q200" s="38">
        <v>0</v>
      </c>
      <c r="R200" s="40">
        <v>0</v>
      </c>
      <c r="S200" s="38">
        <v>0</v>
      </c>
      <c r="T200" s="38">
        <v>0</v>
      </c>
      <c r="U200" s="38">
        <v>0</v>
      </c>
      <c r="V200" s="8">
        <f t="shared" si="3"/>
        <v>2022</v>
      </c>
    </row>
    <row r="201" spans="1:22" hidden="1" x14ac:dyDescent="0.25">
      <c r="A201" s="36">
        <v>44835</v>
      </c>
      <c r="B201" s="37" t="s">
        <v>19</v>
      </c>
      <c r="C201" s="37" t="s">
        <v>123</v>
      </c>
      <c r="D201" s="37" t="s">
        <v>59</v>
      </c>
      <c r="E201" s="37" t="s">
        <v>5</v>
      </c>
      <c r="F201" s="37" t="s">
        <v>124</v>
      </c>
      <c r="G201" s="37" t="s">
        <v>125</v>
      </c>
      <c r="H201" s="37" t="s">
        <v>126</v>
      </c>
      <c r="I201" s="37" t="s">
        <v>127</v>
      </c>
      <c r="J201" s="37" t="s">
        <v>34</v>
      </c>
      <c r="K201" s="38">
        <v>643.80932499999994</v>
      </c>
      <c r="L201" s="42">
        <v>7374.14</v>
      </c>
      <c r="M201" s="37" t="s">
        <v>117</v>
      </c>
      <c r="N201" s="40">
        <v>116.68600000000001</v>
      </c>
      <c r="O201" s="38">
        <v>116.560542</v>
      </c>
      <c r="P201" s="38">
        <v>5.9971999999999998E-2</v>
      </c>
      <c r="Q201" s="38">
        <v>6.5463999999999994E-2</v>
      </c>
      <c r="R201" s="40">
        <v>116.68600000000001</v>
      </c>
      <c r="S201" s="38">
        <v>116.560542</v>
      </c>
      <c r="T201" s="38">
        <v>5.9971999999999998E-2</v>
      </c>
      <c r="U201" s="38">
        <v>6.5463999999999994E-2</v>
      </c>
      <c r="V201" s="8">
        <f t="shared" si="3"/>
        <v>2022</v>
      </c>
    </row>
    <row r="202" spans="1:22" hidden="1" x14ac:dyDescent="0.25">
      <c r="A202" s="36">
        <v>44835</v>
      </c>
      <c r="B202" s="37" t="s">
        <v>20</v>
      </c>
      <c r="C202" s="37" t="s">
        <v>123</v>
      </c>
      <c r="D202" s="37" t="s">
        <v>59</v>
      </c>
      <c r="E202" s="37" t="s">
        <v>5</v>
      </c>
      <c r="F202" s="37" t="s">
        <v>124</v>
      </c>
      <c r="G202" s="37" t="s">
        <v>125</v>
      </c>
      <c r="H202" s="37" t="s">
        <v>126</v>
      </c>
      <c r="I202" s="37" t="s">
        <v>127</v>
      </c>
      <c r="J202" s="37" t="s">
        <v>34</v>
      </c>
      <c r="K202" s="38">
        <v>0.99040899999999998</v>
      </c>
      <c r="L202" s="39"/>
      <c r="M202" s="37" t="s">
        <v>117</v>
      </c>
      <c r="N202" s="40">
        <v>0.21299999999999999</v>
      </c>
      <c r="O202" s="38">
        <v>0.21246399999999999</v>
      </c>
      <c r="P202" s="38">
        <v>5.5400000000000002E-4</v>
      </c>
      <c r="Q202" s="38">
        <v>3.0200000000000002E-4</v>
      </c>
      <c r="R202" s="39" t="s">
        <v>117</v>
      </c>
      <c r="S202" s="39"/>
      <c r="T202" s="39"/>
      <c r="U202" s="39"/>
      <c r="V202" s="8">
        <f t="shared" si="3"/>
        <v>2022</v>
      </c>
    </row>
    <row r="203" spans="1:22" hidden="1" x14ac:dyDescent="0.25">
      <c r="A203" s="36">
        <v>44866</v>
      </c>
      <c r="B203" s="37" t="s">
        <v>11</v>
      </c>
      <c r="C203" s="37" t="s">
        <v>123</v>
      </c>
      <c r="D203" s="37" t="s">
        <v>59</v>
      </c>
      <c r="E203" s="37" t="s">
        <v>5</v>
      </c>
      <c r="F203" s="37" t="s">
        <v>124</v>
      </c>
      <c r="G203" s="37" t="s">
        <v>125</v>
      </c>
      <c r="H203" s="37" t="s">
        <v>126</v>
      </c>
      <c r="I203" s="37" t="s">
        <v>127</v>
      </c>
      <c r="J203" s="37" t="s">
        <v>34</v>
      </c>
      <c r="K203" s="38">
        <v>0</v>
      </c>
      <c r="L203" s="39"/>
      <c r="M203" s="37" t="s">
        <v>117</v>
      </c>
      <c r="N203" s="40">
        <v>0</v>
      </c>
      <c r="O203" s="38">
        <v>0</v>
      </c>
      <c r="P203" s="38">
        <v>0</v>
      </c>
      <c r="Q203" s="38">
        <v>0</v>
      </c>
      <c r="R203" s="40">
        <v>0</v>
      </c>
      <c r="S203" s="38">
        <v>0</v>
      </c>
      <c r="T203" s="38">
        <v>0</v>
      </c>
      <c r="U203" s="38">
        <v>0</v>
      </c>
      <c r="V203" s="8">
        <f t="shared" si="3"/>
        <v>2022</v>
      </c>
    </row>
    <row r="204" spans="1:22" hidden="1" x14ac:dyDescent="0.25">
      <c r="A204" s="36">
        <v>44866</v>
      </c>
      <c r="B204" s="37" t="s">
        <v>19</v>
      </c>
      <c r="C204" s="37" t="s">
        <v>123</v>
      </c>
      <c r="D204" s="37" t="s">
        <v>59</v>
      </c>
      <c r="E204" s="37" t="s">
        <v>5</v>
      </c>
      <c r="F204" s="37" t="s">
        <v>124</v>
      </c>
      <c r="G204" s="37" t="s">
        <v>125</v>
      </c>
      <c r="H204" s="37" t="s">
        <v>126</v>
      </c>
      <c r="I204" s="37" t="s">
        <v>127</v>
      </c>
      <c r="J204" s="37" t="s">
        <v>34</v>
      </c>
      <c r="K204" s="38">
        <v>667.32335399999999</v>
      </c>
      <c r="L204" s="42">
        <v>7641.44</v>
      </c>
      <c r="M204" s="37" t="s">
        <v>117</v>
      </c>
      <c r="N204" s="40">
        <v>120.94799999999999</v>
      </c>
      <c r="O204" s="38">
        <v>120.817716</v>
      </c>
      <c r="P204" s="38">
        <v>6.2162000000000002E-2</v>
      </c>
      <c r="Q204" s="38">
        <v>6.7854999999999999E-2</v>
      </c>
      <c r="R204" s="40">
        <v>120.94799999999999</v>
      </c>
      <c r="S204" s="38">
        <v>120.817716</v>
      </c>
      <c r="T204" s="38">
        <v>6.2162000000000002E-2</v>
      </c>
      <c r="U204" s="38">
        <v>6.7854999999999999E-2</v>
      </c>
      <c r="V204" s="8">
        <f t="shared" si="3"/>
        <v>2022</v>
      </c>
    </row>
    <row r="205" spans="1:22" hidden="1" x14ac:dyDescent="0.25">
      <c r="A205" s="36">
        <v>44866</v>
      </c>
      <c r="B205" s="37" t="s">
        <v>20</v>
      </c>
      <c r="C205" s="37" t="s">
        <v>123</v>
      </c>
      <c r="D205" s="37" t="s">
        <v>59</v>
      </c>
      <c r="E205" s="37" t="s">
        <v>5</v>
      </c>
      <c r="F205" s="37" t="s">
        <v>124</v>
      </c>
      <c r="G205" s="37" t="s">
        <v>125</v>
      </c>
      <c r="H205" s="37" t="s">
        <v>126</v>
      </c>
      <c r="I205" s="37" t="s">
        <v>127</v>
      </c>
      <c r="J205" s="37" t="s">
        <v>34</v>
      </c>
      <c r="K205" s="38">
        <v>0.99040899999999998</v>
      </c>
      <c r="L205" s="39"/>
      <c r="M205" s="37" t="s">
        <v>117</v>
      </c>
      <c r="N205" s="40">
        <v>0.21299999999999999</v>
      </c>
      <c r="O205" s="38">
        <v>0.21246399999999999</v>
      </c>
      <c r="P205" s="38">
        <v>5.5400000000000002E-4</v>
      </c>
      <c r="Q205" s="38">
        <v>3.0200000000000002E-4</v>
      </c>
      <c r="R205" s="39" t="s">
        <v>117</v>
      </c>
      <c r="S205" s="39"/>
      <c r="T205" s="39"/>
      <c r="U205" s="39"/>
      <c r="V205" s="8">
        <f t="shared" si="3"/>
        <v>2022</v>
      </c>
    </row>
    <row r="206" spans="1:22" hidden="1" x14ac:dyDescent="0.25">
      <c r="A206" s="36">
        <v>44896</v>
      </c>
      <c r="B206" s="37" t="s">
        <v>11</v>
      </c>
      <c r="C206" s="37" t="s">
        <v>123</v>
      </c>
      <c r="D206" s="37" t="s">
        <v>59</v>
      </c>
      <c r="E206" s="37" t="s">
        <v>5</v>
      </c>
      <c r="F206" s="37" t="s">
        <v>124</v>
      </c>
      <c r="G206" s="37" t="s">
        <v>125</v>
      </c>
      <c r="H206" s="37" t="s">
        <v>126</v>
      </c>
      <c r="I206" s="37" t="s">
        <v>127</v>
      </c>
      <c r="J206" s="37" t="s">
        <v>34</v>
      </c>
      <c r="K206" s="38">
        <v>0</v>
      </c>
      <c r="L206" s="39"/>
      <c r="M206" s="37" t="s">
        <v>117</v>
      </c>
      <c r="N206" s="40">
        <v>0</v>
      </c>
      <c r="O206" s="38">
        <v>0</v>
      </c>
      <c r="P206" s="38">
        <v>0</v>
      </c>
      <c r="Q206" s="38">
        <v>0</v>
      </c>
      <c r="R206" s="40">
        <v>0</v>
      </c>
      <c r="S206" s="38">
        <v>0</v>
      </c>
      <c r="T206" s="38">
        <v>0</v>
      </c>
      <c r="U206" s="38">
        <v>0</v>
      </c>
      <c r="V206" s="8">
        <f t="shared" si="3"/>
        <v>2022</v>
      </c>
    </row>
    <row r="207" spans="1:22" hidden="1" x14ac:dyDescent="0.25">
      <c r="A207" s="36">
        <v>44896</v>
      </c>
      <c r="B207" s="37" t="s">
        <v>19</v>
      </c>
      <c r="C207" s="37" t="s">
        <v>123</v>
      </c>
      <c r="D207" s="37" t="s">
        <v>59</v>
      </c>
      <c r="E207" s="37" t="s">
        <v>5</v>
      </c>
      <c r="F207" s="37" t="s">
        <v>124</v>
      </c>
      <c r="G207" s="37" t="s">
        <v>125</v>
      </c>
      <c r="H207" s="37" t="s">
        <v>126</v>
      </c>
      <c r="I207" s="37" t="s">
        <v>127</v>
      </c>
      <c r="J207" s="37" t="s">
        <v>34</v>
      </c>
      <c r="K207" s="38">
        <v>855.70621400000005</v>
      </c>
      <c r="L207" s="42">
        <v>9764.51</v>
      </c>
      <c r="M207" s="37" t="s">
        <v>117</v>
      </c>
      <c r="N207" s="40">
        <v>155.09100000000001</v>
      </c>
      <c r="O207" s="38">
        <v>154.92410000000001</v>
      </c>
      <c r="P207" s="38">
        <v>7.9710000000000003E-2</v>
      </c>
      <c r="Q207" s="38">
        <v>8.7010000000000004E-2</v>
      </c>
      <c r="R207" s="40">
        <v>155.09100000000001</v>
      </c>
      <c r="S207" s="38">
        <v>154.92410000000001</v>
      </c>
      <c r="T207" s="38">
        <v>7.9710000000000003E-2</v>
      </c>
      <c r="U207" s="38">
        <v>8.7010000000000004E-2</v>
      </c>
      <c r="V207" s="8">
        <f t="shared" si="3"/>
        <v>2022</v>
      </c>
    </row>
    <row r="208" spans="1:22" hidden="1" x14ac:dyDescent="0.25">
      <c r="A208" s="36">
        <v>44896</v>
      </c>
      <c r="B208" s="37" t="s">
        <v>20</v>
      </c>
      <c r="C208" s="37" t="s">
        <v>123</v>
      </c>
      <c r="D208" s="37" t="s">
        <v>59</v>
      </c>
      <c r="E208" s="37" t="s">
        <v>5</v>
      </c>
      <c r="F208" s="37" t="s">
        <v>124</v>
      </c>
      <c r="G208" s="37" t="s">
        <v>125</v>
      </c>
      <c r="H208" s="37" t="s">
        <v>126</v>
      </c>
      <c r="I208" s="37" t="s">
        <v>127</v>
      </c>
      <c r="J208" s="37" t="s">
        <v>34</v>
      </c>
      <c r="K208" s="38">
        <v>0.99040899999999998</v>
      </c>
      <c r="L208" s="39"/>
      <c r="M208" s="37" t="s">
        <v>117</v>
      </c>
      <c r="N208" s="40">
        <v>0.21299999999999999</v>
      </c>
      <c r="O208" s="38">
        <v>0.21246399999999999</v>
      </c>
      <c r="P208" s="38">
        <v>5.5400000000000002E-4</v>
      </c>
      <c r="Q208" s="38">
        <v>3.0200000000000002E-4</v>
      </c>
      <c r="R208" s="39" t="s">
        <v>117</v>
      </c>
      <c r="S208" s="39"/>
      <c r="T208" s="39"/>
      <c r="U208" s="39"/>
      <c r="V208" s="8">
        <f t="shared" si="3"/>
        <v>2022</v>
      </c>
    </row>
    <row r="209" spans="1:22" hidden="1" x14ac:dyDescent="0.25">
      <c r="A209" s="36">
        <v>44927</v>
      </c>
      <c r="B209" s="37" t="s">
        <v>19</v>
      </c>
      <c r="C209" s="37" t="s">
        <v>123</v>
      </c>
      <c r="D209" s="37" t="s">
        <v>59</v>
      </c>
      <c r="E209" s="37" t="s">
        <v>5</v>
      </c>
      <c r="F209" s="37" t="s">
        <v>124</v>
      </c>
      <c r="G209" s="37" t="s">
        <v>125</v>
      </c>
      <c r="H209" s="37" t="s">
        <v>126</v>
      </c>
      <c r="I209" s="37" t="s">
        <v>127</v>
      </c>
      <c r="J209" s="37" t="s">
        <v>34</v>
      </c>
      <c r="K209" s="38">
        <v>806.39290400000004</v>
      </c>
      <c r="L209" s="42">
        <v>9208.76</v>
      </c>
      <c r="M209" s="37" t="s">
        <v>117</v>
      </c>
      <c r="N209" s="40">
        <v>146.15299999999999</v>
      </c>
      <c r="O209" s="38">
        <v>145.99601200000001</v>
      </c>
      <c r="P209" s="38">
        <v>7.5117000000000003E-2</v>
      </c>
      <c r="Q209" s="38">
        <v>8.1994999999999998E-2</v>
      </c>
      <c r="R209" s="40">
        <v>146.15299999999999</v>
      </c>
      <c r="S209" s="38">
        <v>145.99601200000001</v>
      </c>
      <c r="T209" s="38">
        <v>7.5117000000000003E-2</v>
      </c>
      <c r="U209" s="38">
        <v>8.1995999999999999E-2</v>
      </c>
      <c r="V209" s="8">
        <f t="shared" si="3"/>
        <v>2023</v>
      </c>
    </row>
    <row r="210" spans="1:22" hidden="1" x14ac:dyDescent="0.25">
      <c r="A210" s="36">
        <v>44958</v>
      </c>
      <c r="B210" s="37" t="s">
        <v>19</v>
      </c>
      <c r="C210" s="37" t="s">
        <v>123</v>
      </c>
      <c r="D210" s="37" t="s">
        <v>59</v>
      </c>
      <c r="E210" s="37" t="s">
        <v>5</v>
      </c>
      <c r="F210" s="37" t="s">
        <v>124</v>
      </c>
      <c r="G210" s="37" t="s">
        <v>125</v>
      </c>
      <c r="H210" s="37" t="s">
        <v>126</v>
      </c>
      <c r="I210" s="37" t="s">
        <v>127</v>
      </c>
      <c r="J210" s="37" t="s">
        <v>34</v>
      </c>
      <c r="K210" s="38">
        <v>701.69232599999998</v>
      </c>
      <c r="L210" s="42">
        <v>8028.78</v>
      </c>
      <c r="M210" s="37" t="s">
        <v>117</v>
      </c>
      <c r="N210" s="40">
        <v>127.17700000000001</v>
      </c>
      <c r="O210" s="38">
        <v>127.04015699999999</v>
      </c>
      <c r="P210" s="38">
        <v>6.5364000000000005E-2</v>
      </c>
      <c r="Q210" s="38">
        <v>7.1348999999999996E-2</v>
      </c>
      <c r="R210" s="40">
        <v>127.17700000000001</v>
      </c>
      <c r="S210" s="38">
        <v>127.04015699999999</v>
      </c>
      <c r="T210" s="38">
        <v>6.5364000000000005E-2</v>
      </c>
      <c r="U210" s="38">
        <v>7.1348999999999996E-2</v>
      </c>
      <c r="V210" s="8">
        <f t="shared" si="3"/>
        <v>2023</v>
      </c>
    </row>
    <row r="211" spans="1:22" hidden="1" x14ac:dyDescent="0.25">
      <c r="A211" s="36">
        <v>44986</v>
      </c>
      <c r="B211" s="37" t="s">
        <v>19</v>
      </c>
      <c r="C211" s="37" t="s">
        <v>123</v>
      </c>
      <c r="D211" s="37" t="s">
        <v>59</v>
      </c>
      <c r="E211" s="37" t="s">
        <v>5</v>
      </c>
      <c r="F211" s="37" t="s">
        <v>124</v>
      </c>
      <c r="G211" s="37" t="s">
        <v>125</v>
      </c>
      <c r="H211" s="37" t="s">
        <v>126</v>
      </c>
      <c r="I211" s="37" t="s">
        <v>127</v>
      </c>
      <c r="J211" s="37" t="s">
        <v>34</v>
      </c>
      <c r="K211" s="38">
        <v>724.93573400000002</v>
      </c>
      <c r="L211" s="42">
        <v>8290.75</v>
      </c>
      <c r="M211" s="37" t="s">
        <v>117</v>
      </c>
      <c r="N211" s="40">
        <v>131.38999999999999</v>
      </c>
      <c r="O211" s="38">
        <v>131.248335</v>
      </c>
      <c r="P211" s="38">
        <v>6.7529000000000006E-2</v>
      </c>
      <c r="Q211" s="38">
        <v>7.3713000000000001E-2</v>
      </c>
      <c r="R211" s="40">
        <v>131.38999999999999</v>
      </c>
      <c r="S211" s="38">
        <v>131.248335</v>
      </c>
      <c r="T211" s="38">
        <v>6.7529000000000006E-2</v>
      </c>
      <c r="U211" s="38">
        <v>7.3713000000000001E-2</v>
      </c>
      <c r="V211" s="8">
        <f t="shared" si="3"/>
        <v>2023</v>
      </c>
    </row>
    <row r="212" spans="1:22" hidden="1" x14ac:dyDescent="0.25">
      <c r="A212" s="36">
        <v>45017</v>
      </c>
      <c r="B212" s="37" t="s">
        <v>19</v>
      </c>
      <c r="C212" s="37" t="s">
        <v>123</v>
      </c>
      <c r="D212" s="37" t="s">
        <v>59</v>
      </c>
      <c r="E212" s="37" t="s">
        <v>5</v>
      </c>
      <c r="F212" s="37" t="s">
        <v>124</v>
      </c>
      <c r="G212" s="37" t="s">
        <v>125</v>
      </c>
      <c r="H212" s="37" t="s">
        <v>126</v>
      </c>
      <c r="I212" s="37" t="s">
        <v>127</v>
      </c>
      <c r="J212" s="37" t="s">
        <v>34</v>
      </c>
      <c r="K212" s="38">
        <v>448.11967499999997</v>
      </c>
      <c r="L212" s="42">
        <v>5183.1000000000004</v>
      </c>
      <c r="M212" s="37" t="s">
        <v>117</v>
      </c>
      <c r="N212" s="40">
        <v>81.218999999999994</v>
      </c>
      <c r="O212" s="38">
        <v>81.131276</v>
      </c>
      <c r="P212" s="38">
        <v>4.1743000000000002E-2</v>
      </c>
      <c r="Q212" s="38">
        <v>4.5566000000000002E-2</v>
      </c>
      <c r="R212" s="40">
        <v>81.218999999999994</v>
      </c>
      <c r="S212" s="38">
        <v>81.131276</v>
      </c>
      <c r="T212" s="38">
        <v>4.1743000000000002E-2</v>
      </c>
      <c r="U212" s="38">
        <v>4.5566000000000002E-2</v>
      </c>
      <c r="V212" s="8">
        <f t="shared" si="3"/>
        <v>2023</v>
      </c>
    </row>
    <row r="213" spans="1:22" hidden="1" x14ac:dyDescent="0.25">
      <c r="A213" s="36">
        <v>45047</v>
      </c>
      <c r="B213" s="37" t="s">
        <v>19</v>
      </c>
      <c r="C213" s="37" t="s">
        <v>123</v>
      </c>
      <c r="D213" s="37" t="s">
        <v>59</v>
      </c>
      <c r="E213" s="37" t="s">
        <v>5</v>
      </c>
      <c r="F213" s="37" t="s">
        <v>124</v>
      </c>
      <c r="G213" s="37" t="s">
        <v>125</v>
      </c>
      <c r="H213" s="37" t="s">
        <v>126</v>
      </c>
      <c r="I213" s="37" t="s">
        <v>127</v>
      </c>
      <c r="J213" s="37" t="s">
        <v>34</v>
      </c>
      <c r="K213" s="38">
        <v>517.57927700000005</v>
      </c>
      <c r="L213" s="42">
        <v>5968.86</v>
      </c>
      <c r="M213" s="37" t="s">
        <v>117</v>
      </c>
      <c r="N213" s="40">
        <v>93.808000000000007</v>
      </c>
      <c r="O213" s="38">
        <v>93.706815000000006</v>
      </c>
      <c r="P213" s="38">
        <v>4.8212999999999999E-2</v>
      </c>
      <c r="Q213" s="38">
        <v>5.2628000000000001E-2</v>
      </c>
      <c r="R213" s="40">
        <v>93.808000000000007</v>
      </c>
      <c r="S213" s="38">
        <v>93.706815000000006</v>
      </c>
      <c r="T213" s="38">
        <v>4.8212999999999999E-2</v>
      </c>
      <c r="U213" s="38">
        <v>5.2628000000000001E-2</v>
      </c>
      <c r="V213" s="8">
        <f t="shared" si="3"/>
        <v>2023</v>
      </c>
    </row>
    <row r="214" spans="1:22" hidden="1" x14ac:dyDescent="0.25">
      <c r="A214" s="36">
        <v>45078</v>
      </c>
      <c r="B214" s="37" t="s">
        <v>19</v>
      </c>
      <c r="C214" s="37" t="s">
        <v>123</v>
      </c>
      <c r="D214" s="37" t="s">
        <v>59</v>
      </c>
      <c r="E214" s="37" t="s">
        <v>5</v>
      </c>
      <c r="F214" s="37" t="s">
        <v>124</v>
      </c>
      <c r="G214" s="37" t="s">
        <v>125</v>
      </c>
      <c r="H214" s="37" t="s">
        <v>126</v>
      </c>
      <c r="I214" s="37" t="s">
        <v>127</v>
      </c>
      <c r="J214" s="37" t="s">
        <v>34</v>
      </c>
      <c r="K214" s="38">
        <v>391.92054300000001</v>
      </c>
      <c r="L214" s="42">
        <v>4549.13</v>
      </c>
      <c r="M214" s="37" t="s">
        <v>117</v>
      </c>
      <c r="N214" s="40">
        <v>71.033000000000001</v>
      </c>
      <c r="O214" s="38">
        <v>70.956523000000004</v>
      </c>
      <c r="P214" s="38">
        <v>3.6507999999999999E-2</v>
      </c>
      <c r="Q214" s="38">
        <v>3.9850999999999998E-2</v>
      </c>
      <c r="R214" s="40">
        <v>71.033000000000001</v>
      </c>
      <c r="S214" s="38">
        <v>70.956523000000004</v>
      </c>
      <c r="T214" s="38">
        <v>3.6507999999999999E-2</v>
      </c>
      <c r="U214" s="38">
        <v>3.9850999999999998E-2</v>
      </c>
      <c r="V214" s="8">
        <f t="shared" si="3"/>
        <v>2023</v>
      </c>
    </row>
    <row r="215" spans="1:22" hidden="1" x14ac:dyDescent="0.25">
      <c r="A215" s="36">
        <v>45108</v>
      </c>
      <c r="B215" s="37" t="s">
        <v>19</v>
      </c>
      <c r="C215" s="37" t="s">
        <v>123</v>
      </c>
      <c r="D215" s="37" t="s">
        <v>59</v>
      </c>
      <c r="E215" s="37" t="s">
        <v>5</v>
      </c>
      <c r="F215" s="37" t="s">
        <v>124</v>
      </c>
      <c r="G215" s="37" t="s">
        <v>125</v>
      </c>
      <c r="H215" s="37" t="s">
        <v>126</v>
      </c>
      <c r="I215" s="37" t="s">
        <v>127</v>
      </c>
      <c r="J215" s="37" t="s">
        <v>34</v>
      </c>
      <c r="K215" s="38">
        <v>363.20456000000001</v>
      </c>
      <c r="L215" s="42">
        <v>4393.74</v>
      </c>
      <c r="M215" s="37" t="s">
        <v>117</v>
      </c>
      <c r="N215" s="40">
        <v>65.828000000000003</v>
      </c>
      <c r="O215" s="38">
        <v>65.757544999999993</v>
      </c>
      <c r="P215" s="38">
        <v>3.3833000000000002E-2</v>
      </c>
      <c r="Q215" s="38">
        <v>3.6930999999999999E-2</v>
      </c>
      <c r="R215" s="40">
        <v>65.828000000000003</v>
      </c>
      <c r="S215" s="38">
        <v>65.757544999999993</v>
      </c>
      <c r="T215" s="38">
        <v>3.3833000000000002E-2</v>
      </c>
      <c r="U215" s="38">
        <v>3.6930999999999999E-2</v>
      </c>
      <c r="V215" s="8">
        <f t="shared" si="3"/>
        <v>2023</v>
      </c>
    </row>
    <row r="216" spans="1:22" hidden="1" x14ac:dyDescent="0.25">
      <c r="A216" s="36">
        <v>45139</v>
      </c>
      <c r="B216" s="37" t="s">
        <v>19</v>
      </c>
      <c r="C216" s="37" t="s">
        <v>123</v>
      </c>
      <c r="D216" s="37" t="s">
        <v>59</v>
      </c>
      <c r="E216" s="37" t="s">
        <v>5</v>
      </c>
      <c r="F216" s="37" t="s">
        <v>124</v>
      </c>
      <c r="G216" s="37" t="s">
        <v>125</v>
      </c>
      <c r="H216" s="37" t="s">
        <v>126</v>
      </c>
      <c r="I216" s="37" t="s">
        <v>127</v>
      </c>
      <c r="J216" s="37" t="s">
        <v>34</v>
      </c>
      <c r="K216" s="38">
        <v>368.07575300000002</v>
      </c>
      <c r="L216" s="42">
        <v>4450.96</v>
      </c>
      <c r="M216" s="37" t="s">
        <v>117</v>
      </c>
      <c r="N216" s="40">
        <v>66.710999999999999</v>
      </c>
      <c r="O216" s="38">
        <v>66.639465000000001</v>
      </c>
      <c r="P216" s="38">
        <v>3.4286999999999998E-2</v>
      </c>
      <c r="Q216" s="38">
        <v>3.7427000000000002E-2</v>
      </c>
      <c r="R216" s="40">
        <v>66.710999999999999</v>
      </c>
      <c r="S216" s="38">
        <v>66.639465000000001</v>
      </c>
      <c r="T216" s="38">
        <v>3.4286999999999998E-2</v>
      </c>
      <c r="U216" s="38">
        <v>3.7427000000000002E-2</v>
      </c>
      <c r="V216" s="8">
        <f t="shared" si="3"/>
        <v>2023</v>
      </c>
    </row>
    <row r="217" spans="1:22" hidden="1" x14ac:dyDescent="0.25">
      <c r="A217" s="36">
        <v>45170</v>
      </c>
      <c r="B217" s="37" t="s">
        <v>19</v>
      </c>
      <c r="C217" s="37" t="s">
        <v>123</v>
      </c>
      <c r="D217" s="37" t="s">
        <v>59</v>
      </c>
      <c r="E217" s="37" t="s">
        <v>5</v>
      </c>
      <c r="F217" s="37" t="s">
        <v>124</v>
      </c>
      <c r="G217" s="37" t="s">
        <v>125</v>
      </c>
      <c r="H217" s="37" t="s">
        <v>126</v>
      </c>
      <c r="I217" s="37" t="s">
        <v>127</v>
      </c>
      <c r="J217" s="37" t="s">
        <v>34</v>
      </c>
      <c r="K217" s="38">
        <v>346.51621399999999</v>
      </c>
      <c r="L217" s="42">
        <v>4197.7299999999996</v>
      </c>
      <c r="M217" s="37" t="s">
        <v>117</v>
      </c>
      <c r="N217" s="40">
        <v>62.804000000000002</v>
      </c>
      <c r="O217" s="38">
        <v>62.736148999999997</v>
      </c>
      <c r="P217" s="38">
        <v>3.2278000000000001E-2</v>
      </c>
      <c r="Q217" s="38">
        <v>3.5234000000000001E-2</v>
      </c>
      <c r="R217" s="40">
        <v>62.804000000000002</v>
      </c>
      <c r="S217" s="38">
        <v>62.736148999999997</v>
      </c>
      <c r="T217" s="38">
        <v>3.2278000000000001E-2</v>
      </c>
      <c r="U217" s="38">
        <v>3.5234000000000001E-2</v>
      </c>
      <c r="V217" s="8">
        <f t="shared" si="3"/>
        <v>2023</v>
      </c>
    </row>
    <row r="218" spans="1:22" hidden="1" x14ac:dyDescent="0.25">
      <c r="A218" s="36">
        <v>45200</v>
      </c>
      <c r="B218" s="37" t="s">
        <v>19</v>
      </c>
      <c r="C218" s="37" t="s">
        <v>123</v>
      </c>
      <c r="D218" s="37" t="s">
        <v>59</v>
      </c>
      <c r="E218" s="37" t="s">
        <v>5</v>
      </c>
      <c r="F218" s="37" t="s">
        <v>124</v>
      </c>
      <c r="G218" s="37" t="s">
        <v>125</v>
      </c>
      <c r="H218" s="37" t="s">
        <v>126</v>
      </c>
      <c r="I218" s="37" t="s">
        <v>127</v>
      </c>
      <c r="J218" s="37" t="s">
        <v>34</v>
      </c>
      <c r="K218" s="38">
        <v>473.61826500000001</v>
      </c>
      <c r="L218" s="42">
        <v>5756.35</v>
      </c>
      <c r="M218" s="37" t="s">
        <v>117</v>
      </c>
      <c r="N218" s="40">
        <v>85.84</v>
      </c>
      <c r="O218" s="38">
        <v>85.747750999999994</v>
      </c>
      <c r="P218" s="38">
        <v>4.4117999999999997E-2</v>
      </c>
      <c r="Q218" s="38">
        <v>4.8157999999999999E-2</v>
      </c>
      <c r="R218" s="40">
        <v>85.84</v>
      </c>
      <c r="S218" s="38">
        <v>85.747750999999994</v>
      </c>
      <c r="T218" s="38">
        <v>4.4117999999999997E-2</v>
      </c>
      <c r="U218" s="38">
        <v>4.8157999999999999E-2</v>
      </c>
      <c r="V218" s="8">
        <f t="shared" si="3"/>
        <v>2023</v>
      </c>
    </row>
    <row r="219" spans="1:22" hidden="1" x14ac:dyDescent="0.25">
      <c r="A219" s="36">
        <v>45231</v>
      </c>
      <c r="B219" s="37" t="s">
        <v>19</v>
      </c>
      <c r="C219" s="37" t="s">
        <v>123</v>
      </c>
      <c r="D219" s="37" t="s">
        <v>59</v>
      </c>
      <c r="E219" s="37" t="s">
        <v>5</v>
      </c>
      <c r="F219" s="37" t="s">
        <v>124</v>
      </c>
      <c r="G219" s="37" t="s">
        <v>125</v>
      </c>
      <c r="H219" s="37" t="s">
        <v>126</v>
      </c>
      <c r="I219" s="37" t="s">
        <v>127</v>
      </c>
      <c r="J219" s="37" t="s">
        <v>34</v>
      </c>
      <c r="K219" s="38">
        <v>715.37376300000005</v>
      </c>
      <c r="L219" s="42">
        <v>8636.15</v>
      </c>
      <c r="M219" s="37" t="s">
        <v>117</v>
      </c>
      <c r="N219" s="40">
        <v>129.65700000000001</v>
      </c>
      <c r="O219" s="38">
        <v>129.517157</v>
      </c>
      <c r="P219" s="38">
        <v>6.6638000000000003E-2</v>
      </c>
      <c r="Q219" s="38">
        <v>7.2741E-2</v>
      </c>
      <c r="R219" s="40">
        <v>129.65700000000001</v>
      </c>
      <c r="S219" s="38">
        <v>129.517157</v>
      </c>
      <c r="T219" s="38">
        <v>6.6638000000000003E-2</v>
      </c>
      <c r="U219" s="38">
        <v>7.2741E-2</v>
      </c>
      <c r="V219" s="8">
        <f t="shared" si="3"/>
        <v>2023</v>
      </c>
    </row>
    <row r="220" spans="1:22" hidden="1" x14ac:dyDescent="0.25">
      <c r="A220" s="36">
        <v>45261</v>
      </c>
      <c r="B220" s="37" t="s">
        <v>19</v>
      </c>
      <c r="C220" s="37" t="s">
        <v>123</v>
      </c>
      <c r="D220" s="37" t="s">
        <v>59</v>
      </c>
      <c r="E220" s="37" t="s">
        <v>5</v>
      </c>
      <c r="F220" s="37" t="s">
        <v>124</v>
      </c>
      <c r="G220" s="37" t="s">
        <v>125</v>
      </c>
      <c r="H220" s="37" t="s">
        <v>126</v>
      </c>
      <c r="I220" s="37" t="s">
        <v>127</v>
      </c>
      <c r="J220" s="37" t="s">
        <v>34</v>
      </c>
      <c r="K220" s="38">
        <v>708.93897700000002</v>
      </c>
      <c r="L220" s="42">
        <v>21839.040000000001</v>
      </c>
      <c r="M220" s="37" t="s">
        <v>117</v>
      </c>
      <c r="N220" s="40">
        <v>128.49</v>
      </c>
      <c r="O220" s="38">
        <v>128.35215099999999</v>
      </c>
      <c r="P220" s="38">
        <v>6.6039E-2</v>
      </c>
      <c r="Q220" s="38">
        <v>7.2085999999999997E-2</v>
      </c>
      <c r="R220" s="40">
        <v>128.49</v>
      </c>
      <c r="S220" s="38">
        <v>128.35215099999999</v>
      </c>
      <c r="T220" s="38">
        <v>6.6039E-2</v>
      </c>
      <c r="U220" s="38">
        <v>7.2085999999999997E-2</v>
      </c>
      <c r="V220" s="8">
        <f t="shared" si="3"/>
        <v>2023</v>
      </c>
    </row>
    <row r="221" spans="1:22" hidden="1" x14ac:dyDescent="0.25">
      <c r="A221" s="36">
        <v>44562</v>
      </c>
      <c r="B221" s="37" t="s">
        <v>23</v>
      </c>
      <c r="C221" s="37" t="s">
        <v>123</v>
      </c>
      <c r="D221" s="37" t="s">
        <v>59</v>
      </c>
      <c r="E221" s="37" t="s">
        <v>6</v>
      </c>
      <c r="F221" s="37" t="s">
        <v>124</v>
      </c>
      <c r="G221" s="37" t="s">
        <v>125</v>
      </c>
      <c r="H221" s="37" t="s">
        <v>126</v>
      </c>
      <c r="I221" s="37" t="s">
        <v>127</v>
      </c>
      <c r="J221" s="37" t="s">
        <v>34</v>
      </c>
      <c r="K221" s="38">
        <v>3.0275799999999999</v>
      </c>
      <c r="L221" s="42">
        <v>424.46</v>
      </c>
      <c r="M221" s="37" t="s">
        <v>117</v>
      </c>
      <c r="N221" s="40">
        <v>1.4390000000000001</v>
      </c>
      <c r="O221" s="38">
        <v>1.439174</v>
      </c>
      <c r="P221" s="39"/>
      <c r="Q221" s="39"/>
      <c r="R221" s="40">
        <v>1.446</v>
      </c>
      <c r="S221" s="38">
        <v>1.4366399999999999</v>
      </c>
      <c r="T221" s="38">
        <v>5.2490000000000002E-3</v>
      </c>
      <c r="U221" s="38">
        <v>3.64E-3</v>
      </c>
      <c r="V221" s="8">
        <f t="shared" si="3"/>
        <v>2022</v>
      </c>
    </row>
    <row r="222" spans="1:22" hidden="1" x14ac:dyDescent="0.25">
      <c r="A222" s="36">
        <v>44593</v>
      </c>
      <c r="B222" s="37" t="s">
        <v>23</v>
      </c>
      <c r="C222" s="37" t="s">
        <v>123</v>
      </c>
      <c r="D222" s="37" t="s">
        <v>59</v>
      </c>
      <c r="E222" s="37" t="s">
        <v>6</v>
      </c>
      <c r="F222" s="37" t="s">
        <v>124</v>
      </c>
      <c r="G222" s="37" t="s">
        <v>125</v>
      </c>
      <c r="H222" s="37" t="s">
        <v>126</v>
      </c>
      <c r="I222" s="37" t="s">
        <v>127</v>
      </c>
      <c r="J222" s="37" t="s">
        <v>34</v>
      </c>
      <c r="K222" s="38">
        <v>2.7774999999999999</v>
      </c>
      <c r="L222" s="42">
        <v>475.83</v>
      </c>
      <c r="M222" s="37" t="s">
        <v>117</v>
      </c>
      <c r="N222" s="40">
        <v>1.32</v>
      </c>
      <c r="O222" s="38">
        <v>1.3202970000000001</v>
      </c>
      <c r="P222" s="39"/>
      <c r="Q222" s="39"/>
      <c r="R222" s="40">
        <v>1.3260000000000001</v>
      </c>
      <c r="S222" s="38">
        <v>1.3179719999999999</v>
      </c>
      <c r="T222" s="38">
        <v>4.8149999999999998E-3</v>
      </c>
      <c r="U222" s="38">
        <v>3.339E-3</v>
      </c>
      <c r="V222" s="8">
        <f t="shared" si="3"/>
        <v>2022</v>
      </c>
    </row>
    <row r="223" spans="1:22" hidden="1" x14ac:dyDescent="0.25">
      <c r="A223" s="36">
        <v>44621</v>
      </c>
      <c r="B223" s="37" t="s">
        <v>23</v>
      </c>
      <c r="C223" s="37" t="s">
        <v>123</v>
      </c>
      <c r="D223" s="37" t="s">
        <v>59</v>
      </c>
      <c r="E223" s="37" t="s">
        <v>6</v>
      </c>
      <c r="F223" s="37" t="s">
        <v>124</v>
      </c>
      <c r="G223" s="37" t="s">
        <v>125</v>
      </c>
      <c r="H223" s="37" t="s">
        <v>126</v>
      </c>
      <c r="I223" s="37" t="s">
        <v>127</v>
      </c>
      <c r="J223" s="37" t="s">
        <v>34</v>
      </c>
      <c r="K223" s="38">
        <v>2.89358</v>
      </c>
      <c r="L223" s="42">
        <v>458.17</v>
      </c>
      <c r="M223" s="37" t="s">
        <v>117</v>
      </c>
      <c r="N223" s="40">
        <v>1.375</v>
      </c>
      <c r="O223" s="38">
        <v>1.3754770000000001</v>
      </c>
      <c r="P223" s="39"/>
      <c r="Q223" s="39"/>
      <c r="R223" s="40">
        <v>1.3819999999999999</v>
      </c>
      <c r="S223" s="38">
        <v>1.373054</v>
      </c>
      <c r="T223" s="38">
        <v>5.0159999999999996E-3</v>
      </c>
      <c r="U223" s="38">
        <v>3.4789999999999999E-3</v>
      </c>
      <c r="V223" s="8">
        <f t="shared" si="3"/>
        <v>2022</v>
      </c>
    </row>
    <row r="224" spans="1:22" hidden="1" x14ac:dyDescent="0.25">
      <c r="A224" s="36">
        <v>44652</v>
      </c>
      <c r="B224" s="37" t="s">
        <v>23</v>
      </c>
      <c r="C224" s="37" t="s">
        <v>123</v>
      </c>
      <c r="D224" s="37" t="s">
        <v>59</v>
      </c>
      <c r="E224" s="37" t="s">
        <v>6</v>
      </c>
      <c r="F224" s="37" t="s">
        <v>124</v>
      </c>
      <c r="G224" s="37" t="s">
        <v>125</v>
      </c>
      <c r="H224" s="37" t="s">
        <v>126</v>
      </c>
      <c r="I224" s="37" t="s">
        <v>127</v>
      </c>
      <c r="J224" s="37" t="s">
        <v>34</v>
      </c>
      <c r="K224" s="38">
        <v>36.570459999999997</v>
      </c>
      <c r="L224" s="42">
        <v>4589.1000000000004</v>
      </c>
      <c r="M224" s="37" t="s">
        <v>117</v>
      </c>
      <c r="N224" s="40">
        <v>17.384</v>
      </c>
      <c r="O224" s="38">
        <v>17.383935999999999</v>
      </c>
      <c r="P224" s="39"/>
      <c r="Q224" s="39"/>
      <c r="R224" s="40">
        <v>17.460999999999999</v>
      </c>
      <c r="S224" s="38">
        <v>17.353323</v>
      </c>
      <c r="T224" s="38">
        <v>6.3399999999999998E-2</v>
      </c>
      <c r="U224" s="38">
        <v>4.3966999999999999E-2</v>
      </c>
      <c r="V224" s="8">
        <f t="shared" si="3"/>
        <v>2022</v>
      </c>
    </row>
    <row r="225" spans="1:22" hidden="1" x14ac:dyDescent="0.25">
      <c r="A225" s="36">
        <v>44682</v>
      </c>
      <c r="B225" s="37" t="s">
        <v>23</v>
      </c>
      <c r="C225" s="37" t="s">
        <v>123</v>
      </c>
      <c r="D225" s="37" t="s">
        <v>59</v>
      </c>
      <c r="E225" s="37" t="s">
        <v>6</v>
      </c>
      <c r="F225" s="37" t="s">
        <v>124</v>
      </c>
      <c r="G225" s="37" t="s">
        <v>125</v>
      </c>
      <c r="H225" s="37" t="s">
        <v>126</v>
      </c>
      <c r="I225" s="37" t="s">
        <v>127</v>
      </c>
      <c r="J225" s="37" t="s">
        <v>34</v>
      </c>
      <c r="K225" s="38">
        <v>120.59268</v>
      </c>
      <c r="L225" s="42">
        <v>14764.8</v>
      </c>
      <c r="M225" s="37" t="s">
        <v>117</v>
      </c>
      <c r="N225" s="40">
        <v>57.323999999999998</v>
      </c>
      <c r="O225" s="38">
        <v>57.324285000000003</v>
      </c>
      <c r="P225" s="39"/>
      <c r="Q225" s="39"/>
      <c r="R225" s="40">
        <v>57.576999999999998</v>
      </c>
      <c r="S225" s="38">
        <v>57.223336000000003</v>
      </c>
      <c r="T225" s="38">
        <v>0.209063</v>
      </c>
      <c r="U225" s="38">
        <v>0.144982</v>
      </c>
      <c r="V225" s="8">
        <f t="shared" si="3"/>
        <v>2022</v>
      </c>
    </row>
    <row r="226" spans="1:22" hidden="1" x14ac:dyDescent="0.25">
      <c r="A226" s="36">
        <v>44713</v>
      </c>
      <c r="B226" s="37" t="s">
        <v>23</v>
      </c>
      <c r="C226" s="37" t="s">
        <v>123</v>
      </c>
      <c r="D226" s="37" t="s">
        <v>59</v>
      </c>
      <c r="E226" s="37" t="s">
        <v>6</v>
      </c>
      <c r="F226" s="37" t="s">
        <v>124</v>
      </c>
      <c r="G226" s="37" t="s">
        <v>125</v>
      </c>
      <c r="H226" s="37" t="s">
        <v>126</v>
      </c>
      <c r="I226" s="37" t="s">
        <v>127</v>
      </c>
      <c r="J226" s="37" t="s">
        <v>34</v>
      </c>
      <c r="K226" s="38">
        <v>135.7064</v>
      </c>
      <c r="L226" s="42">
        <v>19702.47</v>
      </c>
      <c r="M226" s="37" t="s">
        <v>117</v>
      </c>
      <c r="N226" s="40">
        <v>64.509</v>
      </c>
      <c r="O226" s="38">
        <v>64.508661000000004</v>
      </c>
      <c r="P226" s="39"/>
      <c r="Q226" s="39"/>
      <c r="R226" s="40">
        <v>64.793000000000006</v>
      </c>
      <c r="S226" s="38">
        <v>64.395060999999998</v>
      </c>
      <c r="T226" s="38">
        <v>0.235265</v>
      </c>
      <c r="U226" s="38">
        <v>0.16315299999999999</v>
      </c>
      <c r="V226" s="8">
        <f t="shared" si="3"/>
        <v>2022</v>
      </c>
    </row>
    <row r="227" spans="1:22" hidden="1" x14ac:dyDescent="0.25">
      <c r="A227" s="36">
        <v>44743</v>
      </c>
      <c r="B227" s="37" t="s">
        <v>23</v>
      </c>
      <c r="C227" s="37" t="s">
        <v>123</v>
      </c>
      <c r="D227" s="37" t="s">
        <v>59</v>
      </c>
      <c r="E227" s="37" t="s">
        <v>6</v>
      </c>
      <c r="F227" s="37" t="s">
        <v>124</v>
      </c>
      <c r="G227" s="37" t="s">
        <v>125</v>
      </c>
      <c r="H227" s="37" t="s">
        <v>126</v>
      </c>
      <c r="I227" s="37" t="s">
        <v>127</v>
      </c>
      <c r="J227" s="37" t="s">
        <v>34</v>
      </c>
      <c r="K227" s="38">
        <v>130.744</v>
      </c>
      <c r="L227" s="42">
        <v>21199.58</v>
      </c>
      <c r="M227" s="37" t="s">
        <v>117</v>
      </c>
      <c r="N227" s="40">
        <v>62.15</v>
      </c>
      <c r="O227" s="38">
        <v>62.149762000000003</v>
      </c>
      <c r="P227" s="39"/>
      <c r="Q227" s="39"/>
      <c r="R227" s="40">
        <v>62.423999999999999</v>
      </c>
      <c r="S227" s="38">
        <v>62.040315</v>
      </c>
      <c r="T227" s="38">
        <v>0.226662</v>
      </c>
      <c r="U227" s="38">
        <v>0.15718699999999999</v>
      </c>
      <c r="V227" s="8">
        <f t="shared" si="3"/>
        <v>2022</v>
      </c>
    </row>
    <row r="228" spans="1:22" hidden="1" x14ac:dyDescent="0.25">
      <c r="A228" s="36">
        <v>44774</v>
      </c>
      <c r="B228" s="37" t="s">
        <v>23</v>
      </c>
      <c r="C228" s="37" t="s">
        <v>123</v>
      </c>
      <c r="D228" s="37" t="s">
        <v>59</v>
      </c>
      <c r="E228" s="37" t="s">
        <v>6</v>
      </c>
      <c r="F228" s="37" t="s">
        <v>124</v>
      </c>
      <c r="G228" s="37" t="s">
        <v>125</v>
      </c>
      <c r="H228" s="37" t="s">
        <v>126</v>
      </c>
      <c r="I228" s="37" t="s">
        <v>127</v>
      </c>
      <c r="J228" s="37" t="s">
        <v>34</v>
      </c>
      <c r="K228" s="38">
        <v>137.479252</v>
      </c>
      <c r="L228" s="42">
        <v>21708.6</v>
      </c>
      <c r="M228" s="37" t="s">
        <v>117</v>
      </c>
      <c r="N228" s="40">
        <v>65.350999999999999</v>
      </c>
      <c r="O228" s="38">
        <v>65.351394999999997</v>
      </c>
      <c r="P228" s="39"/>
      <c r="Q228" s="39"/>
      <c r="R228" s="40">
        <v>65.64</v>
      </c>
      <c r="S228" s="38">
        <v>65.236310000000003</v>
      </c>
      <c r="T228" s="38">
        <v>0.23833799999999999</v>
      </c>
      <c r="U228" s="38">
        <v>0.16528399999999999</v>
      </c>
      <c r="V228" s="8">
        <f t="shared" si="3"/>
        <v>2022</v>
      </c>
    </row>
    <row r="229" spans="1:22" hidden="1" x14ac:dyDescent="0.25">
      <c r="A229" s="36">
        <v>44805</v>
      </c>
      <c r="B229" s="37" t="s">
        <v>23</v>
      </c>
      <c r="C229" s="37" t="s">
        <v>123</v>
      </c>
      <c r="D229" s="37" t="s">
        <v>59</v>
      </c>
      <c r="E229" s="37" t="s">
        <v>6</v>
      </c>
      <c r="F229" s="37" t="s">
        <v>124</v>
      </c>
      <c r="G229" s="37" t="s">
        <v>125</v>
      </c>
      <c r="H229" s="37" t="s">
        <v>126</v>
      </c>
      <c r="I229" s="37" t="s">
        <v>127</v>
      </c>
      <c r="J229" s="37" t="s">
        <v>34</v>
      </c>
      <c r="K229" s="38">
        <v>141.512528</v>
      </c>
      <c r="L229" s="42">
        <v>26384.3</v>
      </c>
      <c r="M229" s="37" t="s">
        <v>117</v>
      </c>
      <c r="N229" s="40">
        <v>67.269000000000005</v>
      </c>
      <c r="O229" s="38">
        <v>67.268630999999999</v>
      </c>
      <c r="P229" s="39"/>
      <c r="Q229" s="39"/>
      <c r="R229" s="40">
        <v>67.566000000000003</v>
      </c>
      <c r="S229" s="38">
        <v>67.150170000000003</v>
      </c>
      <c r="T229" s="38">
        <v>0.24532999999999999</v>
      </c>
      <c r="U229" s="38">
        <v>0.17013300000000001</v>
      </c>
      <c r="V229" s="8">
        <f t="shared" si="3"/>
        <v>2022</v>
      </c>
    </row>
    <row r="230" spans="1:22" hidden="1" x14ac:dyDescent="0.25">
      <c r="A230" s="36">
        <v>44835</v>
      </c>
      <c r="B230" s="37" t="s">
        <v>23</v>
      </c>
      <c r="C230" s="37" t="s">
        <v>123</v>
      </c>
      <c r="D230" s="37" t="s">
        <v>59</v>
      </c>
      <c r="E230" s="37" t="s">
        <v>6</v>
      </c>
      <c r="F230" s="37" t="s">
        <v>124</v>
      </c>
      <c r="G230" s="37" t="s">
        <v>125</v>
      </c>
      <c r="H230" s="37" t="s">
        <v>126</v>
      </c>
      <c r="I230" s="37" t="s">
        <v>127</v>
      </c>
      <c r="J230" s="37" t="s">
        <v>34</v>
      </c>
      <c r="K230" s="38">
        <v>125.04944</v>
      </c>
      <c r="L230" s="42">
        <v>25780.67</v>
      </c>
      <c r="M230" s="37" t="s">
        <v>117</v>
      </c>
      <c r="N230" s="40">
        <v>59.442999999999998</v>
      </c>
      <c r="O230" s="38">
        <v>59.442825999999997</v>
      </c>
      <c r="P230" s="39"/>
      <c r="Q230" s="39"/>
      <c r="R230" s="40">
        <v>59.704999999999998</v>
      </c>
      <c r="S230" s="38">
        <v>59.338146999999999</v>
      </c>
      <c r="T230" s="38">
        <v>0.21678900000000001</v>
      </c>
      <c r="U230" s="38">
        <v>0.15034</v>
      </c>
      <c r="V230" s="8">
        <f t="shared" si="3"/>
        <v>2022</v>
      </c>
    </row>
    <row r="231" spans="1:22" hidden="1" x14ac:dyDescent="0.25">
      <c r="A231" s="36">
        <v>44866</v>
      </c>
      <c r="B231" s="37" t="s">
        <v>23</v>
      </c>
      <c r="C231" s="37" t="s">
        <v>123</v>
      </c>
      <c r="D231" s="37" t="s">
        <v>59</v>
      </c>
      <c r="E231" s="37" t="s">
        <v>6</v>
      </c>
      <c r="F231" s="37" t="s">
        <v>124</v>
      </c>
      <c r="G231" s="37" t="s">
        <v>125</v>
      </c>
      <c r="H231" s="37" t="s">
        <v>126</v>
      </c>
      <c r="I231" s="37" t="s">
        <v>127</v>
      </c>
      <c r="J231" s="37" t="s">
        <v>34</v>
      </c>
      <c r="K231" s="38">
        <v>117.13462</v>
      </c>
      <c r="L231" s="42">
        <v>23053.1</v>
      </c>
      <c r="M231" s="37" t="s">
        <v>117</v>
      </c>
      <c r="N231" s="40">
        <v>55.68</v>
      </c>
      <c r="O231" s="38">
        <v>55.680480000000003</v>
      </c>
      <c r="P231" s="39"/>
      <c r="Q231" s="39"/>
      <c r="R231" s="40">
        <v>55.926000000000002</v>
      </c>
      <c r="S231" s="38">
        <v>55.582425999999998</v>
      </c>
      <c r="T231" s="38">
        <v>0.203068</v>
      </c>
      <c r="U231" s="38">
        <v>0.14082500000000001</v>
      </c>
      <c r="V231" s="8">
        <f t="shared" si="3"/>
        <v>2022</v>
      </c>
    </row>
    <row r="232" spans="1:22" hidden="1" x14ac:dyDescent="0.25">
      <c r="A232" s="36">
        <v>44896</v>
      </c>
      <c r="B232" s="37" t="s">
        <v>23</v>
      </c>
      <c r="C232" s="37" t="s">
        <v>123</v>
      </c>
      <c r="D232" s="37" t="s">
        <v>59</v>
      </c>
      <c r="E232" s="37" t="s">
        <v>6</v>
      </c>
      <c r="F232" s="37" t="s">
        <v>124</v>
      </c>
      <c r="G232" s="37" t="s">
        <v>125</v>
      </c>
      <c r="H232" s="37" t="s">
        <v>126</v>
      </c>
      <c r="I232" s="37" t="s">
        <v>127</v>
      </c>
      <c r="J232" s="37" t="s">
        <v>34</v>
      </c>
      <c r="K232" s="38">
        <v>119.71641</v>
      </c>
      <c r="L232" s="42">
        <v>26380.07</v>
      </c>
      <c r="M232" s="37" t="s">
        <v>117</v>
      </c>
      <c r="N232" s="40">
        <v>56.908000000000001</v>
      </c>
      <c r="O232" s="38">
        <v>56.907746000000003</v>
      </c>
      <c r="P232" s="39"/>
      <c r="Q232" s="39"/>
      <c r="R232" s="40">
        <v>57.158999999999999</v>
      </c>
      <c r="S232" s="38">
        <v>56.807530999999997</v>
      </c>
      <c r="T232" s="38">
        <v>0.20754400000000001</v>
      </c>
      <c r="U232" s="38">
        <v>0.143929</v>
      </c>
      <c r="V232" s="8">
        <f t="shared" si="3"/>
        <v>2022</v>
      </c>
    </row>
    <row r="233" spans="1:22" hidden="1" x14ac:dyDescent="0.25">
      <c r="A233" s="36">
        <v>44927</v>
      </c>
      <c r="B233" s="37" t="s">
        <v>23</v>
      </c>
      <c r="C233" s="37" t="s">
        <v>123</v>
      </c>
      <c r="D233" s="37" t="s">
        <v>59</v>
      </c>
      <c r="E233" s="37" t="s">
        <v>6</v>
      </c>
      <c r="F233" s="37" t="s">
        <v>124</v>
      </c>
      <c r="G233" s="37" t="s">
        <v>125</v>
      </c>
      <c r="H233" s="37" t="s">
        <v>126</v>
      </c>
      <c r="I233" s="37" t="s">
        <v>127</v>
      </c>
      <c r="J233" s="37" t="s">
        <v>34</v>
      </c>
      <c r="K233" s="38">
        <v>120.60678</v>
      </c>
      <c r="L233" s="42">
        <v>17177.48</v>
      </c>
      <c r="M233" s="37" t="s">
        <v>117</v>
      </c>
      <c r="N233" s="40">
        <v>57.331000000000003</v>
      </c>
      <c r="O233" s="38">
        <v>57.330987</v>
      </c>
      <c r="P233" s="39"/>
      <c r="Q233" s="39"/>
      <c r="R233" s="40">
        <v>57.584000000000003</v>
      </c>
      <c r="S233" s="38">
        <v>57.230027</v>
      </c>
      <c r="T233" s="38">
        <v>0.209088</v>
      </c>
      <c r="U233" s="38">
        <v>0.14499899999999999</v>
      </c>
      <c r="V233" s="8">
        <f t="shared" si="3"/>
        <v>2023</v>
      </c>
    </row>
    <row r="234" spans="1:22" hidden="1" x14ac:dyDescent="0.25">
      <c r="A234" s="36">
        <v>44958</v>
      </c>
      <c r="B234" s="37" t="s">
        <v>23</v>
      </c>
      <c r="C234" s="37" t="s">
        <v>123</v>
      </c>
      <c r="D234" s="37" t="s">
        <v>59</v>
      </c>
      <c r="E234" s="37" t="s">
        <v>6</v>
      </c>
      <c r="F234" s="37" t="s">
        <v>124</v>
      </c>
      <c r="G234" s="37" t="s">
        <v>125</v>
      </c>
      <c r="H234" s="37" t="s">
        <v>126</v>
      </c>
      <c r="I234" s="37" t="s">
        <v>127</v>
      </c>
      <c r="J234" s="37" t="s">
        <v>34</v>
      </c>
      <c r="K234" s="38">
        <v>125.56814</v>
      </c>
      <c r="L234" s="42">
        <v>17736.39</v>
      </c>
      <c r="M234" s="37" t="s">
        <v>117</v>
      </c>
      <c r="N234" s="40">
        <v>59.689</v>
      </c>
      <c r="O234" s="38">
        <v>59.689393000000003</v>
      </c>
      <c r="P234" s="39"/>
      <c r="Q234" s="39"/>
      <c r="R234" s="40">
        <v>59.953000000000003</v>
      </c>
      <c r="S234" s="38">
        <v>59.584279000000002</v>
      </c>
      <c r="T234" s="38">
        <v>0.21768899999999999</v>
      </c>
      <c r="U234" s="38">
        <v>0.15096399999999999</v>
      </c>
      <c r="V234" s="8">
        <f t="shared" si="3"/>
        <v>2023</v>
      </c>
    </row>
    <row r="235" spans="1:22" hidden="1" x14ac:dyDescent="0.25">
      <c r="A235" s="36">
        <v>44986</v>
      </c>
      <c r="B235" s="37" t="s">
        <v>23</v>
      </c>
      <c r="C235" s="37" t="s">
        <v>123</v>
      </c>
      <c r="D235" s="37" t="s">
        <v>59</v>
      </c>
      <c r="E235" s="37" t="s">
        <v>6</v>
      </c>
      <c r="F235" s="37" t="s">
        <v>124</v>
      </c>
      <c r="G235" s="37" t="s">
        <v>125</v>
      </c>
      <c r="H235" s="37" t="s">
        <v>126</v>
      </c>
      <c r="I235" s="37" t="s">
        <v>127</v>
      </c>
      <c r="J235" s="37" t="s">
        <v>34</v>
      </c>
      <c r="K235" s="38">
        <v>117.02715999999999</v>
      </c>
      <c r="L235" s="42">
        <v>16580.64</v>
      </c>
      <c r="M235" s="37" t="s">
        <v>117</v>
      </c>
      <c r="N235" s="40">
        <v>55.628999999999998</v>
      </c>
      <c r="O235" s="38">
        <v>55.629398999999999</v>
      </c>
      <c r="P235" s="39"/>
      <c r="Q235" s="39"/>
      <c r="R235" s="40">
        <v>55.875</v>
      </c>
      <c r="S235" s="38">
        <v>55.531435000000002</v>
      </c>
      <c r="T235" s="38">
        <v>0.20288200000000001</v>
      </c>
      <c r="U235" s="38">
        <v>0.14069599999999999</v>
      </c>
      <c r="V235" s="8">
        <f t="shared" si="3"/>
        <v>2023</v>
      </c>
    </row>
    <row r="236" spans="1:22" hidden="1" x14ac:dyDescent="0.25">
      <c r="A236" s="36">
        <v>45017</v>
      </c>
      <c r="B236" s="37" t="s">
        <v>23</v>
      </c>
      <c r="C236" s="37" t="s">
        <v>123</v>
      </c>
      <c r="D236" s="37" t="s">
        <v>59</v>
      </c>
      <c r="E236" s="37" t="s">
        <v>6</v>
      </c>
      <c r="F236" s="37" t="s">
        <v>124</v>
      </c>
      <c r="G236" s="37" t="s">
        <v>125</v>
      </c>
      <c r="H236" s="37" t="s">
        <v>126</v>
      </c>
      <c r="I236" s="37" t="s">
        <v>127</v>
      </c>
      <c r="J236" s="37" t="s">
        <v>34</v>
      </c>
      <c r="K236" s="38">
        <v>118.57006</v>
      </c>
      <c r="L236" s="42">
        <v>16796.240000000002</v>
      </c>
      <c r="M236" s="37" t="s">
        <v>117</v>
      </c>
      <c r="N236" s="40">
        <v>56.363</v>
      </c>
      <c r="O236" s="38">
        <v>56.362822999999999</v>
      </c>
      <c r="P236" s="39"/>
      <c r="Q236" s="39"/>
      <c r="R236" s="40">
        <v>56.612000000000002</v>
      </c>
      <c r="S236" s="38">
        <v>56.263567999999999</v>
      </c>
      <c r="T236" s="38">
        <v>0.20555699999999999</v>
      </c>
      <c r="U236" s="38">
        <v>0.14255000000000001</v>
      </c>
      <c r="V236" s="8">
        <f t="shared" si="3"/>
        <v>2023</v>
      </c>
    </row>
    <row r="237" spans="1:22" hidden="1" x14ac:dyDescent="0.25">
      <c r="A237" s="36">
        <v>45047</v>
      </c>
      <c r="B237" s="37" t="s">
        <v>23</v>
      </c>
      <c r="C237" s="37" t="s">
        <v>123</v>
      </c>
      <c r="D237" s="37" t="s">
        <v>59</v>
      </c>
      <c r="E237" s="37" t="s">
        <v>6</v>
      </c>
      <c r="F237" s="37" t="s">
        <v>124</v>
      </c>
      <c r="G237" s="37" t="s">
        <v>125</v>
      </c>
      <c r="H237" s="37" t="s">
        <v>126</v>
      </c>
      <c r="I237" s="37" t="s">
        <v>127</v>
      </c>
      <c r="J237" s="37" t="s">
        <v>34</v>
      </c>
      <c r="K237" s="38">
        <v>114.74196000000001</v>
      </c>
      <c r="L237" s="42">
        <v>16336.22</v>
      </c>
      <c r="M237" s="37" t="s">
        <v>117</v>
      </c>
      <c r="N237" s="40">
        <v>54.542999999999999</v>
      </c>
      <c r="O237" s="38">
        <v>54.543118</v>
      </c>
      <c r="P237" s="39"/>
      <c r="Q237" s="39"/>
      <c r="R237" s="40">
        <v>54.783999999999999</v>
      </c>
      <c r="S237" s="38">
        <v>54.447066999999997</v>
      </c>
      <c r="T237" s="38">
        <v>0.19892000000000001</v>
      </c>
      <c r="U237" s="38">
        <v>0.13794799999999999</v>
      </c>
      <c r="V237" s="8">
        <f t="shared" si="3"/>
        <v>2023</v>
      </c>
    </row>
    <row r="238" spans="1:22" hidden="1" x14ac:dyDescent="0.25">
      <c r="A238" s="36">
        <v>45078</v>
      </c>
      <c r="B238" s="37" t="s">
        <v>23</v>
      </c>
      <c r="C238" s="37" t="s">
        <v>123</v>
      </c>
      <c r="D238" s="37" t="s">
        <v>59</v>
      </c>
      <c r="E238" s="37" t="s">
        <v>6</v>
      </c>
      <c r="F238" s="37" t="s">
        <v>124</v>
      </c>
      <c r="G238" s="37" t="s">
        <v>125</v>
      </c>
      <c r="H238" s="37" t="s">
        <v>126</v>
      </c>
      <c r="I238" s="37" t="s">
        <v>127</v>
      </c>
      <c r="J238" s="37" t="s">
        <v>34</v>
      </c>
      <c r="K238" s="38">
        <v>131.80106000000001</v>
      </c>
      <c r="L238" s="42">
        <v>18749.919999999998</v>
      </c>
      <c r="M238" s="37" t="s">
        <v>117</v>
      </c>
      <c r="N238" s="40">
        <v>62.652000000000001</v>
      </c>
      <c r="O238" s="38">
        <v>62.652239999999999</v>
      </c>
      <c r="P238" s="39"/>
      <c r="Q238" s="39"/>
      <c r="R238" s="40">
        <v>62.929000000000002</v>
      </c>
      <c r="S238" s="38">
        <v>62.541908999999997</v>
      </c>
      <c r="T238" s="38">
        <v>0.228494</v>
      </c>
      <c r="U238" s="38">
        <v>0.15845699999999999</v>
      </c>
      <c r="V238" s="8">
        <f t="shared" si="3"/>
        <v>2023</v>
      </c>
    </row>
    <row r="239" spans="1:22" hidden="1" x14ac:dyDescent="0.25">
      <c r="A239" s="36">
        <v>45108</v>
      </c>
      <c r="B239" s="37" t="s">
        <v>23</v>
      </c>
      <c r="C239" s="37" t="s">
        <v>123</v>
      </c>
      <c r="D239" s="37" t="s">
        <v>59</v>
      </c>
      <c r="E239" s="37" t="s">
        <v>6</v>
      </c>
      <c r="F239" s="37" t="s">
        <v>124</v>
      </c>
      <c r="G239" s="37" t="s">
        <v>125</v>
      </c>
      <c r="H239" s="37" t="s">
        <v>126</v>
      </c>
      <c r="I239" s="37" t="s">
        <v>127</v>
      </c>
      <c r="J239" s="37" t="s">
        <v>34</v>
      </c>
      <c r="K239" s="38">
        <v>137.42474000000001</v>
      </c>
      <c r="L239" s="42">
        <v>20004.97</v>
      </c>
      <c r="M239" s="37" t="s">
        <v>117</v>
      </c>
      <c r="N239" s="40">
        <v>65.325000000000003</v>
      </c>
      <c r="O239" s="38">
        <v>65.325481999999994</v>
      </c>
      <c r="P239" s="39"/>
      <c r="Q239" s="39"/>
      <c r="R239" s="40">
        <v>65.614000000000004</v>
      </c>
      <c r="S239" s="38">
        <v>65.210442999999998</v>
      </c>
      <c r="T239" s="38">
        <v>0.23824400000000001</v>
      </c>
      <c r="U239" s="38">
        <v>0.165218</v>
      </c>
      <c r="V239" s="8">
        <f t="shared" si="3"/>
        <v>2023</v>
      </c>
    </row>
    <row r="240" spans="1:22" hidden="1" x14ac:dyDescent="0.25">
      <c r="A240" s="36">
        <v>45139</v>
      </c>
      <c r="B240" s="37" t="s">
        <v>23</v>
      </c>
      <c r="C240" s="37" t="s">
        <v>123</v>
      </c>
      <c r="D240" s="37" t="s">
        <v>59</v>
      </c>
      <c r="E240" s="37" t="s">
        <v>6</v>
      </c>
      <c r="F240" s="37" t="s">
        <v>124</v>
      </c>
      <c r="G240" s="37" t="s">
        <v>125</v>
      </c>
      <c r="H240" s="37" t="s">
        <v>126</v>
      </c>
      <c r="I240" s="37" t="s">
        <v>127</v>
      </c>
      <c r="J240" s="37" t="s">
        <v>34</v>
      </c>
      <c r="K240" s="38">
        <v>136.43765999999999</v>
      </c>
      <c r="L240" s="42">
        <v>20183.07</v>
      </c>
      <c r="M240" s="37" t="s">
        <v>117</v>
      </c>
      <c r="N240" s="40">
        <v>64.855999999999995</v>
      </c>
      <c r="O240" s="38">
        <v>64.856268999999998</v>
      </c>
      <c r="P240" s="39"/>
      <c r="Q240" s="39"/>
      <c r="R240" s="40">
        <v>65.143000000000001</v>
      </c>
      <c r="S240" s="38">
        <v>64.742056000000005</v>
      </c>
      <c r="T240" s="38">
        <v>0.23653199999999999</v>
      </c>
      <c r="U240" s="38">
        <v>0.16403200000000001</v>
      </c>
      <c r="V240" s="8">
        <f t="shared" si="3"/>
        <v>2023</v>
      </c>
    </row>
    <row r="241" spans="1:22" hidden="1" x14ac:dyDescent="0.25">
      <c r="A241" s="36">
        <v>45170</v>
      </c>
      <c r="B241" s="37" t="s">
        <v>23</v>
      </c>
      <c r="C241" s="37" t="s">
        <v>123</v>
      </c>
      <c r="D241" s="37" t="s">
        <v>59</v>
      </c>
      <c r="E241" s="37" t="s">
        <v>6</v>
      </c>
      <c r="F241" s="37" t="s">
        <v>124</v>
      </c>
      <c r="G241" s="37" t="s">
        <v>125</v>
      </c>
      <c r="H241" s="37" t="s">
        <v>126</v>
      </c>
      <c r="I241" s="37" t="s">
        <v>127</v>
      </c>
      <c r="J241" s="37" t="s">
        <v>34</v>
      </c>
      <c r="K241" s="38">
        <v>143.31108</v>
      </c>
      <c r="L241" s="42">
        <v>20607.45</v>
      </c>
      <c r="M241" s="37" t="s">
        <v>117</v>
      </c>
      <c r="N241" s="40">
        <v>68.123999999999995</v>
      </c>
      <c r="O241" s="38">
        <v>68.123581000000001</v>
      </c>
      <c r="P241" s="39"/>
      <c r="Q241" s="39"/>
      <c r="R241" s="40">
        <v>68.424000000000007</v>
      </c>
      <c r="S241" s="38">
        <v>68.003613999999999</v>
      </c>
      <c r="T241" s="38">
        <v>0.248448</v>
      </c>
      <c r="U241" s="38">
        <v>0.172295</v>
      </c>
      <c r="V241" s="8">
        <f t="shared" si="3"/>
        <v>2023</v>
      </c>
    </row>
    <row r="242" spans="1:22" hidden="1" x14ac:dyDescent="0.25">
      <c r="A242" s="36">
        <v>45200</v>
      </c>
      <c r="B242" s="37" t="s">
        <v>23</v>
      </c>
      <c r="C242" s="37" t="s">
        <v>123</v>
      </c>
      <c r="D242" s="37" t="s">
        <v>59</v>
      </c>
      <c r="E242" s="37" t="s">
        <v>6</v>
      </c>
      <c r="F242" s="37" t="s">
        <v>124</v>
      </c>
      <c r="G242" s="37" t="s">
        <v>125</v>
      </c>
      <c r="H242" s="37" t="s">
        <v>126</v>
      </c>
      <c r="I242" s="37" t="s">
        <v>127</v>
      </c>
      <c r="J242" s="37" t="s">
        <v>34</v>
      </c>
      <c r="K242" s="38">
        <v>126.44668</v>
      </c>
      <c r="L242" s="42">
        <v>18908.060000000001</v>
      </c>
      <c r="M242" s="37" t="s">
        <v>117</v>
      </c>
      <c r="N242" s="40">
        <v>60.106999999999999</v>
      </c>
      <c r="O242" s="38">
        <v>60.107011</v>
      </c>
      <c r="P242" s="39"/>
      <c r="Q242" s="39"/>
      <c r="R242" s="40">
        <v>60.372</v>
      </c>
      <c r="S242" s="38">
        <v>60.001162000000001</v>
      </c>
      <c r="T242" s="38">
        <v>0.21921199999999999</v>
      </c>
      <c r="U242" s="38">
        <v>0.15201999999999999</v>
      </c>
      <c r="V242" s="8">
        <f t="shared" si="3"/>
        <v>2023</v>
      </c>
    </row>
    <row r="243" spans="1:22" hidden="1" x14ac:dyDescent="0.25">
      <c r="A243" s="36">
        <v>45231</v>
      </c>
      <c r="B243" s="37" t="s">
        <v>23</v>
      </c>
      <c r="C243" s="37" t="s">
        <v>123</v>
      </c>
      <c r="D243" s="37" t="s">
        <v>59</v>
      </c>
      <c r="E243" s="37" t="s">
        <v>6</v>
      </c>
      <c r="F243" s="37" t="s">
        <v>124</v>
      </c>
      <c r="G243" s="37" t="s">
        <v>125</v>
      </c>
      <c r="H243" s="37" t="s">
        <v>126</v>
      </c>
      <c r="I243" s="37" t="s">
        <v>127</v>
      </c>
      <c r="J243" s="37" t="s">
        <v>34</v>
      </c>
      <c r="K243" s="38">
        <v>134.32826</v>
      </c>
      <c r="L243" s="42">
        <v>20038.759999999998</v>
      </c>
      <c r="M243" s="37" t="s">
        <v>117</v>
      </c>
      <c r="N243" s="40">
        <v>63.853999999999999</v>
      </c>
      <c r="O243" s="38">
        <v>63.853555999999998</v>
      </c>
      <c r="P243" s="39"/>
      <c r="Q243" s="39"/>
      <c r="R243" s="40">
        <v>64.135000000000005</v>
      </c>
      <c r="S243" s="38">
        <v>63.741109000000002</v>
      </c>
      <c r="T243" s="38">
        <v>0.232876</v>
      </c>
      <c r="U243" s="38">
        <v>0.161496</v>
      </c>
      <c r="V243" s="8">
        <f t="shared" si="3"/>
        <v>2023</v>
      </c>
    </row>
    <row r="244" spans="1:22" hidden="1" x14ac:dyDescent="0.25">
      <c r="A244" s="36">
        <v>45261</v>
      </c>
      <c r="B244" s="37" t="s">
        <v>23</v>
      </c>
      <c r="C244" s="37" t="s">
        <v>123</v>
      </c>
      <c r="D244" s="37" t="s">
        <v>59</v>
      </c>
      <c r="E244" s="37" t="s">
        <v>6</v>
      </c>
      <c r="F244" s="37" t="s">
        <v>124</v>
      </c>
      <c r="G244" s="37" t="s">
        <v>125</v>
      </c>
      <c r="H244" s="37" t="s">
        <v>126</v>
      </c>
      <c r="I244" s="37" t="s">
        <v>127</v>
      </c>
      <c r="J244" s="37" t="s">
        <v>34</v>
      </c>
      <c r="K244" s="38">
        <v>150.35442</v>
      </c>
      <c r="L244" s="42">
        <v>22388.5</v>
      </c>
      <c r="M244" s="37" t="s">
        <v>117</v>
      </c>
      <c r="N244" s="40">
        <v>71.471999999999994</v>
      </c>
      <c r="O244" s="38">
        <v>71.471665000000002</v>
      </c>
      <c r="P244" s="39"/>
      <c r="Q244" s="39"/>
      <c r="R244" s="40">
        <v>71.787000000000006</v>
      </c>
      <c r="S244" s="38">
        <v>71.345803000000004</v>
      </c>
      <c r="T244" s="38">
        <v>0.26065899999999997</v>
      </c>
      <c r="U244" s="38">
        <v>0.18076300000000001</v>
      </c>
      <c r="V244" s="8">
        <f t="shared" ref="V244:V307" si="4">YEAR(A244)</f>
        <v>2023</v>
      </c>
    </row>
    <row r="245" spans="1:22" hidden="1" x14ac:dyDescent="0.25">
      <c r="A245" s="36">
        <v>44927</v>
      </c>
      <c r="B245" s="37" t="s">
        <v>27</v>
      </c>
      <c r="C245" s="37" t="s">
        <v>123</v>
      </c>
      <c r="D245" s="37" t="s">
        <v>59</v>
      </c>
      <c r="E245" s="37" t="s">
        <v>7</v>
      </c>
      <c r="F245" s="37" t="s">
        <v>124</v>
      </c>
      <c r="G245" s="37" t="s">
        <v>125</v>
      </c>
      <c r="H245" s="37" t="s">
        <v>126</v>
      </c>
      <c r="I245" s="37" t="s">
        <v>127</v>
      </c>
      <c r="J245" s="37" t="s">
        <v>36</v>
      </c>
      <c r="K245" s="38">
        <v>50.726664</v>
      </c>
      <c r="L245" s="39"/>
      <c r="M245" s="37" t="s">
        <v>117</v>
      </c>
      <c r="N245" s="40">
        <v>26.395</v>
      </c>
      <c r="O245" s="38">
        <v>26.394843000000002</v>
      </c>
      <c r="P245" s="39"/>
      <c r="Q245" s="39"/>
      <c r="R245" s="40">
        <v>26.395</v>
      </c>
      <c r="S245" s="38">
        <v>26.394843000000002</v>
      </c>
      <c r="T245" s="39"/>
      <c r="U245" s="39"/>
      <c r="V245" s="8">
        <f t="shared" si="4"/>
        <v>2023</v>
      </c>
    </row>
    <row r="246" spans="1:22" hidden="1" x14ac:dyDescent="0.25">
      <c r="A246" s="36">
        <v>44958</v>
      </c>
      <c r="B246" s="37" t="s">
        <v>25</v>
      </c>
      <c r="C246" s="37" t="s">
        <v>123</v>
      </c>
      <c r="D246" s="37" t="s">
        <v>59</v>
      </c>
      <c r="E246" s="37" t="s">
        <v>7</v>
      </c>
      <c r="F246" s="37" t="s">
        <v>124</v>
      </c>
      <c r="G246" s="37" t="s">
        <v>125</v>
      </c>
      <c r="H246" s="37" t="s">
        <v>126</v>
      </c>
      <c r="I246" s="37" t="s">
        <v>127</v>
      </c>
      <c r="J246" s="37" t="s">
        <v>36</v>
      </c>
      <c r="K246" s="38">
        <v>0.49895099999999998</v>
      </c>
      <c r="L246" s="39"/>
      <c r="M246" s="37" t="s">
        <v>117</v>
      </c>
      <c r="N246" s="40">
        <v>0.26</v>
      </c>
      <c r="O246" s="38">
        <v>0.25962200000000002</v>
      </c>
      <c r="P246" s="39"/>
      <c r="Q246" s="39"/>
      <c r="R246" s="40">
        <v>0.26</v>
      </c>
      <c r="S246" s="38">
        <v>0.25962200000000002</v>
      </c>
      <c r="T246" s="39"/>
      <c r="U246" s="39"/>
      <c r="V246" s="8">
        <f t="shared" si="4"/>
        <v>2023</v>
      </c>
    </row>
    <row r="247" spans="1:22" hidden="1" x14ac:dyDescent="0.25">
      <c r="A247" s="36">
        <v>44958</v>
      </c>
      <c r="B247" s="37" t="s">
        <v>27</v>
      </c>
      <c r="C247" s="37" t="s">
        <v>123</v>
      </c>
      <c r="D247" s="37" t="s">
        <v>59</v>
      </c>
      <c r="E247" s="37" t="s">
        <v>7</v>
      </c>
      <c r="F247" s="37" t="s">
        <v>124</v>
      </c>
      <c r="G247" s="37" t="s">
        <v>125</v>
      </c>
      <c r="H247" s="37" t="s">
        <v>126</v>
      </c>
      <c r="I247" s="37" t="s">
        <v>127</v>
      </c>
      <c r="J247" s="37" t="s">
        <v>36</v>
      </c>
      <c r="K247" s="38">
        <v>50.726664</v>
      </c>
      <c r="L247" s="39"/>
      <c r="M247" s="37" t="s">
        <v>117</v>
      </c>
      <c r="N247" s="40">
        <v>26.395</v>
      </c>
      <c r="O247" s="38">
        <v>26.394843000000002</v>
      </c>
      <c r="P247" s="39"/>
      <c r="Q247" s="39"/>
      <c r="R247" s="40">
        <v>26.395</v>
      </c>
      <c r="S247" s="38">
        <v>26.394843000000002</v>
      </c>
      <c r="T247" s="39"/>
      <c r="U247" s="39"/>
      <c r="V247" s="8">
        <f t="shared" si="4"/>
        <v>2023</v>
      </c>
    </row>
    <row r="248" spans="1:22" hidden="1" x14ac:dyDescent="0.25">
      <c r="A248" s="36">
        <v>44986</v>
      </c>
      <c r="B248" s="37" t="s">
        <v>27</v>
      </c>
      <c r="C248" s="37" t="s">
        <v>123</v>
      </c>
      <c r="D248" s="37" t="s">
        <v>59</v>
      </c>
      <c r="E248" s="37" t="s">
        <v>7</v>
      </c>
      <c r="F248" s="37" t="s">
        <v>124</v>
      </c>
      <c r="G248" s="37" t="s">
        <v>125</v>
      </c>
      <c r="H248" s="37" t="s">
        <v>126</v>
      </c>
      <c r="I248" s="37" t="s">
        <v>127</v>
      </c>
      <c r="J248" s="37" t="s">
        <v>36</v>
      </c>
      <c r="K248" s="38">
        <v>50.726664</v>
      </c>
      <c r="L248" s="39"/>
      <c r="M248" s="37" t="s">
        <v>117</v>
      </c>
      <c r="N248" s="40">
        <v>26.395</v>
      </c>
      <c r="O248" s="38">
        <v>26.394843000000002</v>
      </c>
      <c r="P248" s="39"/>
      <c r="Q248" s="39"/>
      <c r="R248" s="40">
        <v>26.395</v>
      </c>
      <c r="S248" s="38">
        <v>26.394843000000002</v>
      </c>
      <c r="T248" s="39"/>
      <c r="U248" s="39"/>
      <c r="V248" s="8">
        <f t="shared" si="4"/>
        <v>2023</v>
      </c>
    </row>
    <row r="249" spans="1:22" hidden="1" x14ac:dyDescent="0.25">
      <c r="A249" s="36">
        <v>45017</v>
      </c>
      <c r="B249" s="37" t="s">
        <v>27</v>
      </c>
      <c r="C249" s="37" t="s">
        <v>123</v>
      </c>
      <c r="D249" s="37" t="s">
        <v>59</v>
      </c>
      <c r="E249" s="37" t="s">
        <v>7</v>
      </c>
      <c r="F249" s="37" t="s">
        <v>124</v>
      </c>
      <c r="G249" s="37" t="s">
        <v>125</v>
      </c>
      <c r="H249" s="37" t="s">
        <v>126</v>
      </c>
      <c r="I249" s="37" t="s">
        <v>127</v>
      </c>
      <c r="J249" s="37" t="s">
        <v>36</v>
      </c>
      <c r="K249" s="38">
        <v>50.726664</v>
      </c>
      <c r="L249" s="39"/>
      <c r="M249" s="37" t="s">
        <v>117</v>
      </c>
      <c r="N249" s="40">
        <v>26.395</v>
      </c>
      <c r="O249" s="38">
        <v>26.394843000000002</v>
      </c>
      <c r="P249" s="39"/>
      <c r="Q249" s="39"/>
      <c r="R249" s="40">
        <v>26.395</v>
      </c>
      <c r="S249" s="38">
        <v>26.394843000000002</v>
      </c>
      <c r="T249" s="39"/>
      <c r="U249" s="39"/>
      <c r="V249" s="8">
        <f t="shared" si="4"/>
        <v>2023</v>
      </c>
    </row>
    <row r="250" spans="1:22" hidden="1" x14ac:dyDescent="0.25">
      <c r="A250" s="36">
        <v>45047</v>
      </c>
      <c r="B250" s="37" t="s">
        <v>25</v>
      </c>
      <c r="C250" s="37" t="s">
        <v>123</v>
      </c>
      <c r="D250" s="37" t="s">
        <v>59</v>
      </c>
      <c r="E250" s="37" t="s">
        <v>7</v>
      </c>
      <c r="F250" s="37" t="s">
        <v>124</v>
      </c>
      <c r="G250" s="37" t="s">
        <v>125</v>
      </c>
      <c r="H250" s="37" t="s">
        <v>126</v>
      </c>
      <c r="I250" s="37" t="s">
        <v>127</v>
      </c>
      <c r="J250" s="37" t="s">
        <v>36</v>
      </c>
      <c r="K250" s="38">
        <v>2.721552</v>
      </c>
      <c r="L250" s="39"/>
      <c r="M250" s="37" t="s">
        <v>117</v>
      </c>
      <c r="N250" s="40">
        <v>1.4159999999999999</v>
      </c>
      <c r="O250" s="38">
        <v>1.416118</v>
      </c>
      <c r="P250" s="39"/>
      <c r="Q250" s="39"/>
      <c r="R250" s="40">
        <v>1.4159999999999999</v>
      </c>
      <c r="S250" s="38">
        <v>1.416118</v>
      </c>
      <c r="T250" s="39"/>
      <c r="U250" s="39"/>
      <c r="V250" s="8">
        <f t="shared" si="4"/>
        <v>2023</v>
      </c>
    </row>
    <row r="251" spans="1:22" hidden="1" x14ac:dyDescent="0.25">
      <c r="A251" s="36">
        <v>45047</v>
      </c>
      <c r="B251" s="37" t="s">
        <v>27</v>
      </c>
      <c r="C251" s="37" t="s">
        <v>123</v>
      </c>
      <c r="D251" s="37" t="s">
        <v>59</v>
      </c>
      <c r="E251" s="37" t="s">
        <v>7</v>
      </c>
      <c r="F251" s="37" t="s">
        <v>124</v>
      </c>
      <c r="G251" s="37" t="s">
        <v>125</v>
      </c>
      <c r="H251" s="37" t="s">
        <v>126</v>
      </c>
      <c r="I251" s="37" t="s">
        <v>127</v>
      </c>
      <c r="J251" s="37" t="s">
        <v>36</v>
      </c>
      <c r="K251" s="38">
        <v>50.726664</v>
      </c>
      <c r="L251" s="39"/>
      <c r="M251" s="37" t="s">
        <v>117</v>
      </c>
      <c r="N251" s="40">
        <v>26.395</v>
      </c>
      <c r="O251" s="38">
        <v>26.394843000000002</v>
      </c>
      <c r="P251" s="39"/>
      <c r="Q251" s="39"/>
      <c r="R251" s="40">
        <v>26.395</v>
      </c>
      <c r="S251" s="38">
        <v>26.394843000000002</v>
      </c>
      <c r="T251" s="39"/>
      <c r="U251" s="39"/>
      <c r="V251" s="8">
        <f t="shared" si="4"/>
        <v>2023</v>
      </c>
    </row>
    <row r="252" spans="1:22" hidden="1" x14ac:dyDescent="0.25">
      <c r="A252" s="36">
        <v>45078</v>
      </c>
      <c r="B252" s="37" t="s">
        <v>27</v>
      </c>
      <c r="C252" s="37" t="s">
        <v>123</v>
      </c>
      <c r="D252" s="37" t="s">
        <v>59</v>
      </c>
      <c r="E252" s="37" t="s">
        <v>7</v>
      </c>
      <c r="F252" s="37" t="s">
        <v>124</v>
      </c>
      <c r="G252" s="37" t="s">
        <v>125</v>
      </c>
      <c r="H252" s="37" t="s">
        <v>126</v>
      </c>
      <c r="I252" s="37" t="s">
        <v>127</v>
      </c>
      <c r="J252" s="37" t="s">
        <v>36</v>
      </c>
      <c r="K252" s="38">
        <v>50.726664</v>
      </c>
      <c r="L252" s="39"/>
      <c r="M252" s="37" t="s">
        <v>117</v>
      </c>
      <c r="N252" s="40">
        <v>26.395</v>
      </c>
      <c r="O252" s="38">
        <v>26.394843000000002</v>
      </c>
      <c r="P252" s="39"/>
      <c r="Q252" s="39"/>
      <c r="R252" s="40">
        <v>26.395</v>
      </c>
      <c r="S252" s="38">
        <v>26.394843000000002</v>
      </c>
      <c r="T252" s="39"/>
      <c r="U252" s="39"/>
      <c r="V252" s="8">
        <f t="shared" si="4"/>
        <v>2023</v>
      </c>
    </row>
    <row r="253" spans="1:22" hidden="1" x14ac:dyDescent="0.25">
      <c r="A253" s="36">
        <v>45108</v>
      </c>
      <c r="B253" s="37" t="s">
        <v>27</v>
      </c>
      <c r="C253" s="37" t="s">
        <v>123</v>
      </c>
      <c r="D253" s="37" t="s">
        <v>59</v>
      </c>
      <c r="E253" s="37" t="s">
        <v>7</v>
      </c>
      <c r="F253" s="37" t="s">
        <v>124</v>
      </c>
      <c r="G253" s="37" t="s">
        <v>125</v>
      </c>
      <c r="H253" s="37" t="s">
        <v>126</v>
      </c>
      <c r="I253" s="37" t="s">
        <v>127</v>
      </c>
      <c r="J253" s="37" t="s">
        <v>36</v>
      </c>
      <c r="K253" s="38">
        <v>50.726664</v>
      </c>
      <c r="L253" s="39"/>
      <c r="M253" s="37" t="s">
        <v>117</v>
      </c>
      <c r="N253" s="40">
        <v>26.395</v>
      </c>
      <c r="O253" s="38">
        <v>26.394843000000002</v>
      </c>
      <c r="P253" s="39"/>
      <c r="Q253" s="39"/>
      <c r="R253" s="40">
        <v>26.395</v>
      </c>
      <c r="S253" s="38">
        <v>26.394843000000002</v>
      </c>
      <c r="T253" s="39"/>
      <c r="U253" s="39"/>
      <c r="V253" s="8">
        <f t="shared" si="4"/>
        <v>2023</v>
      </c>
    </row>
    <row r="254" spans="1:22" hidden="1" x14ac:dyDescent="0.25">
      <c r="A254" s="36">
        <v>45139</v>
      </c>
      <c r="B254" s="37" t="s">
        <v>27</v>
      </c>
      <c r="C254" s="37" t="s">
        <v>123</v>
      </c>
      <c r="D254" s="37" t="s">
        <v>59</v>
      </c>
      <c r="E254" s="37" t="s">
        <v>7</v>
      </c>
      <c r="F254" s="37" t="s">
        <v>124</v>
      </c>
      <c r="G254" s="37" t="s">
        <v>125</v>
      </c>
      <c r="H254" s="37" t="s">
        <v>126</v>
      </c>
      <c r="I254" s="37" t="s">
        <v>127</v>
      </c>
      <c r="J254" s="37" t="s">
        <v>36</v>
      </c>
      <c r="K254" s="38">
        <v>50.726664</v>
      </c>
      <c r="L254" s="39"/>
      <c r="M254" s="37" t="s">
        <v>117</v>
      </c>
      <c r="N254" s="40">
        <v>26.395</v>
      </c>
      <c r="O254" s="38">
        <v>26.394843000000002</v>
      </c>
      <c r="P254" s="39"/>
      <c r="Q254" s="39"/>
      <c r="R254" s="40">
        <v>26.395</v>
      </c>
      <c r="S254" s="38">
        <v>26.394843000000002</v>
      </c>
      <c r="T254" s="39"/>
      <c r="U254" s="39"/>
      <c r="V254" s="8">
        <f t="shared" si="4"/>
        <v>2023</v>
      </c>
    </row>
    <row r="255" spans="1:22" hidden="1" x14ac:dyDescent="0.25">
      <c r="A255" s="36">
        <v>45170</v>
      </c>
      <c r="B255" s="37" t="s">
        <v>27</v>
      </c>
      <c r="C255" s="37" t="s">
        <v>123</v>
      </c>
      <c r="D255" s="37" t="s">
        <v>59</v>
      </c>
      <c r="E255" s="37" t="s">
        <v>7</v>
      </c>
      <c r="F255" s="37" t="s">
        <v>124</v>
      </c>
      <c r="G255" s="37" t="s">
        <v>125</v>
      </c>
      <c r="H255" s="37" t="s">
        <v>126</v>
      </c>
      <c r="I255" s="37" t="s">
        <v>127</v>
      </c>
      <c r="J255" s="37" t="s">
        <v>36</v>
      </c>
      <c r="K255" s="38">
        <v>50.726664</v>
      </c>
      <c r="L255" s="39"/>
      <c r="M255" s="37" t="s">
        <v>117</v>
      </c>
      <c r="N255" s="40">
        <v>26.395</v>
      </c>
      <c r="O255" s="38">
        <v>26.394843000000002</v>
      </c>
      <c r="P255" s="39"/>
      <c r="Q255" s="39"/>
      <c r="R255" s="40">
        <v>26.395</v>
      </c>
      <c r="S255" s="38">
        <v>26.394843000000002</v>
      </c>
      <c r="T255" s="39"/>
      <c r="U255" s="39"/>
      <c r="V255" s="8">
        <f t="shared" si="4"/>
        <v>2023</v>
      </c>
    </row>
    <row r="256" spans="1:22" hidden="1" x14ac:dyDescent="0.25">
      <c r="A256" s="36">
        <v>45200</v>
      </c>
      <c r="B256" s="37" t="s">
        <v>25</v>
      </c>
      <c r="C256" s="37" t="s">
        <v>123</v>
      </c>
      <c r="D256" s="37" t="s">
        <v>59</v>
      </c>
      <c r="E256" s="37" t="s">
        <v>7</v>
      </c>
      <c r="F256" s="37" t="s">
        <v>124</v>
      </c>
      <c r="G256" s="37" t="s">
        <v>125</v>
      </c>
      <c r="H256" s="37" t="s">
        <v>126</v>
      </c>
      <c r="I256" s="37" t="s">
        <v>127</v>
      </c>
      <c r="J256" s="37" t="s">
        <v>36</v>
      </c>
      <c r="K256" s="38">
        <v>0.49895099999999998</v>
      </c>
      <c r="L256" s="39"/>
      <c r="M256" s="37" t="s">
        <v>117</v>
      </c>
      <c r="N256" s="40">
        <v>0.26</v>
      </c>
      <c r="O256" s="38">
        <v>0.25962200000000002</v>
      </c>
      <c r="P256" s="39"/>
      <c r="Q256" s="39"/>
      <c r="R256" s="40">
        <v>0.26</v>
      </c>
      <c r="S256" s="38">
        <v>0.25962200000000002</v>
      </c>
      <c r="T256" s="39"/>
      <c r="U256" s="39"/>
      <c r="V256" s="8">
        <f t="shared" si="4"/>
        <v>2023</v>
      </c>
    </row>
    <row r="257" spans="1:22" hidden="1" x14ac:dyDescent="0.25">
      <c r="A257" s="36">
        <v>45200</v>
      </c>
      <c r="B257" s="37" t="s">
        <v>27</v>
      </c>
      <c r="C257" s="37" t="s">
        <v>123</v>
      </c>
      <c r="D257" s="37" t="s">
        <v>59</v>
      </c>
      <c r="E257" s="37" t="s">
        <v>7</v>
      </c>
      <c r="F257" s="37" t="s">
        <v>124</v>
      </c>
      <c r="G257" s="37" t="s">
        <v>125</v>
      </c>
      <c r="H257" s="37" t="s">
        <v>126</v>
      </c>
      <c r="I257" s="37" t="s">
        <v>127</v>
      </c>
      <c r="J257" s="37" t="s">
        <v>36</v>
      </c>
      <c r="K257" s="38">
        <v>50.726664</v>
      </c>
      <c r="L257" s="39"/>
      <c r="M257" s="37" t="s">
        <v>117</v>
      </c>
      <c r="N257" s="40">
        <v>26.395</v>
      </c>
      <c r="O257" s="38">
        <v>26.394843000000002</v>
      </c>
      <c r="P257" s="39"/>
      <c r="Q257" s="39"/>
      <c r="R257" s="40">
        <v>26.395</v>
      </c>
      <c r="S257" s="38">
        <v>26.394843000000002</v>
      </c>
      <c r="T257" s="39"/>
      <c r="U257" s="39"/>
      <c r="V257" s="8">
        <f t="shared" si="4"/>
        <v>2023</v>
      </c>
    </row>
    <row r="258" spans="1:22" hidden="1" x14ac:dyDescent="0.25">
      <c r="A258" s="36">
        <v>45231</v>
      </c>
      <c r="B258" s="37" t="s">
        <v>27</v>
      </c>
      <c r="C258" s="37" t="s">
        <v>123</v>
      </c>
      <c r="D258" s="37" t="s">
        <v>59</v>
      </c>
      <c r="E258" s="37" t="s">
        <v>7</v>
      </c>
      <c r="F258" s="37" t="s">
        <v>124</v>
      </c>
      <c r="G258" s="37" t="s">
        <v>125</v>
      </c>
      <c r="H258" s="37" t="s">
        <v>126</v>
      </c>
      <c r="I258" s="37" t="s">
        <v>127</v>
      </c>
      <c r="J258" s="37" t="s">
        <v>36</v>
      </c>
      <c r="K258" s="38">
        <v>50.726664</v>
      </c>
      <c r="L258" s="39"/>
      <c r="M258" s="37" t="s">
        <v>117</v>
      </c>
      <c r="N258" s="40">
        <v>26.395</v>
      </c>
      <c r="O258" s="38">
        <v>26.394843000000002</v>
      </c>
      <c r="P258" s="39"/>
      <c r="Q258" s="39"/>
      <c r="R258" s="40">
        <v>26.395</v>
      </c>
      <c r="S258" s="38">
        <v>26.394843000000002</v>
      </c>
      <c r="T258" s="39"/>
      <c r="U258" s="39"/>
      <c r="V258" s="8">
        <f t="shared" si="4"/>
        <v>2023</v>
      </c>
    </row>
    <row r="259" spans="1:22" hidden="1" x14ac:dyDescent="0.25">
      <c r="A259" s="36">
        <v>45231</v>
      </c>
      <c r="B259" s="37" t="s">
        <v>29</v>
      </c>
      <c r="C259" s="37" t="s">
        <v>123</v>
      </c>
      <c r="D259" s="37" t="s">
        <v>59</v>
      </c>
      <c r="E259" s="37" t="s">
        <v>7</v>
      </c>
      <c r="F259" s="37" t="s">
        <v>124</v>
      </c>
      <c r="G259" s="37" t="s">
        <v>125</v>
      </c>
      <c r="H259" s="37" t="s">
        <v>126</v>
      </c>
      <c r="I259" s="37" t="s">
        <v>127</v>
      </c>
      <c r="J259" s="37" t="s">
        <v>36</v>
      </c>
      <c r="K259" s="38">
        <v>0</v>
      </c>
      <c r="L259" s="42">
        <v>2768.17</v>
      </c>
      <c r="M259" s="37" t="s">
        <v>117</v>
      </c>
      <c r="N259" s="40">
        <v>0</v>
      </c>
      <c r="O259" s="38">
        <v>0</v>
      </c>
      <c r="P259" s="39"/>
      <c r="Q259" s="39"/>
      <c r="R259" s="40">
        <v>0</v>
      </c>
      <c r="S259" s="38">
        <v>0</v>
      </c>
      <c r="T259" s="39"/>
      <c r="U259" s="39"/>
      <c r="V259" s="8">
        <f t="shared" si="4"/>
        <v>2023</v>
      </c>
    </row>
    <row r="260" spans="1:22" hidden="1" x14ac:dyDescent="0.25">
      <c r="A260" s="36">
        <v>45261</v>
      </c>
      <c r="B260" s="37" t="s">
        <v>27</v>
      </c>
      <c r="C260" s="37" t="s">
        <v>123</v>
      </c>
      <c r="D260" s="37" t="s">
        <v>59</v>
      </c>
      <c r="E260" s="37" t="s">
        <v>7</v>
      </c>
      <c r="F260" s="37" t="s">
        <v>124</v>
      </c>
      <c r="G260" s="37" t="s">
        <v>125</v>
      </c>
      <c r="H260" s="37" t="s">
        <v>126</v>
      </c>
      <c r="I260" s="37" t="s">
        <v>127</v>
      </c>
      <c r="J260" s="37" t="s">
        <v>36</v>
      </c>
      <c r="K260" s="38">
        <v>58.210937999999999</v>
      </c>
      <c r="L260" s="39"/>
      <c r="M260" s="37" t="s">
        <v>117</v>
      </c>
      <c r="N260" s="40">
        <v>30.289000000000001</v>
      </c>
      <c r="O260" s="38">
        <v>30.289171</v>
      </c>
      <c r="P260" s="39"/>
      <c r="Q260" s="39"/>
      <c r="R260" s="40">
        <v>30.289000000000001</v>
      </c>
      <c r="S260" s="38">
        <v>30.289171</v>
      </c>
      <c r="T260" s="39"/>
      <c r="U260" s="39"/>
      <c r="V260" s="8">
        <f t="shared" si="4"/>
        <v>2023</v>
      </c>
    </row>
    <row r="261" spans="1:22" hidden="1" x14ac:dyDescent="0.25">
      <c r="A261" s="36">
        <v>44562</v>
      </c>
      <c r="B261" s="37" t="s">
        <v>11</v>
      </c>
      <c r="C261" s="37" t="s">
        <v>123</v>
      </c>
      <c r="D261" s="37" t="s">
        <v>60</v>
      </c>
      <c r="E261" s="37" t="s">
        <v>5</v>
      </c>
      <c r="F261" s="37" t="s">
        <v>128</v>
      </c>
      <c r="G261" s="37" t="s">
        <v>129</v>
      </c>
      <c r="H261" s="37" t="s">
        <v>130</v>
      </c>
      <c r="I261" s="37" t="s">
        <v>127</v>
      </c>
      <c r="J261" s="37" t="s">
        <v>34</v>
      </c>
      <c r="K261" s="38">
        <v>6.0153080000000001</v>
      </c>
      <c r="L261" s="39"/>
      <c r="M261" s="37" t="s">
        <v>117</v>
      </c>
      <c r="N261" s="40">
        <v>1.431</v>
      </c>
      <c r="O261" s="38">
        <v>1.412056</v>
      </c>
      <c r="P261" s="38">
        <v>1.8964000000000002E-2</v>
      </c>
      <c r="Q261" s="38">
        <v>1.6699999999999999E-4</v>
      </c>
      <c r="R261" s="40">
        <v>1.431</v>
      </c>
      <c r="S261" s="38">
        <v>1.412056</v>
      </c>
      <c r="T261" s="38">
        <v>1.8964000000000002E-2</v>
      </c>
      <c r="U261" s="38">
        <v>1.6699999999999999E-4</v>
      </c>
      <c r="V261" s="8">
        <f t="shared" si="4"/>
        <v>2022</v>
      </c>
    </row>
    <row r="262" spans="1:22" hidden="1" x14ac:dyDescent="0.25">
      <c r="A262" s="36">
        <v>44562</v>
      </c>
      <c r="B262" s="37" t="s">
        <v>19</v>
      </c>
      <c r="C262" s="37" t="s">
        <v>123</v>
      </c>
      <c r="D262" s="37" t="s">
        <v>60</v>
      </c>
      <c r="E262" s="37" t="s">
        <v>5</v>
      </c>
      <c r="F262" s="37" t="s">
        <v>128</v>
      </c>
      <c r="G262" s="37" t="s">
        <v>129</v>
      </c>
      <c r="H262" s="37" t="s">
        <v>130</v>
      </c>
      <c r="I262" s="37" t="s">
        <v>127</v>
      </c>
      <c r="J262" s="37" t="s">
        <v>34</v>
      </c>
      <c r="K262" s="38">
        <v>24914.68677</v>
      </c>
      <c r="L262" s="42">
        <v>586928.80000000005</v>
      </c>
      <c r="M262" s="37" t="s">
        <v>117</v>
      </c>
      <c r="N262" s="40">
        <v>4515.6139999999996</v>
      </c>
      <c r="O262" s="38">
        <v>4510.7600659999998</v>
      </c>
      <c r="P262" s="38">
        <v>2.32084</v>
      </c>
      <c r="Q262" s="38">
        <v>2.5333709999999998</v>
      </c>
      <c r="R262" s="40">
        <v>4515.6139999999996</v>
      </c>
      <c r="S262" s="38">
        <v>4510.7600659999998</v>
      </c>
      <c r="T262" s="38">
        <v>2.32084</v>
      </c>
      <c r="U262" s="38">
        <v>2.5333709999999998</v>
      </c>
      <c r="V262" s="8">
        <f t="shared" si="4"/>
        <v>2022</v>
      </c>
    </row>
    <row r="263" spans="1:22" hidden="1" x14ac:dyDescent="0.25">
      <c r="A263" s="36">
        <v>44562</v>
      </c>
      <c r="B263" s="37" t="s">
        <v>20</v>
      </c>
      <c r="C263" s="37" t="s">
        <v>123</v>
      </c>
      <c r="D263" s="37" t="s">
        <v>60</v>
      </c>
      <c r="E263" s="37" t="s">
        <v>5</v>
      </c>
      <c r="F263" s="37" t="s">
        <v>128</v>
      </c>
      <c r="G263" s="37" t="s">
        <v>129</v>
      </c>
      <c r="H263" s="37" t="s">
        <v>130</v>
      </c>
      <c r="I263" s="37" t="s">
        <v>127</v>
      </c>
      <c r="J263" s="37" t="s">
        <v>34</v>
      </c>
      <c r="K263" s="38">
        <v>3.1857850000000001</v>
      </c>
      <c r="L263" s="39"/>
      <c r="M263" s="37" t="s">
        <v>117</v>
      </c>
      <c r="N263" s="40">
        <v>0.68600000000000005</v>
      </c>
      <c r="O263" s="38">
        <v>0.683419</v>
      </c>
      <c r="P263" s="38">
        <v>1.781E-3</v>
      </c>
      <c r="Q263" s="38">
        <v>9.7199999999999999E-4</v>
      </c>
      <c r="R263" s="39" t="s">
        <v>117</v>
      </c>
      <c r="S263" s="39"/>
      <c r="T263" s="39"/>
      <c r="U263" s="39"/>
      <c r="V263" s="8">
        <f t="shared" si="4"/>
        <v>2022</v>
      </c>
    </row>
    <row r="264" spans="1:22" hidden="1" x14ac:dyDescent="0.25">
      <c r="A264" s="36">
        <v>44593</v>
      </c>
      <c r="B264" s="37" t="s">
        <v>11</v>
      </c>
      <c r="C264" s="37" t="s">
        <v>123</v>
      </c>
      <c r="D264" s="37" t="s">
        <v>60</v>
      </c>
      <c r="E264" s="37" t="s">
        <v>5</v>
      </c>
      <c r="F264" s="37" t="s">
        <v>128</v>
      </c>
      <c r="G264" s="37" t="s">
        <v>129</v>
      </c>
      <c r="H264" s="37" t="s">
        <v>130</v>
      </c>
      <c r="I264" s="37" t="s">
        <v>127</v>
      </c>
      <c r="J264" s="37" t="s">
        <v>34</v>
      </c>
      <c r="K264" s="38">
        <v>6.0153080000000001</v>
      </c>
      <c r="L264" s="39"/>
      <c r="M264" s="37" t="s">
        <v>117</v>
      </c>
      <c r="N264" s="40">
        <v>1.431</v>
      </c>
      <c r="O264" s="38">
        <v>1.412056</v>
      </c>
      <c r="P264" s="38">
        <v>1.8964000000000002E-2</v>
      </c>
      <c r="Q264" s="38">
        <v>1.6699999999999999E-4</v>
      </c>
      <c r="R264" s="40">
        <v>1.431</v>
      </c>
      <c r="S264" s="38">
        <v>1.412056</v>
      </c>
      <c r="T264" s="38">
        <v>1.8964000000000002E-2</v>
      </c>
      <c r="U264" s="38">
        <v>1.6699999999999999E-4</v>
      </c>
      <c r="V264" s="8">
        <f t="shared" si="4"/>
        <v>2022</v>
      </c>
    </row>
    <row r="265" spans="1:22" hidden="1" x14ac:dyDescent="0.25">
      <c r="A265" s="36">
        <v>44593</v>
      </c>
      <c r="B265" s="37" t="s">
        <v>19</v>
      </c>
      <c r="C265" s="37" t="s">
        <v>123</v>
      </c>
      <c r="D265" s="37" t="s">
        <v>60</v>
      </c>
      <c r="E265" s="37" t="s">
        <v>5</v>
      </c>
      <c r="F265" s="37" t="s">
        <v>128</v>
      </c>
      <c r="G265" s="37" t="s">
        <v>129</v>
      </c>
      <c r="H265" s="37" t="s">
        <v>130</v>
      </c>
      <c r="I265" s="37" t="s">
        <v>127</v>
      </c>
      <c r="J265" s="37" t="s">
        <v>34</v>
      </c>
      <c r="K265" s="38">
        <v>24545.601856000001</v>
      </c>
      <c r="L265" s="42">
        <v>615662.01</v>
      </c>
      <c r="M265" s="37" t="s">
        <v>117</v>
      </c>
      <c r="N265" s="40">
        <v>4448.72</v>
      </c>
      <c r="O265" s="38">
        <v>4443.9378939999997</v>
      </c>
      <c r="P265" s="38">
        <v>2.2864589999999998</v>
      </c>
      <c r="Q265" s="38">
        <v>2.495841</v>
      </c>
      <c r="R265" s="40">
        <v>4448.72</v>
      </c>
      <c r="S265" s="38">
        <v>4443.9378939999997</v>
      </c>
      <c r="T265" s="38">
        <v>2.2864589999999998</v>
      </c>
      <c r="U265" s="38">
        <v>2.495841</v>
      </c>
      <c r="V265" s="8">
        <f t="shared" si="4"/>
        <v>2022</v>
      </c>
    </row>
    <row r="266" spans="1:22" hidden="1" x14ac:dyDescent="0.25">
      <c r="A266" s="36">
        <v>44593</v>
      </c>
      <c r="B266" s="37" t="s">
        <v>20</v>
      </c>
      <c r="C266" s="37" t="s">
        <v>123</v>
      </c>
      <c r="D266" s="37" t="s">
        <v>60</v>
      </c>
      <c r="E266" s="37" t="s">
        <v>5</v>
      </c>
      <c r="F266" s="37" t="s">
        <v>128</v>
      </c>
      <c r="G266" s="37" t="s">
        <v>129</v>
      </c>
      <c r="H266" s="37" t="s">
        <v>130</v>
      </c>
      <c r="I266" s="37" t="s">
        <v>127</v>
      </c>
      <c r="J266" s="37" t="s">
        <v>34</v>
      </c>
      <c r="K266" s="38">
        <v>3.1857850000000001</v>
      </c>
      <c r="L266" s="39"/>
      <c r="M266" s="37" t="s">
        <v>117</v>
      </c>
      <c r="N266" s="40">
        <v>0.68600000000000005</v>
      </c>
      <c r="O266" s="38">
        <v>0.683419</v>
      </c>
      <c r="P266" s="38">
        <v>1.781E-3</v>
      </c>
      <c r="Q266" s="38">
        <v>9.7199999999999999E-4</v>
      </c>
      <c r="R266" s="39" t="s">
        <v>117</v>
      </c>
      <c r="S266" s="39"/>
      <c r="T266" s="39"/>
      <c r="U266" s="39"/>
      <c r="V266" s="8">
        <f t="shared" si="4"/>
        <v>2022</v>
      </c>
    </row>
    <row r="267" spans="1:22" hidden="1" x14ac:dyDescent="0.25">
      <c r="A267" s="36">
        <v>44621</v>
      </c>
      <c r="B267" s="37" t="s">
        <v>11</v>
      </c>
      <c r="C267" s="37" t="s">
        <v>123</v>
      </c>
      <c r="D267" s="37" t="s">
        <v>60</v>
      </c>
      <c r="E267" s="37" t="s">
        <v>5</v>
      </c>
      <c r="F267" s="37" t="s">
        <v>128</v>
      </c>
      <c r="G267" s="37" t="s">
        <v>129</v>
      </c>
      <c r="H267" s="37" t="s">
        <v>130</v>
      </c>
      <c r="I267" s="37" t="s">
        <v>127</v>
      </c>
      <c r="J267" s="37" t="s">
        <v>34</v>
      </c>
      <c r="K267" s="38">
        <v>6.0153080000000001</v>
      </c>
      <c r="L267" s="39"/>
      <c r="M267" s="37" t="s">
        <v>117</v>
      </c>
      <c r="N267" s="40">
        <v>1.431</v>
      </c>
      <c r="O267" s="38">
        <v>1.412056</v>
      </c>
      <c r="P267" s="38">
        <v>1.8964000000000002E-2</v>
      </c>
      <c r="Q267" s="38">
        <v>1.6699999999999999E-4</v>
      </c>
      <c r="R267" s="40">
        <v>1.431</v>
      </c>
      <c r="S267" s="38">
        <v>1.412056</v>
      </c>
      <c r="T267" s="38">
        <v>1.8964000000000002E-2</v>
      </c>
      <c r="U267" s="38">
        <v>1.6699999999999999E-4</v>
      </c>
      <c r="V267" s="8">
        <f t="shared" si="4"/>
        <v>2022</v>
      </c>
    </row>
    <row r="268" spans="1:22" hidden="1" x14ac:dyDescent="0.25">
      <c r="A268" s="36">
        <v>44621</v>
      </c>
      <c r="B268" s="37" t="s">
        <v>19</v>
      </c>
      <c r="C268" s="37" t="s">
        <v>123</v>
      </c>
      <c r="D268" s="37" t="s">
        <v>60</v>
      </c>
      <c r="E268" s="37" t="s">
        <v>5</v>
      </c>
      <c r="F268" s="37" t="s">
        <v>128</v>
      </c>
      <c r="G268" s="37" t="s">
        <v>129</v>
      </c>
      <c r="H268" s="37" t="s">
        <v>130</v>
      </c>
      <c r="I268" s="37" t="s">
        <v>127</v>
      </c>
      <c r="J268" s="37" t="s">
        <v>34</v>
      </c>
      <c r="K268" s="38">
        <v>25046.653741999999</v>
      </c>
      <c r="L268" s="42">
        <v>604211.65</v>
      </c>
      <c r="M268" s="37" t="s">
        <v>117</v>
      </c>
      <c r="N268" s="40">
        <v>4539.5320000000002</v>
      </c>
      <c r="O268" s="38">
        <v>4534.652454</v>
      </c>
      <c r="P268" s="38">
        <v>2.3331330000000001</v>
      </c>
      <c r="Q268" s="38">
        <v>2.546789</v>
      </c>
      <c r="R268" s="40">
        <v>4539.5320000000002</v>
      </c>
      <c r="S268" s="38">
        <v>4534.652454</v>
      </c>
      <c r="T268" s="38">
        <v>2.3331330000000001</v>
      </c>
      <c r="U268" s="38">
        <v>2.546789</v>
      </c>
      <c r="V268" s="8">
        <f t="shared" si="4"/>
        <v>2022</v>
      </c>
    </row>
    <row r="269" spans="1:22" hidden="1" x14ac:dyDescent="0.25">
      <c r="A269" s="36">
        <v>44621</v>
      </c>
      <c r="B269" s="37" t="s">
        <v>20</v>
      </c>
      <c r="C269" s="37" t="s">
        <v>123</v>
      </c>
      <c r="D269" s="37" t="s">
        <v>60</v>
      </c>
      <c r="E269" s="37" t="s">
        <v>5</v>
      </c>
      <c r="F269" s="37" t="s">
        <v>128</v>
      </c>
      <c r="G269" s="37" t="s">
        <v>129</v>
      </c>
      <c r="H269" s="37" t="s">
        <v>130</v>
      </c>
      <c r="I269" s="37" t="s">
        <v>127</v>
      </c>
      <c r="J269" s="37" t="s">
        <v>34</v>
      </c>
      <c r="K269" s="38">
        <v>3.1857850000000001</v>
      </c>
      <c r="L269" s="39"/>
      <c r="M269" s="37" t="s">
        <v>117</v>
      </c>
      <c r="N269" s="40">
        <v>0.68600000000000005</v>
      </c>
      <c r="O269" s="38">
        <v>0.683419</v>
      </c>
      <c r="P269" s="38">
        <v>1.781E-3</v>
      </c>
      <c r="Q269" s="38">
        <v>9.7199999999999999E-4</v>
      </c>
      <c r="R269" s="39" t="s">
        <v>117</v>
      </c>
      <c r="S269" s="39"/>
      <c r="T269" s="39"/>
      <c r="U269" s="39"/>
      <c r="V269" s="8">
        <f t="shared" si="4"/>
        <v>2022</v>
      </c>
    </row>
    <row r="270" spans="1:22" hidden="1" x14ac:dyDescent="0.25">
      <c r="A270" s="36">
        <v>44652</v>
      </c>
      <c r="B270" s="37" t="s">
        <v>11</v>
      </c>
      <c r="C270" s="37" t="s">
        <v>123</v>
      </c>
      <c r="D270" s="37" t="s">
        <v>60</v>
      </c>
      <c r="E270" s="37" t="s">
        <v>5</v>
      </c>
      <c r="F270" s="37" t="s">
        <v>128</v>
      </c>
      <c r="G270" s="37" t="s">
        <v>129</v>
      </c>
      <c r="H270" s="37" t="s">
        <v>130</v>
      </c>
      <c r="I270" s="37" t="s">
        <v>127</v>
      </c>
      <c r="J270" s="37" t="s">
        <v>34</v>
      </c>
      <c r="K270" s="38">
        <v>6.0153080000000001</v>
      </c>
      <c r="L270" s="39"/>
      <c r="M270" s="37" t="s">
        <v>117</v>
      </c>
      <c r="N270" s="40">
        <v>1.431</v>
      </c>
      <c r="O270" s="38">
        <v>1.412056</v>
      </c>
      <c r="P270" s="38">
        <v>1.8964000000000002E-2</v>
      </c>
      <c r="Q270" s="38">
        <v>1.6699999999999999E-4</v>
      </c>
      <c r="R270" s="40">
        <v>1.431</v>
      </c>
      <c r="S270" s="38">
        <v>1.412056</v>
      </c>
      <c r="T270" s="38">
        <v>1.8964000000000002E-2</v>
      </c>
      <c r="U270" s="38">
        <v>1.6699999999999999E-4</v>
      </c>
      <c r="V270" s="8">
        <f t="shared" si="4"/>
        <v>2022</v>
      </c>
    </row>
    <row r="271" spans="1:22" hidden="1" x14ac:dyDescent="0.25">
      <c r="A271" s="36">
        <v>44652</v>
      </c>
      <c r="B271" s="37" t="s">
        <v>19</v>
      </c>
      <c r="C271" s="37" t="s">
        <v>123</v>
      </c>
      <c r="D271" s="37" t="s">
        <v>60</v>
      </c>
      <c r="E271" s="37" t="s">
        <v>5</v>
      </c>
      <c r="F271" s="37" t="s">
        <v>128</v>
      </c>
      <c r="G271" s="37" t="s">
        <v>129</v>
      </c>
      <c r="H271" s="37" t="s">
        <v>130</v>
      </c>
      <c r="I271" s="37" t="s">
        <v>127</v>
      </c>
      <c r="J271" s="37" t="s">
        <v>34</v>
      </c>
      <c r="K271" s="38">
        <v>23865.800062999999</v>
      </c>
      <c r="L271" s="42">
        <v>608285.30000000005</v>
      </c>
      <c r="M271" s="37" t="s">
        <v>117</v>
      </c>
      <c r="N271" s="40">
        <v>4325.5110000000004</v>
      </c>
      <c r="O271" s="38">
        <v>4320.860979</v>
      </c>
      <c r="P271" s="38">
        <v>2.2231339999999999</v>
      </c>
      <c r="Q271" s="38">
        <v>2.4267180000000002</v>
      </c>
      <c r="R271" s="40">
        <v>4325.5110000000004</v>
      </c>
      <c r="S271" s="38">
        <v>4320.860979</v>
      </c>
      <c r="T271" s="38">
        <v>2.2231339999999999</v>
      </c>
      <c r="U271" s="38">
        <v>2.4267180000000002</v>
      </c>
      <c r="V271" s="8">
        <f t="shared" si="4"/>
        <v>2022</v>
      </c>
    </row>
    <row r="272" spans="1:22" hidden="1" x14ac:dyDescent="0.25">
      <c r="A272" s="36">
        <v>44652</v>
      </c>
      <c r="B272" s="37" t="s">
        <v>20</v>
      </c>
      <c r="C272" s="37" t="s">
        <v>123</v>
      </c>
      <c r="D272" s="37" t="s">
        <v>60</v>
      </c>
      <c r="E272" s="37" t="s">
        <v>5</v>
      </c>
      <c r="F272" s="37" t="s">
        <v>128</v>
      </c>
      <c r="G272" s="37" t="s">
        <v>129</v>
      </c>
      <c r="H272" s="37" t="s">
        <v>130</v>
      </c>
      <c r="I272" s="37" t="s">
        <v>127</v>
      </c>
      <c r="J272" s="37" t="s">
        <v>34</v>
      </c>
      <c r="K272" s="38">
        <v>3.1857850000000001</v>
      </c>
      <c r="L272" s="39"/>
      <c r="M272" s="37" t="s">
        <v>117</v>
      </c>
      <c r="N272" s="40">
        <v>0.68600000000000005</v>
      </c>
      <c r="O272" s="38">
        <v>0.683419</v>
      </c>
      <c r="P272" s="38">
        <v>1.781E-3</v>
      </c>
      <c r="Q272" s="38">
        <v>9.7199999999999999E-4</v>
      </c>
      <c r="R272" s="39" t="s">
        <v>117</v>
      </c>
      <c r="S272" s="39"/>
      <c r="T272" s="39"/>
      <c r="U272" s="39"/>
      <c r="V272" s="8">
        <f t="shared" si="4"/>
        <v>2022</v>
      </c>
    </row>
    <row r="273" spans="1:22" hidden="1" x14ac:dyDescent="0.25">
      <c r="A273" s="36">
        <v>44682</v>
      </c>
      <c r="B273" s="37" t="s">
        <v>11</v>
      </c>
      <c r="C273" s="37" t="s">
        <v>123</v>
      </c>
      <c r="D273" s="37" t="s">
        <v>60</v>
      </c>
      <c r="E273" s="37" t="s">
        <v>5</v>
      </c>
      <c r="F273" s="37" t="s">
        <v>128</v>
      </c>
      <c r="G273" s="37" t="s">
        <v>129</v>
      </c>
      <c r="H273" s="37" t="s">
        <v>130</v>
      </c>
      <c r="I273" s="37" t="s">
        <v>127</v>
      </c>
      <c r="J273" s="37" t="s">
        <v>34</v>
      </c>
      <c r="K273" s="38">
        <v>6.0153080000000001</v>
      </c>
      <c r="L273" s="39"/>
      <c r="M273" s="37" t="s">
        <v>117</v>
      </c>
      <c r="N273" s="40">
        <v>1.431</v>
      </c>
      <c r="O273" s="38">
        <v>1.412056</v>
      </c>
      <c r="P273" s="38">
        <v>1.8964000000000002E-2</v>
      </c>
      <c r="Q273" s="38">
        <v>1.6699999999999999E-4</v>
      </c>
      <c r="R273" s="40">
        <v>1.431</v>
      </c>
      <c r="S273" s="38">
        <v>1.412056</v>
      </c>
      <c r="T273" s="38">
        <v>1.8964000000000002E-2</v>
      </c>
      <c r="U273" s="38">
        <v>1.6699999999999999E-4</v>
      </c>
      <c r="V273" s="8">
        <f t="shared" si="4"/>
        <v>2022</v>
      </c>
    </row>
    <row r="274" spans="1:22" hidden="1" x14ac:dyDescent="0.25">
      <c r="A274" s="36">
        <v>44682</v>
      </c>
      <c r="B274" s="37" t="s">
        <v>19</v>
      </c>
      <c r="C274" s="37" t="s">
        <v>123</v>
      </c>
      <c r="D274" s="37" t="s">
        <v>60</v>
      </c>
      <c r="E274" s="37" t="s">
        <v>5</v>
      </c>
      <c r="F274" s="37" t="s">
        <v>128</v>
      </c>
      <c r="G274" s="37" t="s">
        <v>129</v>
      </c>
      <c r="H274" s="37" t="s">
        <v>130</v>
      </c>
      <c r="I274" s="37" t="s">
        <v>127</v>
      </c>
      <c r="J274" s="37" t="s">
        <v>34</v>
      </c>
      <c r="K274" s="38">
        <v>22286.103034</v>
      </c>
      <c r="L274" s="42">
        <v>676096.72</v>
      </c>
      <c r="M274" s="37" t="s">
        <v>117</v>
      </c>
      <c r="N274" s="40">
        <v>4039.2020000000002</v>
      </c>
      <c r="O274" s="38">
        <v>4034.8596200000002</v>
      </c>
      <c r="P274" s="38">
        <v>2.0759829999999999</v>
      </c>
      <c r="Q274" s="38">
        <v>2.266092</v>
      </c>
      <c r="R274" s="40">
        <v>4039.2020000000002</v>
      </c>
      <c r="S274" s="38">
        <v>4034.8596200000002</v>
      </c>
      <c r="T274" s="38">
        <v>2.0759829999999999</v>
      </c>
      <c r="U274" s="38">
        <v>2.266092</v>
      </c>
      <c r="V274" s="8">
        <f t="shared" si="4"/>
        <v>2022</v>
      </c>
    </row>
    <row r="275" spans="1:22" hidden="1" x14ac:dyDescent="0.25">
      <c r="A275" s="36">
        <v>44682</v>
      </c>
      <c r="B275" s="37" t="s">
        <v>20</v>
      </c>
      <c r="C275" s="37" t="s">
        <v>123</v>
      </c>
      <c r="D275" s="37" t="s">
        <v>60</v>
      </c>
      <c r="E275" s="37" t="s">
        <v>5</v>
      </c>
      <c r="F275" s="37" t="s">
        <v>128</v>
      </c>
      <c r="G275" s="37" t="s">
        <v>129</v>
      </c>
      <c r="H275" s="37" t="s">
        <v>130</v>
      </c>
      <c r="I275" s="37" t="s">
        <v>127</v>
      </c>
      <c r="J275" s="37" t="s">
        <v>34</v>
      </c>
      <c r="K275" s="38">
        <v>3.1857850000000001</v>
      </c>
      <c r="L275" s="39"/>
      <c r="M275" s="37" t="s">
        <v>117</v>
      </c>
      <c r="N275" s="40">
        <v>0.68600000000000005</v>
      </c>
      <c r="O275" s="38">
        <v>0.683419</v>
      </c>
      <c r="P275" s="38">
        <v>1.781E-3</v>
      </c>
      <c r="Q275" s="38">
        <v>9.7199999999999999E-4</v>
      </c>
      <c r="R275" s="39" t="s">
        <v>117</v>
      </c>
      <c r="S275" s="39"/>
      <c r="T275" s="39"/>
      <c r="U275" s="39"/>
      <c r="V275" s="8">
        <f t="shared" si="4"/>
        <v>2022</v>
      </c>
    </row>
    <row r="276" spans="1:22" hidden="1" x14ac:dyDescent="0.25">
      <c r="A276" s="36">
        <v>44713</v>
      </c>
      <c r="B276" s="37" t="s">
        <v>11</v>
      </c>
      <c r="C276" s="37" t="s">
        <v>123</v>
      </c>
      <c r="D276" s="37" t="s">
        <v>60</v>
      </c>
      <c r="E276" s="37" t="s">
        <v>5</v>
      </c>
      <c r="F276" s="37" t="s">
        <v>128</v>
      </c>
      <c r="G276" s="37" t="s">
        <v>129</v>
      </c>
      <c r="H276" s="37" t="s">
        <v>130</v>
      </c>
      <c r="I276" s="37" t="s">
        <v>127</v>
      </c>
      <c r="J276" s="37" t="s">
        <v>34</v>
      </c>
      <c r="K276" s="38">
        <v>6.0153080000000001</v>
      </c>
      <c r="L276" s="39"/>
      <c r="M276" s="37" t="s">
        <v>117</v>
      </c>
      <c r="N276" s="40">
        <v>1.431</v>
      </c>
      <c r="O276" s="38">
        <v>1.412056</v>
      </c>
      <c r="P276" s="38">
        <v>1.8964000000000002E-2</v>
      </c>
      <c r="Q276" s="38">
        <v>1.6699999999999999E-4</v>
      </c>
      <c r="R276" s="40">
        <v>1.431</v>
      </c>
      <c r="S276" s="38">
        <v>1.412056</v>
      </c>
      <c r="T276" s="38">
        <v>1.8964000000000002E-2</v>
      </c>
      <c r="U276" s="38">
        <v>1.6699999999999999E-4</v>
      </c>
      <c r="V276" s="8">
        <f t="shared" si="4"/>
        <v>2022</v>
      </c>
    </row>
    <row r="277" spans="1:22" hidden="1" x14ac:dyDescent="0.25">
      <c r="A277" s="36">
        <v>44713</v>
      </c>
      <c r="B277" s="37" t="s">
        <v>19</v>
      </c>
      <c r="C277" s="37" t="s">
        <v>123</v>
      </c>
      <c r="D277" s="37" t="s">
        <v>60</v>
      </c>
      <c r="E277" s="37" t="s">
        <v>5</v>
      </c>
      <c r="F277" s="37" t="s">
        <v>128</v>
      </c>
      <c r="G277" s="37" t="s">
        <v>129</v>
      </c>
      <c r="H277" s="37" t="s">
        <v>130</v>
      </c>
      <c r="I277" s="37" t="s">
        <v>127</v>
      </c>
      <c r="J277" s="37" t="s">
        <v>34</v>
      </c>
      <c r="K277" s="38">
        <v>20182.350971</v>
      </c>
      <c r="L277" s="42">
        <v>681999.77</v>
      </c>
      <c r="M277" s="37" t="s">
        <v>117</v>
      </c>
      <c r="N277" s="40">
        <v>3657.9110000000001</v>
      </c>
      <c r="O277" s="38">
        <v>3653.979022</v>
      </c>
      <c r="P277" s="38">
        <v>1.8800159999999999</v>
      </c>
      <c r="Q277" s="38">
        <v>2.0521780000000001</v>
      </c>
      <c r="R277" s="40">
        <v>3657.9110000000001</v>
      </c>
      <c r="S277" s="38">
        <v>3653.979022</v>
      </c>
      <c r="T277" s="38">
        <v>1.8800159999999999</v>
      </c>
      <c r="U277" s="38">
        <v>2.0521780000000001</v>
      </c>
      <c r="V277" s="8">
        <f t="shared" si="4"/>
        <v>2022</v>
      </c>
    </row>
    <row r="278" spans="1:22" hidden="1" x14ac:dyDescent="0.25">
      <c r="A278" s="36">
        <v>44713</v>
      </c>
      <c r="B278" s="37" t="s">
        <v>20</v>
      </c>
      <c r="C278" s="37" t="s">
        <v>123</v>
      </c>
      <c r="D278" s="37" t="s">
        <v>60</v>
      </c>
      <c r="E278" s="37" t="s">
        <v>5</v>
      </c>
      <c r="F278" s="37" t="s">
        <v>128</v>
      </c>
      <c r="G278" s="37" t="s">
        <v>129</v>
      </c>
      <c r="H278" s="37" t="s">
        <v>130</v>
      </c>
      <c r="I278" s="37" t="s">
        <v>127</v>
      </c>
      <c r="J278" s="37" t="s">
        <v>34</v>
      </c>
      <c r="K278" s="38">
        <v>3.1857850000000001</v>
      </c>
      <c r="L278" s="39"/>
      <c r="M278" s="37" t="s">
        <v>117</v>
      </c>
      <c r="N278" s="40">
        <v>0.68600000000000005</v>
      </c>
      <c r="O278" s="38">
        <v>0.683419</v>
      </c>
      <c r="P278" s="38">
        <v>1.781E-3</v>
      </c>
      <c r="Q278" s="38">
        <v>9.7199999999999999E-4</v>
      </c>
      <c r="R278" s="39" t="s">
        <v>117</v>
      </c>
      <c r="S278" s="39"/>
      <c r="T278" s="39"/>
      <c r="U278" s="39"/>
      <c r="V278" s="8">
        <f t="shared" si="4"/>
        <v>2022</v>
      </c>
    </row>
    <row r="279" spans="1:22" hidden="1" x14ac:dyDescent="0.25">
      <c r="A279" s="36">
        <v>44743</v>
      </c>
      <c r="B279" s="37" t="s">
        <v>11</v>
      </c>
      <c r="C279" s="37" t="s">
        <v>123</v>
      </c>
      <c r="D279" s="37" t="s">
        <v>60</v>
      </c>
      <c r="E279" s="37" t="s">
        <v>5</v>
      </c>
      <c r="F279" s="37" t="s">
        <v>128</v>
      </c>
      <c r="G279" s="37" t="s">
        <v>129</v>
      </c>
      <c r="H279" s="37" t="s">
        <v>130</v>
      </c>
      <c r="I279" s="37" t="s">
        <v>127</v>
      </c>
      <c r="J279" s="37" t="s">
        <v>34</v>
      </c>
      <c r="K279" s="38">
        <v>6.0153080000000001</v>
      </c>
      <c r="L279" s="39"/>
      <c r="M279" s="37" t="s">
        <v>117</v>
      </c>
      <c r="N279" s="40">
        <v>1.431</v>
      </c>
      <c r="O279" s="38">
        <v>1.412056</v>
      </c>
      <c r="P279" s="38">
        <v>1.8964000000000002E-2</v>
      </c>
      <c r="Q279" s="38">
        <v>1.6699999999999999E-4</v>
      </c>
      <c r="R279" s="40">
        <v>1.431</v>
      </c>
      <c r="S279" s="38">
        <v>1.412056</v>
      </c>
      <c r="T279" s="38">
        <v>1.8964000000000002E-2</v>
      </c>
      <c r="U279" s="38">
        <v>1.6699999999999999E-4</v>
      </c>
      <c r="V279" s="8">
        <f t="shared" si="4"/>
        <v>2022</v>
      </c>
    </row>
    <row r="280" spans="1:22" hidden="1" x14ac:dyDescent="0.25">
      <c r="A280" s="36">
        <v>44743</v>
      </c>
      <c r="B280" s="37" t="s">
        <v>19</v>
      </c>
      <c r="C280" s="37" t="s">
        <v>123</v>
      </c>
      <c r="D280" s="37" t="s">
        <v>60</v>
      </c>
      <c r="E280" s="37" t="s">
        <v>5</v>
      </c>
      <c r="F280" s="37" t="s">
        <v>128</v>
      </c>
      <c r="G280" s="37" t="s">
        <v>129</v>
      </c>
      <c r="H280" s="37" t="s">
        <v>130</v>
      </c>
      <c r="I280" s="37" t="s">
        <v>127</v>
      </c>
      <c r="J280" s="37" t="s">
        <v>34</v>
      </c>
      <c r="K280" s="38">
        <v>5952.9357760000003</v>
      </c>
      <c r="L280" s="42">
        <v>240253.76</v>
      </c>
      <c r="M280" s="37" t="s">
        <v>117</v>
      </c>
      <c r="N280" s="40">
        <v>1078.9280000000001</v>
      </c>
      <c r="O280" s="38">
        <v>1077.7685160000001</v>
      </c>
      <c r="P280" s="38">
        <v>0.55452500000000005</v>
      </c>
      <c r="Q280" s="38">
        <v>0.60530499999999998</v>
      </c>
      <c r="R280" s="40">
        <v>1078.9280000000001</v>
      </c>
      <c r="S280" s="38">
        <v>1077.7685160000001</v>
      </c>
      <c r="T280" s="38">
        <v>0.55452500000000005</v>
      </c>
      <c r="U280" s="38">
        <v>0.60530499999999998</v>
      </c>
      <c r="V280" s="8">
        <f t="shared" si="4"/>
        <v>2022</v>
      </c>
    </row>
    <row r="281" spans="1:22" hidden="1" x14ac:dyDescent="0.25">
      <c r="A281" s="36">
        <v>44743</v>
      </c>
      <c r="B281" s="37" t="s">
        <v>20</v>
      </c>
      <c r="C281" s="37" t="s">
        <v>123</v>
      </c>
      <c r="D281" s="37" t="s">
        <v>60</v>
      </c>
      <c r="E281" s="37" t="s">
        <v>5</v>
      </c>
      <c r="F281" s="37" t="s">
        <v>128</v>
      </c>
      <c r="G281" s="37" t="s">
        <v>129</v>
      </c>
      <c r="H281" s="37" t="s">
        <v>130</v>
      </c>
      <c r="I281" s="37" t="s">
        <v>127</v>
      </c>
      <c r="J281" s="37" t="s">
        <v>34</v>
      </c>
      <c r="K281" s="38">
        <v>3.1857850000000001</v>
      </c>
      <c r="L281" s="39"/>
      <c r="M281" s="37" t="s">
        <v>117</v>
      </c>
      <c r="N281" s="40">
        <v>0.68600000000000005</v>
      </c>
      <c r="O281" s="38">
        <v>0.683419</v>
      </c>
      <c r="P281" s="38">
        <v>1.781E-3</v>
      </c>
      <c r="Q281" s="38">
        <v>9.7199999999999999E-4</v>
      </c>
      <c r="R281" s="39" t="s">
        <v>117</v>
      </c>
      <c r="S281" s="39"/>
      <c r="T281" s="39"/>
      <c r="U281" s="39"/>
      <c r="V281" s="8">
        <f t="shared" si="4"/>
        <v>2022</v>
      </c>
    </row>
    <row r="282" spans="1:22" hidden="1" x14ac:dyDescent="0.25">
      <c r="A282" s="36">
        <v>44774</v>
      </c>
      <c r="B282" s="37" t="s">
        <v>11</v>
      </c>
      <c r="C282" s="37" t="s">
        <v>123</v>
      </c>
      <c r="D282" s="37" t="s">
        <v>60</v>
      </c>
      <c r="E282" s="37" t="s">
        <v>5</v>
      </c>
      <c r="F282" s="37" t="s">
        <v>128</v>
      </c>
      <c r="G282" s="37" t="s">
        <v>129</v>
      </c>
      <c r="H282" s="37" t="s">
        <v>130</v>
      </c>
      <c r="I282" s="37" t="s">
        <v>127</v>
      </c>
      <c r="J282" s="37" t="s">
        <v>34</v>
      </c>
      <c r="K282" s="38">
        <v>6.0153080000000001</v>
      </c>
      <c r="L282" s="39"/>
      <c r="M282" s="37" t="s">
        <v>117</v>
      </c>
      <c r="N282" s="40">
        <v>1.431</v>
      </c>
      <c r="O282" s="38">
        <v>1.412056</v>
      </c>
      <c r="P282" s="38">
        <v>1.8964000000000002E-2</v>
      </c>
      <c r="Q282" s="38">
        <v>1.6699999999999999E-4</v>
      </c>
      <c r="R282" s="40">
        <v>1.431</v>
      </c>
      <c r="S282" s="38">
        <v>1.412056</v>
      </c>
      <c r="T282" s="38">
        <v>1.8964000000000002E-2</v>
      </c>
      <c r="U282" s="38">
        <v>1.6699999999999999E-4</v>
      </c>
      <c r="V282" s="8">
        <f t="shared" si="4"/>
        <v>2022</v>
      </c>
    </row>
    <row r="283" spans="1:22" hidden="1" x14ac:dyDescent="0.25">
      <c r="A283" s="36">
        <v>44774</v>
      </c>
      <c r="B283" s="37" t="s">
        <v>19</v>
      </c>
      <c r="C283" s="37" t="s">
        <v>123</v>
      </c>
      <c r="D283" s="37" t="s">
        <v>60</v>
      </c>
      <c r="E283" s="37" t="s">
        <v>5</v>
      </c>
      <c r="F283" s="37" t="s">
        <v>128</v>
      </c>
      <c r="G283" s="37" t="s">
        <v>129</v>
      </c>
      <c r="H283" s="37" t="s">
        <v>130</v>
      </c>
      <c r="I283" s="37" t="s">
        <v>127</v>
      </c>
      <c r="J283" s="37" t="s">
        <v>34</v>
      </c>
      <c r="K283" s="38">
        <v>28985.297398999999</v>
      </c>
      <c r="L283" s="42">
        <v>1076303.79</v>
      </c>
      <c r="M283" s="37" t="s">
        <v>117</v>
      </c>
      <c r="N283" s="40">
        <v>5253.384</v>
      </c>
      <c r="O283" s="38">
        <v>5247.7369360000002</v>
      </c>
      <c r="P283" s="38">
        <v>2.7000229999999998</v>
      </c>
      <c r="Q283" s="38">
        <v>2.9472779999999998</v>
      </c>
      <c r="R283" s="40">
        <v>5253.384</v>
      </c>
      <c r="S283" s="38">
        <v>5247.7369360000002</v>
      </c>
      <c r="T283" s="38">
        <v>2.7000229999999998</v>
      </c>
      <c r="U283" s="38">
        <v>2.9472779999999998</v>
      </c>
      <c r="V283" s="8">
        <f t="shared" si="4"/>
        <v>2022</v>
      </c>
    </row>
    <row r="284" spans="1:22" hidden="1" x14ac:dyDescent="0.25">
      <c r="A284" s="36">
        <v>44774</v>
      </c>
      <c r="B284" s="37" t="s">
        <v>20</v>
      </c>
      <c r="C284" s="37" t="s">
        <v>123</v>
      </c>
      <c r="D284" s="37" t="s">
        <v>60</v>
      </c>
      <c r="E284" s="37" t="s">
        <v>5</v>
      </c>
      <c r="F284" s="37" t="s">
        <v>128</v>
      </c>
      <c r="G284" s="37" t="s">
        <v>129</v>
      </c>
      <c r="H284" s="37" t="s">
        <v>130</v>
      </c>
      <c r="I284" s="37" t="s">
        <v>127</v>
      </c>
      <c r="J284" s="37" t="s">
        <v>34</v>
      </c>
      <c r="K284" s="38">
        <v>3.1857850000000001</v>
      </c>
      <c r="L284" s="39"/>
      <c r="M284" s="37" t="s">
        <v>117</v>
      </c>
      <c r="N284" s="40">
        <v>0.68600000000000005</v>
      </c>
      <c r="O284" s="38">
        <v>0.683419</v>
      </c>
      <c r="P284" s="38">
        <v>1.781E-3</v>
      </c>
      <c r="Q284" s="38">
        <v>9.7199999999999999E-4</v>
      </c>
      <c r="R284" s="39" t="s">
        <v>117</v>
      </c>
      <c r="S284" s="39"/>
      <c r="T284" s="39"/>
      <c r="U284" s="39"/>
      <c r="V284" s="8">
        <f t="shared" si="4"/>
        <v>2022</v>
      </c>
    </row>
    <row r="285" spans="1:22" hidden="1" x14ac:dyDescent="0.25">
      <c r="A285" s="36">
        <v>44805</v>
      </c>
      <c r="B285" s="37" t="s">
        <v>11</v>
      </c>
      <c r="C285" s="37" t="s">
        <v>123</v>
      </c>
      <c r="D285" s="37" t="s">
        <v>60</v>
      </c>
      <c r="E285" s="37" t="s">
        <v>5</v>
      </c>
      <c r="F285" s="37" t="s">
        <v>128</v>
      </c>
      <c r="G285" s="37" t="s">
        <v>129</v>
      </c>
      <c r="H285" s="37" t="s">
        <v>130</v>
      </c>
      <c r="I285" s="37" t="s">
        <v>127</v>
      </c>
      <c r="J285" s="37" t="s">
        <v>34</v>
      </c>
      <c r="K285" s="38">
        <v>6.0153080000000001</v>
      </c>
      <c r="L285" s="39"/>
      <c r="M285" s="37" t="s">
        <v>117</v>
      </c>
      <c r="N285" s="40">
        <v>1.431</v>
      </c>
      <c r="O285" s="38">
        <v>1.412056</v>
      </c>
      <c r="P285" s="38">
        <v>1.8964000000000002E-2</v>
      </c>
      <c r="Q285" s="38">
        <v>1.6699999999999999E-4</v>
      </c>
      <c r="R285" s="40">
        <v>1.431</v>
      </c>
      <c r="S285" s="38">
        <v>1.412056</v>
      </c>
      <c r="T285" s="38">
        <v>1.8964000000000002E-2</v>
      </c>
      <c r="U285" s="38">
        <v>1.6699999999999999E-4</v>
      </c>
      <c r="V285" s="8">
        <f t="shared" si="4"/>
        <v>2022</v>
      </c>
    </row>
    <row r="286" spans="1:22" hidden="1" x14ac:dyDescent="0.25">
      <c r="A286" s="36">
        <v>44805</v>
      </c>
      <c r="B286" s="37" t="s">
        <v>19</v>
      </c>
      <c r="C286" s="37" t="s">
        <v>123</v>
      </c>
      <c r="D286" s="37" t="s">
        <v>60</v>
      </c>
      <c r="E286" s="37" t="s">
        <v>5</v>
      </c>
      <c r="F286" s="37" t="s">
        <v>128</v>
      </c>
      <c r="G286" s="37" t="s">
        <v>129</v>
      </c>
      <c r="H286" s="37" t="s">
        <v>130</v>
      </c>
      <c r="I286" s="37" t="s">
        <v>127</v>
      </c>
      <c r="J286" s="37" t="s">
        <v>34</v>
      </c>
      <c r="K286" s="38">
        <v>21105.032482999999</v>
      </c>
      <c r="L286" s="42">
        <v>805705.32</v>
      </c>
      <c r="M286" s="37" t="s">
        <v>117</v>
      </c>
      <c r="N286" s="40">
        <v>3825.1410000000001</v>
      </c>
      <c r="O286" s="38">
        <v>3821.0288820000001</v>
      </c>
      <c r="P286" s="38">
        <v>1.965965</v>
      </c>
      <c r="Q286" s="38">
        <v>2.1459980000000001</v>
      </c>
      <c r="R286" s="40">
        <v>3825.1410000000001</v>
      </c>
      <c r="S286" s="38">
        <v>3821.0288820000001</v>
      </c>
      <c r="T286" s="38">
        <v>1.965965</v>
      </c>
      <c r="U286" s="38">
        <v>2.1459980000000001</v>
      </c>
      <c r="V286" s="8">
        <f t="shared" si="4"/>
        <v>2022</v>
      </c>
    </row>
    <row r="287" spans="1:22" hidden="1" x14ac:dyDescent="0.25">
      <c r="A287" s="36">
        <v>44805</v>
      </c>
      <c r="B287" s="37" t="s">
        <v>20</v>
      </c>
      <c r="C287" s="37" t="s">
        <v>123</v>
      </c>
      <c r="D287" s="37" t="s">
        <v>60</v>
      </c>
      <c r="E287" s="37" t="s">
        <v>5</v>
      </c>
      <c r="F287" s="37" t="s">
        <v>128</v>
      </c>
      <c r="G287" s="37" t="s">
        <v>129</v>
      </c>
      <c r="H287" s="37" t="s">
        <v>130</v>
      </c>
      <c r="I287" s="37" t="s">
        <v>127</v>
      </c>
      <c r="J287" s="37" t="s">
        <v>34</v>
      </c>
      <c r="K287" s="38">
        <v>3.1857850000000001</v>
      </c>
      <c r="L287" s="39"/>
      <c r="M287" s="37" t="s">
        <v>117</v>
      </c>
      <c r="N287" s="40">
        <v>0.68600000000000005</v>
      </c>
      <c r="O287" s="38">
        <v>0.683419</v>
      </c>
      <c r="P287" s="38">
        <v>1.781E-3</v>
      </c>
      <c r="Q287" s="38">
        <v>9.7199999999999999E-4</v>
      </c>
      <c r="R287" s="39" t="s">
        <v>117</v>
      </c>
      <c r="S287" s="39"/>
      <c r="T287" s="39"/>
      <c r="U287" s="39"/>
      <c r="V287" s="8">
        <f t="shared" si="4"/>
        <v>2022</v>
      </c>
    </row>
    <row r="288" spans="1:22" hidden="1" x14ac:dyDescent="0.25">
      <c r="A288" s="36">
        <v>44835</v>
      </c>
      <c r="B288" s="37" t="s">
        <v>11</v>
      </c>
      <c r="C288" s="37" t="s">
        <v>123</v>
      </c>
      <c r="D288" s="37" t="s">
        <v>60</v>
      </c>
      <c r="E288" s="37" t="s">
        <v>5</v>
      </c>
      <c r="F288" s="37" t="s">
        <v>128</v>
      </c>
      <c r="G288" s="37" t="s">
        <v>129</v>
      </c>
      <c r="H288" s="37" t="s">
        <v>130</v>
      </c>
      <c r="I288" s="37" t="s">
        <v>127</v>
      </c>
      <c r="J288" s="37" t="s">
        <v>34</v>
      </c>
      <c r="K288" s="38">
        <v>6.0153080000000001</v>
      </c>
      <c r="L288" s="39"/>
      <c r="M288" s="37" t="s">
        <v>117</v>
      </c>
      <c r="N288" s="40">
        <v>1.431</v>
      </c>
      <c r="O288" s="38">
        <v>1.412056</v>
      </c>
      <c r="P288" s="38">
        <v>1.8964000000000002E-2</v>
      </c>
      <c r="Q288" s="38">
        <v>1.6699999999999999E-4</v>
      </c>
      <c r="R288" s="40">
        <v>1.431</v>
      </c>
      <c r="S288" s="38">
        <v>1.412056</v>
      </c>
      <c r="T288" s="38">
        <v>1.8964000000000002E-2</v>
      </c>
      <c r="U288" s="38">
        <v>1.6699999999999999E-4</v>
      </c>
      <c r="V288" s="8">
        <f t="shared" si="4"/>
        <v>2022</v>
      </c>
    </row>
    <row r="289" spans="1:22" hidden="1" x14ac:dyDescent="0.25">
      <c r="A289" s="36">
        <v>44835</v>
      </c>
      <c r="B289" s="37" t="s">
        <v>19</v>
      </c>
      <c r="C289" s="37" t="s">
        <v>123</v>
      </c>
      <c r="D289" s="37" t="s">
        <v>60</v>
      </c>
      <c r="E289" s="37" t="s">
        <v>5</v>
      </c>
      <c r="F289" s="37" t="s">
        <v>128</v>
      </c>
      <c r="G289" s="37" t="s">
        <v>129</v>
      </c>
      <c r="H289" s="37" t="s">
        <v>130</v>
      </c>
      <c r="I289" s="37" t="s">
        <v>127</v>
      </c>
      <c r="J289" s="37" t="s">
        <v>34</v>
      </c>
      <c r="K289" s="38">
        <v>21586.765124000001</v>
      </c>
      <c r="L289" s="42">
        <v>747410.64</v>
      </c>
      <c r="M289" s="37" t="s">
        <v>117</v>
      </c>
      <c r="N289" s="40">
        <v>3912.4520000000002</v>
      </c>
      <c r="O289" s="38">
        <v>3908.2457260000001</v>
      </c>
      <c r="P289" s="38">
        <v>2.0108389999999998</v>
      </c>
      <c r="Q289" s="38">
        <v>2.194982</v>
      </c>
      <c r="R289" s="40">
        <v>3912.4520000000002</v>
      </c>
      <c r="S289" s="38">
        <v>3908.2457260000001</v>
      </c>
      <c r="T289" s="38">
        <v>2.0108389999999998</v>
      </c>
      <c r="U289" s="38">
        <v>2.194982</v>
      </c>
      <c r="V289" s="8">
        <f t="shared" si="4"/>
        <v>2022</v>
      </c>
    </row>
    <row r="290" spans="1:22" hidden="1" x14ac:dyDescent="0.25">
      <c r="A290" s="36">
        <v>44835</v>
      </c>
      <c r="B290" s="37" t="s">
        <v>20</v>
      </c>
      <c r="C290" s="37" t="s">
        <v>123</v>
      </c>
      <c r="D290" s="37" t="s">
        <v>60</v>
      </c>
      <c r="E290" s="37" t="s">
        <v>5</v>
      </c>
      <c r="F290" s="37" t="s">
        <v>128</v>
      </c>
      <c r="G290" s="37" t="s">
        <v>129</v>
      </c>
      <c r="H290" s="37" t="s">
        <v>130</v>
      </c>
      <c r="I290" s="37" t="s">
        <v>127</v>
      </c>
      <c r="J290" s="37" t="s">
        <v>34</v>
      </c>
      <c r="K290" s="38">
        <v>3.1857850000000001</v>
      </c>
      <c r="L290" s="39"/>
      <c r="M290" s="37" t="s">
        <v>117</v>
      </c>
      <c r="N290" s="40">
        <v>0.68600000000000005</v>
      </c>
      <c r="O290" s="38">
        <v>0.683419</v>
      </c>
      <c r="P290" s="38">
        <v>1.781E-3</v>
      </c>
      <c r="Q290" s="38">
        <v>9.7199999999999999E-4</v>
      </c>
      <c r="R290" s="39" t="s">
        <v>117</v>
      </c>
      <c r="S290" s="39"/>
      <c r="T290" s="39"/>
      <c r="U290" s="39"/>
      <c r="V290" s="8">
        <f t="shared" si="4"/>
        <v>2022</v>
      </c>
    </row>
    <row r="291" spans="1:22" hidden="1" x14ac:dyDescent="0.25">
      <c r="A291" s="36">
        <v>44866</v>
      </c>
      <c r="B291" s="37" t="s">
        <v>11</v>
      </c>
      <c r="C291" s="37" t="s">
        <v>123</v>
      </c>
      <c r="D291" s="37" t="s">
        <v>60</v>
      </c>
      <c r="E291" s="37" t="s">
        <v>5</v>
      </c>
      <c r="F291" s="37" t="s">
        <v>128</v>
      </c>
      <c r="G291" s="37" t="s">
        <v>129</v>
      </c>
      <c r="H291" s="37" t="s">
        <v>130</v>
      </c>
      <c r="I291" s="37" t="s">
        <v>127</v>
      </c>
      <c r="J291" s="37" t="s">
        <v>34</v>
      </c>
      <c r="K291" s="38">
        <v>6.0153080000000001</v>
      </c>
      <c r="L291" s="39"/>
      <c r="M291" s="37" t="s">
        <v>117</v>
      </c>
      <c r="N291" s="40">
        <v>1.431</v>
      </c>
      <c r="O291" s="38">
        <v>1.412056</v>
      </c>
      <c r="P291" s="38">
        <v>1.8964000000000002E-2</v>
      </c>
      <c r="Q291" s="38">
        <v>1.6699999999999999E-4</v>
      </c>
      <c r="R291" s="40">
        <v>1.431</v>
      </c>
      <c r="S291" s="38">
        <v>1.412056</v>
      </c>
      <c r="T291" s="38">
        <v>1.8964000000000002E-2</v>
      </c>
      <c r="U291" s="38">
        <v>1.6699999999999999E-4</v>
      </c>
      <c r="V291" s="8">
        <f t="shared" si="4"/>
        <v>2022</v>
      </c>
    </row>
    <row r="292" spans="1:22" hidden="1" x14ac:dyDescent="0.25">
      <c r="A292" s="36">
        <v>44866</v>
      </c>
      <c r="B292" s="37" t="s">
        <v>19</v>
      </c>
      <c r="C292" s="37" t="s">
        <v>123</v>
      </c>
      <c r="D292" s="37" t="s">
        <v>60</v>
      </c>
      <c r="E292" s="37" t="s">
        <v>5</v>
      </c>
      <c r="F292" s="37" t="s">
        <v>128</v>
      </c>
      <c r="G292" s="37" t="s">
        <v>129</v>
      </c>
      <c r="H292" s="37" t="s">
        <v>130</v>
      </c>
      <c r="I292" s="37" t="s">
        <v>127</v>
      </c>
      <c r="J292" s="37" t="s">
        <v>34</v>
      </c>
      <c r="K292" s="38">
        <v>20394.021551000002</v>
      </c>
      <c r="L292" s="42">
        <v>650875.94999999995</v>
      </c>
      <c r="M292" s="37" t="s">
        <v>117</v>
      </c>
      <c r="N292" s="40">
        <v>3696.2750000000001</v>
      </c>
      <c r="O292" s="38">
        <v>3692.3016069999999</v>
      </c>
      <c r="P292" s="38">
        <v>1.8997329999999999</v>
      </c>
      <c r="Q292" s="38">
        <v>2.0737009999999998</v>
      </c>
      <c r="R292" s="40">
        <v>3696.2750000000001</v>
      </c>
      <c r="S292" s="38">
        <v>3692.3016069999999</v>
      </c>
      <c r="T292" s="38">
        <v>1.8997329999999999</v>
      </c>
      <c r="U292" s="38">
        <v>2.0737009999999998</v>
      </c>
      <c r="V292" s="8">
        <f t="shared" si="4"/>
        <v>2022</v>
      </c>
    </row>
    <row r="293" spans="1:22" hidden="1" x14ac:dyDescent="0.25">
      <c r="A293" s="36">
        <v>44866</v>
      </c>
      <c r="B293" s="37" t="s">
        <v>20</v>
      </c>
      <c r="C293" s="37" t="s">
        <v>123</v>
      </c>
      <c r="D293" s="37" t="s">
        <v>60</v>
      </c>
      <c r="E293" s="37" t="s">
        <v>5</v>
      </c>
      <c r="F293" s="37" t="s">
        <v>128</v>
      </c>
      <c r="G293" s="37" t="s">
        <v>129</v>
      </c>
      <c r="H293" s="37" t="s">
        <v>130</v>
      </c>
      <c r="I293" s="37" t="s">
        <v>127</v>
      </c>
      <c r="J293" s="37" t="s">
        <v>34</v>
      </c>
      <c r="K293" s="38">
        <v>3.1857850000000001</v>
      </c>
      <c r="L293" s="39"/>
      <c r="M293" s="37" t="s">
        <v>117</v>
      </c>
      <c r="N293" s="40">
        <v>0.68600000000000005</v>
      </c>
      <c r="O293" s="38">
        <v>0.683419</v>
      </c>
      <c r="P293" s="38">
        <v>1.781E-3</v>
      </c>
      <c r="Q293" s="38">
        <v>9.7199999999999999E-4</v>
      </c>
      <c r="R293" s="39" t="s">
        <v>117</v>
      </c>
      <c r="S293" s="39"/>
      <c r="T293" s="39"/>
      <c r="U293" s="39"/>
      <c r="V293" s="8">
        <f t="shared" si="4"/>
        <v>2022</v>
      </c>
    </row>
    <row r="294" spans="1:22" hidden="1" x14ac:dyDescent="0.25">
      <c r="A294" s="36">
        <v>44896</v>
      </c>
      <c r="B294" s="37" t="s">
        <v>11</v>
      </c>
      <c r="C294" s="37" t="s">
        <v>123</v>
      </c>
      <c r="D294" s="37" t="s">
        <v>60</v>
      </c>
      <c r="E294" s="37" t="s">
        <v>5</v>
      </c>
      <c r="F294" s="37" t="s">
        <v>128</v>
      </c>
      <c r="G294" s="37" t="s">
        <v>129</v>
      </c>
      <c r="H294" s="37" t="s">
        <v>130</v>
      </c>
      <c r="I294" s="37" t="s">
        <v>127</v>
      </c>
      <c r="J294" s="37" t="s">
        <v>34</v>
      </c>
      <c r="K294" s="38">
        <v>6.0153080000000001</v>
      </c>
      <c r="L294" s="39"/>
      <c r="M294" s="37" t="s">
        <v>117</v>
      </c>
      <c r="N294" s="40">
        <v>1.431</v>
      </c>
      <c r="O294" s="38">
        <v>1.412056</v>
      </c>
      <c r="P294" s="38">
        <v>1.8964000000000002E-2</v>
      </c>
      <c r="Q294" s="38">
        <v>1.6699999999999999E-4</v>
      </c>
      <c r="R294" s="40">
        <v>1.431</v>
      </c>
      <c r="S294" s="38">
        <v>1.412056</v>
      </c>
      <c r="T294" s="38">
        <v>1.8964000000000002E-2</v>
      </c>
      <c r="U294" s="38">
        <v>1.6699999999999999E-4</v>
      </c>
      <c r="V294" s="8">
        <f t="shared" si="4"/>
        <v>2022</v>
      </c>
    </row>
    <row r="295" spans="1:22" hidden="1" x14ac:dyDescent="0.25">
      <c r="A295" s="36">
        <v>44896</v>
      </c>
      <c r="B295" s="37" t="s">
        <v>19</v>
      </c>
      <c r="C295" s="37" t="s">
        <v>123</v>
      </c>
      <c r="D295" s="37" t="s">
        <v>60</v>
      </c>
      <c r="E295" s="37" t="s">
        <v>5</v>
      </c>
      <c r="F295" s="37" t="s">
        <v>128</v>
      </c>
      <c r="G295" s="37" t="s">
        <v>129</v>
      </c>
      <c r="H295" s="37" t="s">
        <v>130</v>
      </c>
      <c r="I295" s="37" t="s">
        <v>127</v>
      </c>
      <c r="J295" s="37" t="s">
        <v>34</v>
      </c>
      <c r="K295" s="38">
        <v>23730.043682</v>
      </c>
      <c r="L295" s="42">
        <v>807632.63</v>
      </c>
      <c r="M295" s="37" t="s">
        <v>117</v>
      </c>
      <c r="N295" s="40">
        <v>4300.9059999999999</v>
      </c>
      <c r="O295" s="38">
        <v>4296.282526</v>
      </c>
      <c r="P295" s="38">
        <v>2.2104879999999998</v>
      </c>
      <c r="Q295" s="38">
        <v>2.4129139999999998</v>
      </c>
      <c r="R295" s="40">
        <v>4300.9059999999999</v>
      </c>
      <c r="S295" s="38">
        <v>4296.282526</v>
      </c>
      <c r="T295" s="38">
        <v>2.2104879999999998</v>
      </c>
      <c r="U295" s="38">
        <v>2.4129139999999998</v>
      </c>
      <c r="V295" s="8">
        <f t="shared" si="4"/>
        <v>2022</v>
      </c>
    </row>
    <row r="296" spans="1:22" hidden="1" x14ac:dyDescent="0.25">
      <c r="A296" s="36">
        <v>44896</v>
      </c>
      <c r="B296" s="37" t="s">
        <v>20</v>
      </c>
      <c r="C296" s="37" t="s">
        <v>123</v>
      </c>
      <c r="D296" s="37" t="s">
        <v>60</v>
      </c>
      <c r="E296" s="37" t="s">
        <v>5</v>
      </c>
      <c r="F296" s="37" t="s">
        <v>128</v>
      </c>
      <c r="G296" s="37" t="s">
        <v>129</v>
      </c>
      <c r="H296" s="37" t="s">
        <v>130</v>
      </c>
      <c r="I296" s="37" t="s">
        <v>127</v>
      </c>
      <c r="J296" s="37" t="s">
        <v>34</v>
      </c>
      <c r="K296" s="38">
        <v>3.1857850000000001</v>
      </c>
      <c r="L296" s="39"/>
      <c r="M296" s="37" t="s">
        <v>117</v>
      </c>
      <c r="N296" s="40">
        <v>0.68600000000000005</v>
      </c>
      <c r="O296" s="38">
        <v>0.683419</v>
      </c>
      <c r="P296" s="38">
        <v>1.781E-3</v>
      </c>
      <c r="Q296" s="38">
        <v>9.7199999999999999E-4</v>
      </c>
      <c r="R296" s="39" t="s">
        <v>117</v>
      </c>
      <c r="S296" s="39"/>
      <c r="T296" s="39"/>
      <c r="U296" s="39"/>
      <c r="V296" s="8">
        <f t="shared" si="4"/>
        <v>2022</v>
      </c>
    </row>
    <row r="297" spans="1:22" hidden="1" x14ac:dyDescent="0.25">
      <c r="A297" s="36">
        <v>44927</v>
      </c>
      <c r="B297" s="37" t="s">
        <v>11</v>
      </c>
      <c r="C297" s="37" t="s">
        <v>123</v>
      </c>
      <c r="D297" s="37" t="s">
        <v>60</v>
      </c>
      <c r="E297" s="37" t="s">
        <v>5</v>
      </c>
      <c r="F297" s="37" t="s">
        <v>128</v>
      </c>
      <c r="G297" s="37" t="s">
        <v>129</v>
      </c>
      <c r="H297" s="37" t="s">
        <v>130</v>
      </c>
      <c r="I297" s="37" t="s">
        <v>127</v>
      </c>
      <c r="J297" s="37" t="s">
        <v>34</v>
      </c>
      <c r="K297" s="38">
        <v>7.076498</v>
      </c>
      <c r="L297" s="39"/>
      <c r="M297" s="37" t="s">
        <v>117</v>
      </c>
      <c r="N297" s="40">
        <v>1.6559999999999999</v>
      </c>
      <c r="O297" s="38">
        <v>1.633675</v>
      </c>
      <c r="P297" s="38">
        <v>2.2339000000000001E-2</v>
      </c>
      <c r="Q297" s="38">
        <v>2.04E-4</v>
      </c>
      <c r="R297" s="40">
        <v>1.6559999999999999</v>
      </c>
      <c r="S297" s="38">
        <v>1.633675</v>
      </c>
      <c r="T297" s="38">
        <v>2.2339000000000001E-2</v>
      </c>
      <c r="U297" s="38">
        <v>2.04E-4</v>
      </c>
      <c r="V297" s="8">
        <f t="shared" si="4"/>
        <v>2023</v>
      </c>
    </row>
    <row r="298" spans="1:22" hidden="1" x14ac:dyDescent="0.25">
      <c r="A298" s="36">
        <v>44927</v>
      </c>
      <c r="B298" s="37" t="s">
        <v>13</v>
      </c>
      <c r="C298" s="37" t="s">
        <v>123</v>
      </c>
      <c r="D298" s="37" t="s">
        <v>60</v>
      </c>
      <c r="E298" s="37" t="s">
        <v>5</v>
      </c>
      <c r="F298" s="37" t="s">
        <v>128</v>
      </c>
      <c r="G298" s="37" t="s">
        <v>129</v>
      </c>
      <c r="H298" s="37" t="s">
        <v>130</v>
      </c>
      <c r="I298" s="37" t="s">
        <v>127</v>
      </c>
      <c r="J298" s="37" t="s">
        <v>36</v>
      </c>
      <c r="K298" s="38">
        <v>2.9460820000000001</v>
      </c>
      <c r="L298" s="39"/>
      <c r="M298" s="37" t="s">
        <v>117</v>
      </c>
      <c r="N298" s="40">
        <v>2.9460000000000002</v>
      </c>
      <c r="O298" s="38">
        <v>2.9460820000000001</v>
      </c>
      <c r="P298" s="39"/>
      <c r="Q298" s="39"/>
      <c r="R298" s="40">
        <v>2.9460000000000002</v>
      </c>
      <c r="S298" s="38">
        <v>2.9460820000000001</v>
      </c>
      <c r="T298" s="39"/>
      <c r="U298" s="39"/>
      <c r="V298" s="8">
        <f t="shared" si="4"/>
        <v>2023</v>
      </c>
    </row>
    <row r="299" spans="1:22" hidden="1" x14ac:dyDescent="0.25">
      <c r="A299" s="36">
        <v>44927</v>
      </c>
      <c r="B299" s="37" t="s">
        <v>19</v>
      </c>
      <c r="C299" s="37" t="s">
        <v>123</v>
      </c>
      <c r="D299" s="37" t="s">
        <v>60</v>
      </c>
      <c r="E299" s="37" t="s">
        <v>5</v>
      </c>
      <c r="F299" s="37" t="s">
        <v>128</v>
      </c>
      <c r="G299" s="37" t="s">
        <v>129</v>
      </c>
      <c r="H299" s="37" t="s">
        <v>130</v>
      </c>
      <c r="I299" s="37" t="s">
        <v>127</v>
      </c>
      <c r="J299" s="37" t="s">
        <v>34</v>
      </c>
      <c r="K299" s="38">
        <v>25450.957006000001</v>
      </c>
      <c r="L299" s="42">
        <v>680153.31</v>
      </c>
      <c r="M299" s="37" t="s">
        <v>117</v>
      </c>
      <c r="N299" s="40">
        <v>4612.8100000000004</v>
      </c>
      <c r="O299" s="38">
        <v>4607.8508460000003</v>
      </c>
      <c r="P299" s="38">
        <v>2.3707940000000001</v>
      </c>
      <c r="Q299" s="38">
        <v>2.5878999999999999</v>
      </c>
      <c r="R299" s="40">
        <v>4612.8100000000004</v>
      </c>
      <c r="S299" s="38">
        <v>4607.8508460000003</v>
      </c>
      <c r="T299" s="38">
        <v>2.3707940000000001</v>
      </c>
      <c r="U299" s="38">
        <v>2.5878999999999999</v>
      </c>
      <c r="V299" s="8">
        <f t="shared" si="4"/>
        <v>2023</v>
      </c>
    </row>
    <row r="300" spans="1:22" hidden="1" x14ac:dyDescent="0.25">
      <c r="A300" s="36">
        <v>44958</v>
      </c>
      <c r="B300" s="37" t="s">
        <v>13</v>
      </c>
      <c r="C300" s="37" t="s">
        <v>123</v>
      </c>
      <c r="D300" s="37" t="s">
        <v>60</v>
      </c>
      <c r="E300" s="37" t="s">
        <v>5</v>
      </c>
      <c r="F300" s="37" t="s">
        <v>128</v>
      </c>
      <c r="G300" s="37" t="s">
        <v>129</v>
      </c>
      <c r="H300" s="37" t="s">
        <v>130</v>
      </c>
      <c r="I300" s="37" t="s">
        <v>127</v>
      </c>
      <c r="J300" s="37" t="s">
        <v>36</v>
      </c>
      <c r="K300" s="38">
        <v>2.9460820000000001</v>
      </c>
      <c r="L300" s="39"/>
      <c r="M300" s="37" t="s">
        <v>117</v>
      </c>
      <c r="N300" s="40">
        <v>2.9460000000000002</v>
      </c>
      <c r="O300" s="38">
        <v>2.9460820000000001</v>
      </c>
      <c r="P300" s="39"/>
      <c r="Q300" s="39"/>
      <c r="R300" s="40">
        <v>2.9460000000000002</v>
      </c>
      <c r="S300" s="38">
        <v>2.9460820000000001</v>
      </c>
      <c r="T300" s="39"/>
      <c r="U300" s="39"/>
      <c r="V300" s="8">
        <f t="shared" si="4"/>
        <v>2023</v>
      </c>
    </row>
    <row r="301" spans="1:22" hidden="1" x14ac:dyDescent="0.25">
      <c r="A301" s="36">
        <v>44958</v>
      </c>
      <c r="B301" s="37" t="s">
        <v>19</v>
      </c>
      <c r="C301" s="37" t="s">
        <v>123</v>
      </c>
      <c r="D301" s="37" t="s">
        <v>60</v>
      </c>
      <c r="E301" s="37" t="s">
        <v>5</v>
      </c>
      <c r="F301" s="37" t="s">
        <v>128</v>
      </c>
      <c r="G301" s="37" t="s">
        <v>129</v>
      </c>
      <c r="H301" s="37" t="s">
        <v>130</v>
      </c>
      <c r="I301" s="37" t="s">
        <v>127</v>
      </c>
      <c r="J301" s="37" t="s">
        <v>34</v>
      </c>
      <c r="K301" s="38">
        <v>18680.493618</v>
      </c>
      <c r="L301" s="42">
        <v>496166.34</v>
      </c>
      <c r="M301" s="37" t="s">
        <v>117</v>
      </c>
      <c r="N301" s="40">
        <v>3385.71</v>
      </c>
      <c r="O301" s="38">
        <v>3382.0703990000002</v>
      </c>
      <c r="P301" s="38">
        <v>1.7401150000000001</v>
      </c>
      <c r="Q301" s="38">
        <v>1.899467</v>
      </c>
      <c r="R301" s="40">
        <v>3385.71</v>
      </c>
      <c r="S301" s="38">
        <v>3382.0703990000002</v>
      </c>
      <c r="T301" s="38">
        <v>1.7401150000000001</v>
      </c>
      <c r="U301" s="38">
        <v>1.899467</v>
      </c>
      <c r="V301" s="8">
        <f t="shared" si="4"/>
        <v>2023</v>
      </c>
    </row>
    <row r="302" spans="1:22" hidden="1" x14ac:dyDescent="0.25">
      <c r="A302" s="36">
        <v>44986</v>
      </c>
      <c r="B302" s="37" t="s">
        <v>11</v>
      </c>
      <c r="C302" s="37" t="s">
        <v>123</v>
      </c>
      <c r="D302" s="37" t="s">
        <v>60</v>
      </c>
      <c r="E302" s="37" t="s">
        <v>5</v>
      </c>
      <c r="F302" s="37" t="s">
        <v>128</v>
      </c>
      <c r="G302" s="37" t="s">
        <v>129</v>
      </c>
      <c r="H302" s="37" t="s">
        <v>130</v>
      </c>
      <c r="I302" s="37" t="s">
        <v>127</v>
      </c>
      <c r="J302" s="37" t="s">
        <v>34</v>
      </c>
      <c r="K302" s="38">
        <v>11.478478000000001</v>
      </c>
      <c r="L302" s="39"/>
      <c r="M302" s="37" t="s">
        <v>117</v>
      </c>
      <c r="N302" s="40">
        <v>2.6859999999999999</v>
      </c>
      <c r="O302" s="38">
        <v>2.6499130000000002</v>
      </c>
      <c r="P302" s="38">
        <v>3.6234000000000002E-2</v>
      </c>
      <c r="Q302" s="38">
        <v>3.3100000000000002E-4</v>
      </c>
      <c r="R302" s="40">
        <v>2.6859999999999999</v>
      </c>
      <c r="S302" s="38">
        <v>2.6499130000000002</v>
      </c>
      <c r="T302" s="38">
        <v>3.6234000000000002E-2</v>
      </c>
      <c r="U302" s="38">
        <v>3.3100000000000002E-4</v>
      </c>
      <c r="V302" s="8">
        <f t="shared" si="4"/>
        <v>2023</v>
      </c>
    </row>
    <row r="303" spans="1:22" hidden="1" x14ac:dyDescent="0.25">
      <c r="A303" s="36">
        <v>44986</v>
      </c>
      <c r="B303" s="37" t="s">
        <v>13</v>
      </c>
      <c r="C303" s="37" t="s">
        <v>123</v>
      </c>
      <c r="D303" s="37" t="s">
        <v>60</v>
      </c>
      <c r="E303" s="37" t="s">
        <v>5</v>
      </c>
      <c r="F303" s="37" t="s">
        <v>128</v>
      </c>
      <c r="G303" s="37" t="s">
        <v>129</v>
      </c>
      <c r="H303" s="37" t="s">
        <v>130</v>
      </c>
      <c r="I303" s="37" t="s">
        <v>127</v>
      </c>
      <c r="J303" s="37" t="s">
        <v>36</v>
      </c>
      <c r="K303" s="38">
        <v>2.9460820000000001</v>
      </c>
      <c r="L303" s="39"/>
      <c r="M303" s="37" t="s">
        <v>117</v>
      </c>
      <c r="N303" s="40">
        <v>2.9460000000000002</v>
      </c>
      <c r="O303" s="38">
        <v>2.9460820000000001</v>
      </c>
      <c r="P303" s="39"/>
      <c r="Q303" s="39"/>
      <c r="R303" s="40">
        <v>2.9460000000000002</v>
      </c>
      <c r="S303" s="38">
        <v>2.9460820000000001</v>
      </c>
      <c r="T303" s="39"/>
      <c r="U303" s="39"/>
      <c r="V303" s="8">
        <f t="shared" si="4"/>
        <v>2023</v>
      </c>
    </row>
    <row r="304" spans="1:22" hidden="1" x14ac:dyDescent="0.25">
      <c r="A304" s="36">
        <v>44986</v>
      </c>
      <c r="B304" s="37" t="s">
        <v>19</v>
      </c>
      <c r="C304" s="37" t="s">
        <v>123</v>
      </c>
      <c r="D304" s="37" t="s">
        <v>60</v>
      </c>
      <c r="E304" s="37" t="s">
        <v>5</v>
      </c>
      <c r="F304" s="37" t="s">
        <v>128</v>
      </c>
      <c r="G304" s="37" t="s">
        <v>129</v>
      </c>
      <c r="H304" s="37" t="s">
        <v>130</v>
      </c>
      <c r="I304" s="37" t="s">
        <v>127</v>
      </c>
      <c r="J304" s="37" t="s">
        <v>34</v>
      </c>
      <c r="K304" s="38">
        <v>24007.851610999998</v>
      </c>
      <c r="L304" s="42">
        <v>495830.7</v>
      </c>
      <c r="M304" s="37" t="s">
        <v>117</v>
      </c>
      <c r="N304" s="40">
        <v>4351.2569999999996</v>
      </c>
      <c r="O304" s="38">
        <v>4346.5791609999997</v>
      </c>
      <c r="P304" s="38">
        <v>2.236367</v>
      </c>
      <c r="Q304" s="38">
        <v>2.4411619999999998</v>
      </c>
      <c r="R304" s="40">
        <v>4351.2569999999996</v>
      </c>
      <c r="S304" s="38">
        <v>4346.5791609999997</v>
      </c>
      <c r="T304" s="38">
        <v>2.236367</v>
      </c>
      <c r="U304" s="38">
        <v>2.4411619999999998</v>
      </c>
      <c r="V304" s="8">
        <f t="shared" si="4"/>
        <v>2023</v>
      </c>
    </row>
    <row r="305" spans="1:22" hidden="1" x14ac:dyDescent="0.25">
      <c r="A305" s="36">
        <v>45017</v>
      </c>
      <c r="B305" s="37" t="s">
        <v>13</v>
      </c>
      <c r="C305" s="37" t="s">
        <v>123</v>
      </c>
      <c r="D305" s="37" t="s">
        <v>60</v>
      </c>
      <c r="E305" s="37" t="s">
        <v>5</v>
      </c>
      <c r="F305" s="37" t="s">
        <v>128</v>
      </c>
      <c r="G305" s="37" t="s">
        <v>129</v>
      </c>
      <c r="H305" s="37" t="s">
        <v>130</v>
      </c>
      <c r="I305" s="37" t="s">
        <v>127</v>
      </c>
      <c r="J305" s="37" t="s">
        <v>36</v>
      </c>
      <c r="K305" s="38">
        <v>2.9460820000000001</v>
      </c>
      <c r="L305" s="39"/>
      <c r="M305" s="37" t="s">
        <v>117</v>
      </c>
      <c r="N305" s="40">
        <v>2.9460000000000002</v>
      </c>
      <c r="O305" s="38">
        <v>2.9460820000000001</v>
      </c>
      <c r="P305" s="39"/>
      <c r="Q305" s="39"/>
      <c r="R305" s="40">
        <v>2.9460000000000002</v>
      </c>
      <c r="S305" s="38">
        <v>2.9460820000000001</v>
      </c>
      <c r="T305" s="39"/>
      <c r="U305" s="39"/>
      <c r="V305" s="8">
        <f t="shared" si="4"/>
        <v>2023</v>
      </c>
    </row>
    <row r="306" spans="1:22" hidden="1" x14ac:dyDescent="0.25">
      <c r="A306" s="36">
        <v>45017</v>
      </c>
      <c r="B306" s="37" t="s">
        <v>19</v>
      </c>
      <c r="C306" s="37" t="s">
        <v>123</v>
      </c>
      <c r="D306" s="37" t="s">
        <v>60</v>
      </c>
      <c r="E306" s="37" t="s">
        <v>5</v>
      </c>
      <c r="F306" s="37" t="s">
        <v>128</v>
      </c>
      <c r="G306" s="37" t="s">
        <v>129</v>
      </c>
      <c r="H306" s="37" t="s">
        <v>130</v>
      </c>
      <c r="I306" s="37" t="s">
        <v>127</v>
      </c>
      <c r="J306" s="37" t="s">
        <v>34</v>
      </c>
      <c r="K306" s="38">
        <v>14027.275286</v>
      </c>
      <c r="L306" s="42">
        <v>341470.55</v>
      </c>
      <c r="M306" s="37" t="s">
        <v>117</v>
      </c>
      <c r="N306" s="40">
        <v>2542.346</v>
      </c>
      <c r="O306" s="38">
        <v>2539.613433</v>
      </c>
      <c r="P306" s="38">
        <v>1.3066610000000001</v>
      </c>
      <c r="Q306" s="38">
        <v>1.4263189999999999</v>
      </c>
      <c r="R306" s="40">
        <v>2542.346</v>
      </c>
      <c r="S306" s="38">
        <v>2539.613433</v>
      </c>
      <c r="T306" s="38">
        <v>1.3066610000000001</v>
      </c>
      <c r="U306" s="38">
        <v>1.4263189999999999</v>
      </c>
      <c r="V306" s="8">
        <f t="shared" si="4"/>
        <v>2023</v>
      </c>
    </row>
    <row r="307" spans="1:22" hidden="1" x14ac:dyDescent="0.25">
      <c r="A307" s="36">
        <v>45047</v>
      </c>
      <c r="B307" s="37" t="s">
        <v>11</v>
      </c>
      <c r="C307" s="37" t="s">
        <v>123</v>
      </c>
      <c r="D307" s="37" t="s">
        <v>60</v>
      </c>
      <c r="E307" s="37" t="s">
        <v>5</v>
      </c>
      <c r="F307" s="37" t="s">
        <v>128</v>
      </c>
      <c r="G307" s="37" t="s">
        <v>129</v>
      </c>
      <c r="H307" s="37" t="s">
        <v>130</v>
      </c>
      <c r="I307" s="37" t="s">
        <v>127</v>
      </c>
      <c r="J307" s="37" t="s">
        <v>34</v>
      </c>
      <c r="K307" s="38">
        <v>11.332152000000001</v>
      </c>
      <c r="L307" s="39"/>
      <c r="M307" s="37" t="s">
        <v>117</v>
      </c>
      <c r="N307" s="40">
        <v>2.6520000000000001</v>
      </c>
      <c r="O307" s="38">
        <v>2.6161319999999999</v>
      </c>
      <c r="P307" s="38">
        <v>3.5772999999999999E-2</v>
      </c>
      <c r="Q307" s="38">
        <v>3.2699999999999998E-4</v>
      </c>
      <c r="R307" s="40">
        <v>2.6520000000000001</v>
      </c>
      <c r="S307" s="38">
        <v>2.6161319999999999</v>
      </c>
      <c r="T307" s="38">
        <v>3.5772999999999999E-2</v>
      </c>
      <c r="U307" s="38">
        <v>3.2699999999999998E-4</v>
      </c>
      <c r="V307" s="8">
        <f t="shared" si="4"/>
        <v>2023</v>
      </c>
    </row>
    <row r="308" spans="1:22" hidden="1" x14ac:dyDescent="0.25">
      <c r="A308" s="36">
        <v>45047</v>
      </c>
      <c r="B308" s="37" t="s">
        <v>13</v>
      </c>
      <c r="C308" s="37" t="s">
        <v>123</v>
      </c>
      <c r="D308" s="37" t="s">
        <v>60</v>
      </c>
      <c r="E308" s="37" t="s">
        <v>5</v>
      </c>
      <c r="F308" s="37" t="s">
        <v>128</v>
      </c>
      <c r="G308" s="37" t="s">
        <v>129</v>
      </c>
      <c r="H308" s="37" t="s">
        <v>130</v>
      </c>
      <c r="I308" s="37" t="s">
        <v>127</v>
      </c>
      <c r="J308" s="37" t="s">
        <v>36</v>
      </c>
      <c r="K308" s="38">
        <v>2.9460820000000001</v>
      </c>
      <c r="L308" s="39"/>
      <c r="M308" s="37" t="s">
        <v>117</v>
      </c>
      <c r="N308" s="40">
        <v>2.9460000000000002</v>
      </c>
      <c r="O308" s="38">
        <v>2.9460820000000001</v>
      </c>
      <c r="P308" s="39"/>
      <c r="Q308" s="39"/>
      <c r="R308" s="40">
        <v>2.9460000000000002</v>
      </c>
      <c r="S308" s="38">
        <v>2.9460820000000001</v>
      </c>
      <c r="T308" s="39"/>
      <c r="U308" s="39"/>
      <c r="V308" s="8">
        <f t="shared" ref="V308:V371" si="5">YEAR(A308)</f>
        <v>2023</v>
      </c>
    </row>
    <row r="309" spans="1:22" hidden="1" x14ac:dyDescent="0.25">
      <c r="A309" s="36">
        <v>45047</v>
      </c>
      <c r="B309" s="37" t="s">
        <v>19</v>
      </c>
      <c r="C309" s="37" t="s">
        <v>123</v>
      </c>
      <c r="D309" s="37" t="s">
        <v>60</v>
      </c>
      <c r="E309" s="37" t="s">
        <v>5</v>
      </c>
      <c r="F309" s="37" t="s">
        <v>128</v>
      </c>
      <c r="G309" s="37" t="s">
        <v>129</v>
      </c>
      <c r="H309" s="37" t="s">
        <v>130</v>
      </c>
      <c r="I309" s="37" t="s">
        <v>127</v>
      </c>
      <c r="J309" s="37" t="s">
        <v>34</v>
      </c>
      <c r="K309" s="38">
        <v>21855.259254000001</v>
      </c>
      <c r="L309" s="42">
        <v>452674.41</v>
      </c>
      <c r="M309" s="37" t="s">
        <v>117</v>
      </c>
      <c r="N309" s="40">
        <v>3961.114</v>
      </c>
      <c r="O309" s="38">
        <v>3956.8561140000002</v>
      </c>
      <c r="P309" s="38">
        <v>2.0358489999999998</v>
      </c>
      <c r="Q309" s="38">
        <v>2.222283</v>
      </c>
      <c r="R309" s="40">
        <v>3961.114</v>
      </c>
      <c r="S309" s="38">
        <v>3956.8561140000002</v>
      </c>
      <c r="T309" s="38">
        <v>2.0358489999999998</v>
      </c>
      <c r="U309" s="38">
        <v>2.222283</v>
      </c>
      <c r="V309" s="8">
        <f t="shared" si="5"/>
        <v>2023</v>
      </c>
    </row>
    <row r="310" spans="1:22" hidden="1" x14ac:dyDescent="0.25">
      <c r="A310" s="36">
        <v>45078</v>
      </c>
      <c r="B310" s="37" t="s">
        <v>13</v>
      </c>
      <c r="C310" s="37" t="s">
        <v>123</v>
      </c>
      <c r="D310" s="37" t="s">
        <v>60</v>
      </c>
      <c r="E310" s="37" t="s">
        <v>5</v>
      </c>
      <c r="F310" s="37" t="s">
        <v>128</v>
      </c>
      <c r="G310" s="37" t="s">
        <v>129</v>
      </c>
      <c r="H310" s="37" t="s">
        <v>130</v>
      </c>
      <c r="I310" s="37" t="s">
        <v>127</v>
      </c>
      <c r="J310" s="37" t="s">
        <v>36</v>
      </c>
      <c r="K310" s="38">
        <v>2.9460820000000001</v>
      </c>
      <c r="L310" s="39"/>
      <c r="M310" s="37" t="s">
        <v>117</v>
      </c>
      <c r="N310" s="40">
        <v>2.9460000000000002</v>
      </c>
      <c r="O310" s="38">
        <v>2.9460820000000001</v>
      </c>
      <c r="P310" s="39"/>
      <c r="Q310" s="39"/>
      <c r="R310" s="40">
        <v>2.9460000000000002</v>
      </c>
      <c r="S310" s="38">
        <v>2.9460820000000001</v>
      </c>
      <c r="T310" s="39"/>
      <c r="U310" s="39"/>
      <c r="V310" s="8">
        <f t="shared" si="5"/>
        <v>2023</v>
      </c>
    </row>
    <row r="311" spans="1:22" hidden="1" x14ac:dyDescent="0.25">
      <c r="A311" s="36">
        <v>45078</v>
      </c>
      <c r="B311" s="37" t="s">
        <v>19</v>
      </c>
      <c r="C311" s="37" t="s">
        <v>123</v>
      </c>
      <c r="D311" s="37" t="s">
        <v>60</v>
      </c>
      <c r="E311" s="37" t="s">
        <v>5</v>
      </c>
      <c r="F311" s="37" t="s">
        <v>128</v>
      </c>
      <c r="G311" s="37" t="s">
        <v>129</v>
      </c>
      <c r="H311" s="37" t="s">
        <v>130</v>
      </c>
      <c r="I311" s="37" t="s">
        <v>127</v>
      </c>
      <c r="J311" s="37" t="s">
        <v>34</v>
      </c>
      <c r="K311" s="38">
        <v>22320.471479</v>
      </c>
      <c r="L311" s="42">
        <v>452479.88</v>
      </c>
      <c r="M311" s="37" t="s">
        <v>117</v>
      </c>
      <c r="N311" s="40">
        <v>4045.431</v>
      </c>
      <c r="O311" s="38">
        <v>4041.0819670000001</v>
      </c>
      <c r="P311" s="38">
        <v>2.0791849999999998</v>
      </c>
      <c r="Q311" s="38">
        <v>2.2695859999999999</v>
      </c>
      <c r="R311" s="40">
        <v>4045.431</v>
      </c>
      <c r="S311" s="38">
        <v>4041.0819670000001</v>
      </c>
      <c r="T311" s="38">
        <v>2.0791849999999998</v>
      </c>
      <c r="U311" s="38">
        <v>2.2695859999999999</v>
      </c>
      <c r="V311" s="8">
        <f t="shared" si="5"/>
        <v>2023</v>
      </c>
    </row>
    <row r="312" spans="1:22" hidden="1" x14ac:dyDescent="0.25">
      <c r="A312" s="36">
        <v>45078</v>
      </c>
      <c r="B312" s="37" t="s">
        <v>20</v>
      </c>
      <c r="C312" s="37" t="s">
        <v>123</v>
      </c>
      <c r="D312" s="37" t="s">
        <v>60</v>
      </c>
      <c r="E312" s="37" t="s">
        <v>5</v>
      </c>
      <c r="F312" s="37" t="s">
        <v>128</v>
      </c>
      <c r="G312" s="37" t="s">
        <v>129</v>
      </c>
      <c r="H312" s="37" t="s">
        <v>130</v>
      </c>
      <c r="I312" s="37" t="s">
        <v>127</v>
      </c>
      <c r="J312" s="37" t="s">
        <v>34</v>
      </c>
      <c r="K312" s="38">
        <v>3.4754040000000002</v>
      </c>
      <c r="L312" s="39"/>
      <c r="M312" s="37" t="s">
        <v>117</v>
      </c>
      <c r="N312" s="40">
        <v>0.749</v>
      </c>
      <c r="O312" s="38">
        <v>0.74554799999999999</v>
      </c>
      <c r="P312" s="38">
        <v>1.9419999999999999E-3</v>
      </c>
      <c r="Q312" s="38">
        <v>1.06E-3</v>
      </c>
      <c r="R312" s="40">
        <v>0.749</v>
      </c>
      <c r="S312" s="38">
        <v>0.74554799999999999</v>
      </c>
      <c r="T312" s="38">
        <v>1.9419999999999999E-3</v>
      </c>
      <c r="U312" s="38">
        <v>1.06E-3</v>
      </c>
      <c r="V312" s="8">
        <f t="shared" si="5"/>
        <v>2023</v>
      </c>
    </row>
    <row r="313" spans="1:22" hidden="1" x14ac:dyDescent="0.25">
      <c r="A313" s="36">
        <v>45108</v>
      </c>
      <c r="B313" s="37" t="s">
        <v>11</v>
      </c>
      <c r="C313" s="37" t="s">
        <v>123</v>
      </c>
      <c r="D313" s="37" t="s">
        <v>60</v>
      </c>
      <c r="E313" s="37" t="s">
        <v>5</v>
      </c>
      <c r="F313" s="37" t="s">
        <v>128</v>
      </c>
      <c r="G313" s="37" t="s">
        <v>129</v>
      </c>
      <c r="H313" s="37" t="s">
        <v>130</v>
      </c>
      <c r="I313" s="37" t="s">
        <v>127</v>
      </c>
      <c r="J313" s="37" t="s">
        <v>34</v>
      </c>
      <c r="K313" s="38">
        <v>10.360709</v>
      </c>
      <c r="L313" s="39"/>
      <c r="M313" s="37" t="s">
        <v>117</v>
      </c>
      <c r="N313" s="40">
        <v>2.4249999999999998</v>
      </c>
      <c r="O313" s="38">
        <v>2.3918650000000001</v>
      </c>
      <c r="P313" s="38">
        <v>3.2705999999999999E-2</v>
      </c>
      <c r="Q313" s="38">
        <v>2.99E-4</v>
      </c>
      <c r="R313" s="40">
        <v>2.4249999999999998</v>
      </c>
      <c r="S313" s="38">
        <v>2.3918650000000001</v>
      </c>
      <c r="T313" s="38">
        <v>3.2705999999999999E-2</v>
      </c>
      <c r="U313" s="38">
        <v>2.99E-4</v>
      </c>
      <c r="V313" s="8">
        <f t="shared" si="5"/>
        <v>2023</v>
      </c>
    </row>
    <row r="314" spans="1:22" hidden="1" x14ac:dyDescent="0.25">
      <c r="A314" s="36">
        <v>45108</v>
      </c>
      <c r="B314" s="37" t="s">
        <v>13</v>
      </c>
      <c r="C314" s="37" t="s">
        <v>123</v>
      </c>
      <c r="D314" s="37" t="s">
        <v>60</v>
      </c>
      <c r="E314" s="37" t="s">
        <v>5</v>
      </c>
      <c r="F314" s="37" t="s">
        <v>128</v>
      </c>
      <c r="G314" s="37" t="s">
        <v>129</v>
      </c>
      <c r="H314" s="37" t="s">
        <v>130</v>
      </c>
      <c r="I314" s="37" t="s">
        <v>127</v>
      </c>
      <c r="J314" s="37" t="s">
        <v>36</v>
      </c>
      <c r="K314" s="38">
        <v>2.9460820000000001</v>
      </c>
      <c r="L314" s="39"/>
      <c r="M314" s="37" t="s">
        <v>117</v>
      </c>
      <c r="N314" s="40">
        <v>2.9460000000000002</v>
      </c>
      <c r="O314" s="38">
        <v>2.9460820000000001</v>
      </c>
      <c r="P314" s="39"/>
      <c r="Q314" s="39"/>
      <c r="R314" s="40">
        <v>2.9460000000000002</v>
      </c>
      <c r="S314" s="38">
        <v>2.9460820000000001</v>
      </c>
      <c r="T314" s="39"/>
      <c r="U314" s="39"/>
      <c r="V314" s="8">
        <f t="shared" si="5"/>
        <v>2023</v>
      </c>
    </row>
    <row r="315" spans="1:22" hidden="1" x14ac:dyDescent="0.25">
      <c r="A315" s="36">
        <v>45108</v>
      </c>
      <c r="B315" s="37" t="s">
        <v>19</v>
      </c>
      <c r="C315" s="37" t="s">
        <v>123</v>
      </c>
      <c r="D315" s="37" t="s">
        <v>60</v>
      </c>
      <c r="E315" s="37" t="s">
        <v>5</v>
      </c>
      <c r="F315" s="37" t="s">
        <v>128</v>
      </c>
      <c r="G315" s="37" t="s">
        <v>129</v>
      </c>
      <c r="H315" s="37" t="s">
        <v>130</v>
      </c>
      <c r="I315" s="37" t="s">
        <v>127</v>
      </c>
      <c r="J315" s="37" t="s">
        <v>34</v>
      </c>
      <c r="K315" s="38">
        <v>15340.471068000001</v>
      </c>
      <c r="L315" s="42">
        <v>386575.78</v>
      </c>
      <c r="M315" s="37" t="s">
        <v>117</v>
      </c>
      <c r="N315" s="40">
        <v>2780.3539999999998</v>
      </c>
      <c r="O315" s="38">
        <v>2777.3652120000002</v>
      </c>
      <c r="P315" s="38">
        <v>1.428987</v>
      </c>
      <c r="Q315" s="38">
        <v>1.559847</v>
      </c>
      <c r="R315" s="40">
        <v>2780.3539999999998</v>
      </c>
      <c r="S315" s="38">
        <v>2777.3652120000002</v>
      </c>
      <c r="T315" s="38">
        <v>1.428987</v>
      </c>
      <c r="U315" s="38">
        <v>1.559847</v>
      </c>
      <c r="V315" s="8">
        <f t="shared" si="5"/>
        <v>2023</v>
      </c>
    </row>
    <row r="316" spans="1:22" hidden="1" x14ac:dyDescent="0.25">
      <c r="A316" s="36">
        <v>45139</v>
      </c>
      <c r="B316" s="37" t="s">
        <v>11</v>
      </c>
      <c r="C316" s="37" t="s">
        <v>123</v>
      </c>
      <c r="D316" s="37" t="s">
        <v>60</v>
      </c>
      <c r="E316" s="37" t="s">
        <v>5</v>
      </c>
      <c r="F316" s="37" t="s">
        <v>128</v>
      </c>
      <c r="G316" s="37" t="s">
        <v>129</v>
      </c>
      <c r="H316" s="37" t="s">
        <v>130</v>
      </c>
      <c r="I316" s="37" t="s">
        <v>127</v>
      </c>
      <c r="J316" s="37" t="s">
        <v>34</v>
      </c>
      <c r="K316" s="38">
        <v>6.1375719999999996</v>
      </c>
      <c r="L316" s="39"/>
      <c r="M316" s="37" t="s">
        <v>117</v>
      </c>
      <c r="N316" s="40">
        <v>1.4359999999999999</v>
      </c>
      <c r="O316" s="38">
        <v>1.4169149999999999</v>
      </c>
      <c r="P316" s="38">
        <v>1.9375E-2</v>
      </c>
      <c r="Q316" s="38">
        <v>1.7699999999999999E-4</v>
      </c>
      <c r="R316" s="40">
        <v>1.4359999999999999</v>
      </c>
      <c r="S316" s="38">
        <v>1.4169149999999999</v>
      </c>
      <c r="T316" s="38">
        <v>1.9375E-2</v>
      </c>
      <c r="U316" s="38">
        <v>1.7699999999999999E-4</v>
      </c>
      <c r="V316" s="8">
        <f t="shared" si="5"/>
        <v>2023</v>
      </c>
    </row>
    <row r="317" spans="1:22" hidden="1" x14ac:dyDescent="0.25">
      <c r="A317" s="36">
        <v>45139</v>
      </c>
      <c r="B317" s="37" t="s">
        <v>13</v>
      </c>
      <c r="C317" s="37" t="s">
        <v>123</v>
      </c>
      <c r="D317" s="37" t="s">
        <v>60</v>
      </c>
      <c r="E317" s="37" t="s">
        <v>5</v>
      </c>
      <c r="F317" s="37" t="s">
        <v>128</v>
      </c>
      <c r="G317" s="37" t="s">
        <v>129</v>
      </c>
      <c r="H317" s="37" t="s">
        <v>130</v>
      </c>
      <c r="I317" s="37" t="s">
        <v>127</v>
      </c>
      <c r="J317" s="37" t="s">
        <v>36</v>
      </c>
      <c r="K317" s="38">
        <v>2.9460820000000001</v>
      </c>
      <c r="L317" s="39"/>
      <c r="M317" s="37" t="s">
        <v>117</v>
      </c>
      <c r="N317" s="40">
        <v>2.9460000000000002</v>
      </c>
      <c r="O317" s="38">
        <v>2.9460820000000001</v>
      </c>
      <c r="P317" s="39"/>
      <c r="Q317" s="39"/>
      <c r="R317" s="40">
        <v>2.9460000000000002</v>
      </c>
      <c r="S317" s="38">
        <v>2.9460820000000001</v>
      </c>
      <c r="T317" s="39"/>
      <c r="U317" s="39"/>
      <c r="V317" s="8">
        <f t="shared" si="5"/>
        <v>2023</v>
      </c>
    </row>
    <row r="318" spans="1:22" hidden="1" x14ac:dyDescent="0.25">
      <c r="A318" s="36">
        <v>45139</v>
      </c>
      <c r="B318" s="37" t="s">
        <v>19</v>
      </c>
      <c r="C318" s="37" t="s">
        <v>123</v>
      </c>
      <c r="D318" s="37" t="s">
        <v>60</v>
      </c>
      <c r="E318" s="37" t="s">
        <v>5</v>
      </c>
      <c r="F318" s="37" t="s">
        <v>128</v>
      </c>
      <c r="G318" s="37" t="s">
        <v>129</v>
      </c>
      <c r="H318" s="37" t="s">
        <v>130</v>
      </c>
      <c r="I318" s="37" t="s">
        <v>127</v>
      </c>
      <c r="J318" s="37" t="s">
        <v>34</v>
      </c>
      <c r="K318" s="38">
        <v>21143.374971000001</v>
      </c>
      <c r="L318" s="42">
        <v>462885.85</v>
      </c>
      <c r="M318" s="37" t="s">
        <v>117</v>
      </c>
      <c r="N318" s="40">
        <v>3832.09</v>
      </c>
      <c r="O318" s="38">
        <v>3827.9707210000001</v>
      </c>
      <c r="P318" s="38">
        <v>1.969536</v>
      </c>
      <c r="Q318" s="38">
        <v>2.1498970000000002</v>
      </c>
      <c r="R318" s="40">
        <v>3832.09</v>
      </c>
      <c r="S318" s="38">
        <v>3827.9707210000001</v>
      </c>
      <c r="T318" s="38">
        <v>1.969536</v>
      </c>
      <c r="U318" s="38">
        <v>2.1498970000000002</v>
      </c>
      <c r="V318" s="8">
        <f t="shared" si="5"/>
        <v>2023</v>
      </c>
    </row>
    <row r="319" spans="1:22" hidden="1" x14ac:dyDescent="0.25">
      <c r="A319" s="36">
        <v>45170</v>
      </c>
      <c r="B319" s="37" t="s">
        <v>11</v>
      </c>
      <c r="C319" s="37" t="s">
        <v>123</v>
      </c>
      <c r="D319" s="37" t="s">
        <v>60</v>
      </c>
      <c r="E319" s="37" t="s">
        <v>5</v>
      </c>
      <c r="F319" s="37" t="s">
        <v>128</v>
      </c>
      <c r="G319" s="37" t="s">
        <v>129</v>
      </c>
      <c r="H319" s="37" t="s">
        <v>130</v>
      </c>
      <c r="I319" s="37" t="s">
        <v>127</v>
      </c>
      <c r="J319" s="37" t="s">
        <v>34</v>
      </c>
      <c r="K319" s="38">
        <v>10.165607</v>
      </c>
      <c r="L319" s="39"/>
      <c r="M319" s="37" t="s">
        <v>117</v>
      </c>
      <c r="N319" s="40">
        <v>2.379</v>
      </c>
      <c r="O319" s="38">
        <v>2.3468239999999998</v>
      </c>
      <c r="P319" s="38">
        <v>3.209E-2</v>
      </c>
      <c r="Q319" s="38">
        <v>2.9300000000000002E-4</v>
      </c>
      <c r="R319" s="40">
        <v>2.379</v>
      </c>
      <c r="S319" s="38">
        <v>2.3468239999999998</v>
      </c>
      <c r="T319" s="38">
        <v>3.209E-2</v>
      </c>
      <c r="U319" s="38">
        <v>2.9300000000000002E-4</v>
      </c>
      <c r="V319" s="8">
        <f t="shared" si="5"/>
        <v>2023</v>
      </c>
    </row>
    <row r="320" spans="1:22" hidden="1" x14ac:dyDescent="0.25">
      <c r="A320" s="36">
        <v>45170</v>
      </c>
      <c r="B320" s="37" t="s">
        <v>13</v>
      </c>
      <c r="C320" s="37" t="s">
        <v>123</v>
      </c>
      <c r="D320" s="37" t="s">
        <v>60</v>
      </c>
      <c r="E320" s="37" t="s">
        <v>5</v>
      </c>
      <c r="F320" s="37" t="s">
        <v>128</v>
      </c>
      <c r="G320" s="37" t="s">
        <v>129</v>
      </c>
      <c r="H320" s="37" t="s">
        <v>130</v>
      </c>
      <c r="I320" s="37" t="s">
        <v>127</v>
      </c>
      <c r="J320" s="37" t="s">
        <v>36</v>
      </c>
      <c r="K320" s="38">
        <v>2.9460820000000001</v>
      </c>
      <c r="L320" s="39"/>
      <c r="M320" s="37" t="s">
        <v>117</v>
      </c>
      <c r="N320" s="40">
        <v>2.9460000000000002</v>
      </c>
      <c r="O320" s="38">
        <v>2.9460820000000001</v>
      </c>
      <c r="P320" s="39"/>
      <c r="Q320" s="39"/>
      <c r="R320" s="40">
        <v>2.9460000000000002</v>
      </c>
      <c r="S320" s="38">
        <v>2.9460820000000001</v>
      </c>
      <c r="T320" s="39"/>
      <c r="U320" s="39"/>
      <c r="V320" s="8">
        <f t="shared" si="5"/>
        <v>2023</v>
      </c>
    </row>
    <row r="321" spans="1:22" hidden="1" x14ac:dyDescent="0.25">
      <c r="A321" s="36">
        <v>45170</v>
      </c>
      <c r="B321" s="37" t="s">
        <v>19</v>
      </c>
      <c r="C321" s="37" t="s">
        <v>123</v>
      </c>
      <c r="D321" s="37" t="s">
        <v>60</v>
      </c>
      <c r="E321" s="37" t="s">
        <v>5</v>
      </c>
      <c r="F321" s="37" t="s">
        <v>128</v>
      </c>
      <c r="G321" s="37" t="s">
        <v>129</v>
      </c>
      <c r="H321" s="37" t="s">
        <v>130</v>
      </c>
      <c r="I321" s="37" t="s">
        <v>127</v>
      </c>
      <c r="J321" s="37" t="s">
        <v>34</v>
      </c>
      <c r="K321" s="38">
        <v>17313.422580999999</v>
      </c>
      <c r="L321" s="42">
        <v>404710.55</v>
      </c>
      <c r="M321" s="37" t="s">
        <v>117</v>
      </c>
      <c r="N321" s="40">
        <v>3137.9380000000001</v>
      </c>
      <c r="O321" s="38">
        <v>3134.564601</v>
      </c>
      <c r="P321" s="38">
        <v>1.612771</v>
      </c>
      <c r="Q321" s="38">
        <v>1.7604599999999999</v>
      </c>
      <c r="R321" s="40">
        <v>3137.9380000000001</v>
      </c>
      <c r="S321" s="38">
        <v>3134.564601</v>
      </c>
      <c r="T321" s="38">
        <v>1.612771</v>
      </c>
      <c r="U321" s="38">
        <v>1.7604599999999999</v>
      </c>
      <c r="V321" s="8">
        <f t="shared" si="5"/>
        <v>2023</v>
      </c>
    </row>
    <row r="322" spans="1:22" hidden="1" x14ac:dyDescent="0.25">
      <c r="A322" s="36">
        <v>45200</v>
      </c>
      <c r="B322" s="37" t="s">
        <v>11</v>
      </c>
      <c r="C322" s="37" t="s">
        <v>123</v>
      </c>
      <c r="D322" s="37" t="s">
        <v>60</v>
      </c>
      <c r="E322" s="37" t="s">
        <v>5</v>
      </c>
      <c r="F322" s="37" t="s">
        <v>128</v>
      </c>
      <c r="G322" s="37" t="s">
        <v>129</v>
      </c>
      <c r="H322" s="37" t="s">
        <v>130</v>
      </c>
      <c r="I322" s="37" t="s">
        <v>127</v>
      </c>
      <c r="J322" s="37" t="s">
        <v>34</v>
      </c>
      <c r="K322" s="38">
        <v>6.7797809999999998</v>
      </c>
      <c r="L322" s="39"/>
      <c r="M322" s="37" t="s">
        <v>117</v>
      </c>
      <c r="N322" s="40">
        <v>1.587</v>
      </c>
      <c r="O322" s="38">
        <v>1.565175</v>
      </c>
      <c r="P322" s="38">
        <v>2.1402000000000001E-2</v>
      </c>
      <c r="Q322" s="38">
        <v>1.9599999999999999E-4</v>
      </c>
      <c r="R322" s="40">
        <v>1.587</v>
      </c>
      <c r="S322" s="38">
        <v>1.565175</v>
      </c>
      <c r="T322" s="38">
        <v>2.1402000000000001E-2</v>
      </c>
      <c r="U322" s="38">
        <v>1.9599999999999999E-4</v>
      </c>
      <c r="V322" s="8">
        <f t="shared" si="5"/>
        <v>2023</v>
      </c>
    </row>
    <row r="323" spans="1:22" hidden="1" x14ac:dyDescent="0.25">
      <c r="A323" s="36">
        <v>45200</v>
      </c>
      <c r="B323" s="37" t="s">
        <v>13</v>
      </c>
      <c r="C323" s="37" t="s">
        <v>123</v>
      </c>
      <c r="D323" s="37" t="s">
        <v>60</v>
      </c>
      <c r="E323" s="37" t="s">
        <v>5</v>
      </c>
      <c r="F323" s="37" t="s">
        <v>128</v>
      </c>
      <c r="G323" s="37" t="s">
        <v>129</v>
      </c>
      <c r="H323" s="37" t="s">
        <v>130</v>
      </c>
      <c r="I323" s="37" t="s">
        <v>127</v>
      </c>
      <c r="J323" s="37" t="s">
        <v>36</v>
      </c>
      <c r="K323" s="38">
        <v>2.9460820000000001</v>
      </c>
      <c r="L323" s="39"/>
      <c r="M323" s="37" t="s">
        <v>117</v>
      </c>
      <c r="N323" s="40">
        <v>2.9460000000000002</v>
      </c>
      <c r="O323" s="38">
        <v>2.9460820000000001</v>
      </c>
      <c r="P323" s="39"/>
      <c r="Q323" s="39"/>
      <c r="R323" s="40">
        <v>2.9460000000000002</v>
      </c>
      <c r="S323" s="38">
        <v>2.9460820000000001</v>
      </c>
      <c r="T323" s="39"/>
      <c r="U323" s="39"/>
      <c r="V323" s="8">
        <f t="shared" si="5"/>
        <v>2023</v>
      </c>
    </row>
    <row r="324" spans="1:22" hidden="1" x14ac:dyDescent="0.25">
      <c r="A324" s="36">
        <v>45200</v>
      </c>
      <c r="B324" s="37" t="s">
        <v>19</v>
      </c>
      <c r="C324" s="37" t="s">
        <v>123</v>
      </c>
      <c r="D324" s="37" t="s">
        <v>60</v>
      </c>
      <c r="E324" s="37" t="s">
        <v>5</v>
      </c>
      <c r="F324" s="37" t="s">
        <v>128</v>
      </c>
      <c r="G324" s="37" t="s">
        <v>129</v>
      </c>
      <c r="H324" s="37" t="s">
        <v>130</v>
      </c>
      <c r="I324" s="37" t="s">
        <v>127</v>
      </c>
      <c r="J324" s="37" t="s">
        <v>34</v>
      </c>
      <c r="K324" s="38">
        <v>19723.293238999999</v>
      </c>
      <c r="L324" s="42">
        <v>449507.07</v>
      </c>
      <c r="M324" s="37" t="s">
        <v>117</v>
      </c>
      <c r="N324" s="40">
        <v>3574.71</v>
      </c>
      <c r="O324" s="38">
        <v>3570.8674299999998</v>
      </c>
      <c r="P324" s="38">
        <v>1.8372539999999999</v>
      </c>
      <c r="Q324" s="38">
        <v>2.0055000000000001</v>
      </c>
      <c r="R324" s="40">
        <v>3574.71</v>
      </c>
      <c r="S324" s="38">
        <v>3570.8674299999998</v>
      </c>
      <c r="T324" s="38">
        <v>1.8372539999999999</v>
      </c>
      <c r="U324" s="38">
        <v>2.0055000000000001</v>
      </c>
      <c r="V324" s="8">
        <f t="shared" si="5"/>
        <v>2023</v>
      </c>
    </row>
    <row r="325" spans="1:22" hidden="1" x14ac:dyDescent="0.25">
      <c r="A325" s="36">
        <v>45231</v>
      </c>
      <c r="B325" s="37" t="s">
        <v>13</v>
      </c>
      <c r="C325" s="37" t="s">
        <v>123</v>
      </c>
      <c r="D325" s="37" t="s">
        <v>60</v>
      </c>
      <c r="E325" s="37" t="s">
        <v>5</v>
      </c>
      <c r="F325" s="37" t="s">
        <v>128</v>
      </c>
      <c r="G325" s="37" t="s">
        <v>129</v>
      </c>
      <c r="H325" s="37" t="s">
        <v>130</v>
      </c>
      <c r="I325" s="37" t="s">
        <v>127</v>
      </c>
      <c r="J325" s="37" t="s">
        <v>36</v>
      </c>
      <c r="K325" s="38">
        <v>2.9460820000000001</v>
      </c>
      <c r="L325" s="39"/>
      <c r="M325" s="37" t="s">
        <v>117</v>
      </c>
      <c r="N325" s="40">
        <v>2.9460000000000002</v>
      </c>
      <c r="O325" s="38">
        <v>2.9460820000000001</v>
      </c>
      <c r="P325" s="39"/>
      <c r="Q325" s="39"/>
      <c r="R325" s="40">
        <v>2.9460000000000002</v>
      </c>
      <c r="S325" s="38">
        <v>2.9460820000000001</v>
      </c>
      <c r="T325" s="39"/>
      <c r="U325" s="39"/>
      <c r="V325" s="8">
        <f t="shared" si="5"/>
        <v>2023</v>
      </c>
    </row>
    <row r="326" spans="1:22" hidden="1" x14ac:dyDescent="0.25">
      <c r="A326" s="36">
        <v>45231</v>
      </c>
      <c r="B326" s="37" t="s">
        <v>19</v>
      </c>
      <c r="C326" s="37" t="s">
        <v>123</v>
      </c>
      <c r="D326" s="37" t="s">
        <v>60</v>
      </c>
      <c r="E326" s="37" t="s">
        <v>5</v>
      </c>
      <c r="F326" s="37" t="s">
        <v>128</v>
      </c>
      <c r="G326" s="37" t="s">
        <v>129</v>
      </c>
      <c r="H326" s="37" t="s">
        <v>130</v>
      </c>
      <c r="I326" s="37" t="s">
        <v>127</v>
      </c>
      <c r="J326" s="37" t="s">
        <v>34</v>
      </c>
      <c r="K326" s="38">
        <v>20769.597989000002</v>
      </c>
      <c r="L326" s="42">
        <v>441495.24</v>
      </c>
      <c r="M326" s="37" t="s">
        <v>117</v>
      </c>
      <c r="N326" s="40">
        <v>3764.346</v>
      </c>
      <c r="O326" s="38">
        <v>3760.2990589999999</v>
      </c>
      <c r="P326" s="38">
        <v>1.9347190000000001</v>
      </c>
      <c r="Q326" s="38">
        <v>2.111891</v>
      </c>
      <c r="R326" s="40">
        <v>3764.346</v>
      </c>
      <c r="S326" s="38">
        <v>3760.2990589999999</v>
      </c>
      <c r="T326" s="38">
        <v>1.9347190000000001</v>
      </c>
      <c r="U326" s="38">
        <v>2.111891</v>
      </c>
      <c r="V326" s="8">
        <f t="shared" si="5"/>
        <v>2023</v>
      </c>
    </row>
    <row r="327" spans="1:22" hidden="1" x14ac:dyDescent="0.25">
      <c r="A327" s="36">
        <v>45231</v>
      </c>
      <c r="B327" s="37" t="s">
        <v>20</v>
      </c>
      <c r="C327" s="37" t="s">
        <v>123</v>
      </c>
      <c r="D327" s="37" t="s">
        <v>60</v>
      </c>
      <c r="E327" s="37" t="s">
        <v>5</v>
      </c>
      <c r="F327" s="37" t="s">
        <v>128</v>
      </c>
      <c r="G327" s="37" t="s">
        <v>129</v>
      </c>
      <c r="H327" s="37" t="s">
        <v>130</v>
      </c>
      <c r="I327" s="37" t="s">
        <v>127</v>
      </c>
      <c r="J327" s="37" t="s">
        <v>34</v>
      </c>
      <c r="K327" s="38">
        <v>4.5614679999999996</v>
      </c>
      <c r="L327" s="42">
        <v>757.52</v>
      </c>
      <c r="M327" s="37" t="s">
        <v>117</v>
      </c>
      <c r="N327" s="40">
        <v>0.98199999999999998</v>
      </c>
      <c r="O327" s="38">
        <v>0.97853199999999996</v>
      </c>
      <c r="P327" s="38">
        <v>2.5490000000000001E-3</v>
      </c>
      <c r="Q327" s="38">
        <v>1.3910000000000001E-3</v>
      </c>
      <c r="R327" s="40">
        <v>0.98199999999999998</v>
      </c>
      <c r="S327" s="38">
        <v>0.97853199999999996</v>
      </c>
      <c r="T327" s="38">
        <v>2.5500000000000002E-3</v>
      </c>
      <c r="U327" s="38">
        <v>1.3910000000000001E-3</v>
      </c>
      <c r="V327" s="8">
        <f t="shared" si="5"/>
        <v>2023</v>
      </c>
    </row>
    <row r="328" spans="1:22" hidden="1" x14ac:dyDescent="0.25">
      <c r="A328" s="36">
        <v>45261</v>
      </c>
      <c r="B328" s="37" t="s">
        <v>11</v>
      </c>
      <c r="C328" s="37" t="s">
        <v>123</v>
      </c>
      <c r="D328" s="37" t="s">
        <v>60</v>
      </c>
      <c r="E328" s="37" t="s">
        <v>5</v>
      </c>
      <c r="F328" s="37" t="s">
        <v>128</v>
      </c>
      <c r="G328" s="37" t="s">
        <v>129</v>
      </c>
      <c r="H328" s="37" t="s">
        <v>130</v>
      </c>
      <c r="I328" s="37" t="s">
        <v>127</v>
      </c>
      <c r="J328" s="37" t="s">
        <v>34</v>
      </c>
      <c r="K328" s="38">
        <v>10.120896</v>
      </c>
      <c r="L328" s="42">
        <v>887.93</v>
      </c>
      <c r="M328" s="37" t="s">
        <v>117</v>
      </c>
      <c r="N328" s="40">
        <v>2.3690000000000002</v>
      </c>
      <c r="O328" s="38">
        <v>2.3365019999999999</v>
      </c>
      <c r="P328" s="38">
        <v>3.1948999999999998E-2</v>
      </c>
      <c r="Q328" s="38">
        <v>2.92E-4</v>
      </c>
      <c r="R328" s="40">
        <v>2.3690000000000002</v>
      </c>
      <c r="S328" s="38">
        <v>2.3365019999999999</v>
      </c>
      <c r="T328" s="38">
        <v>3.1948999999999998E-2</v>
      </c>
      <c r="U328" s="38">
        <v>2.92E-4</v>
      </c>
      <c r="V328" s="8">
        <f t="shared" si="5"/>
        <v>2023</v>
      </c>
    </row>
    <row r="329" spans="1:22" hidden="1" x14ac:dyDescent="0.25">
      <c r="A329" s="36">
        <v>45261</v>
      </c>
      <c r="B329" s="37" t="s">
        <v>13</v>
      </c>
      <c r="C329" s="37" t="s">
        <v>123</v>
      </c>
      <c r="D329" s="37" t="s">
        <v>60</v>
      </c>
      <c r="E329" s="37" t="s">
        <v>5</v>
      </c>
      <c r="F329" s="37" t="s">
        <v>128</v>
      </c>
      <c r="G329" s="37" t="s">
        <v>129</v>
      </c>
      <c r="H329" s="37" t="s">
        <v>130</v>
      </c>
      <c r="I329" s="37" t="s">
        <v>127</v>
      </c>
      <c r="J329" s="37" t="s">
        <v>36</v>
      </c>
      <c r="K329" s="38">
        <v>2.9460820000000001</v>
      </c>
      <c r="L329" s="39"/>
      <c r="M329" s="37" t="s">
        <v>117</v>
      </c>
      <c r="N329" s="40">
        <v>2.9460000000000002</v>
      </c>
      <c r="O329" s="38">
        <v>2.9460820000000001</v>
      </c>
      <c r="P329" s="39"/>
      <c r="Q329" s="39"/>
      <c r="R329" s="40">
        <v>2.9460000000000002</v>
      </c>
      <c r="S329" s="38">
        <v>2.9460820000000001</v>
      </c>
      <c r="T329" s="39"/>
      <c r="U329" s="39"/>
      <c r="V329" s="8">
        <f t="shared" si="5"/>
        <v>2023</v>
      </c>
    </row>
    <row r="330" spans="1:22" hidden="1" x14ac:dyDescent="0.25">
      <c r="A330" s="36">
        <v>45261</v>
      </c>
      <c r="B330" s="37" t="s">
        <v>19</v>
      </c>
      <c r="C330" s="37" t="s">
        <v>123</v>
      </c>
      <c r="D330" s="37" t="s">
        <v>60</v>
      </c>
      <c r="E330" s="37" t="s">
        <v>5</v>
      </c>
      <c r="F330" s="37" t="s">
        <v>128</v>
      </c>
      <c r="G330" s="37" t="s">
        <v>129</v>
      </c>
      <c r="H330" s="37" t="s">
        <v>130</v>
      </c>
      <c r="I330" s="37" t="s">
        <v>127</v>
      </c>
      <c r="J330" s="37" t="s">
        <v>34</v>
      </c>
      <c r="K330" s="38">
        <v>25116.348973</v>
      </c>
      <c r="L330" s="42">
        <v>528463.4</v>
      </c>
      <c r="M330" s="37" t="s">
        <v>117</v>
      </c>
      <c r="N330" s="40">
        <v>4552.1639999999998</v>
      </c>
      <c r="O330" s="38">
        <v>4547.2706520000002</v>
      </c>
      <c r="P330" s="38">
        <v>2.3396249999999998</v>
      </c>
      <c r="Q330" s="38">
        <v>2.5538759999999998</v>
      </c>
      <c r="R330" s="40">
        <v>4552.1639999999998</v>
      </c>
      <c r="S330" s="38">
        <v>4547.2706520000002</v>
      </c>
      <c r="T330" s="38">
        <v>2.3396249999999998</v>
      </c>
      <c r="U330" s="38">
        <v>2.5538759999999998</v>
      </c>
      <c r="V330" s="8">
        <f t="shared" si="5"/>
        <v>2023</v>
      </c>
    </row>
    <row r="331" spans="1:22" hidden="1" x14ac:dyDescent="0.25">
      <c r="A331" s="36">
        <v>44562</v>
      </c>
      <c r="B331" s="37" t="s">
        <v>23</v>
      </c>
      <c r="C331" s="37" t="s">
        <v>123</v>
      </c>
      <c r="D331" s="37" t="s">
        <v>60</v>
      </c>
      <c r="E331" s="37" t="s">
        <v>6</v>
      </c>
      <c r="F331" s="37" t="s">
        <v>128</v>
      </c>
      <c r="G331" s="37" t="s">
        <v>129</v>
      </c>
      <c r="H331" s="37" t="s">
        <v>130</v>
      </c>
      <c r="I331" s="37" t="s">
        <v>127</v>
      </c>
      <c r="J331" s="37" t="s">
        <v>34</v>
      </c>
      <c r="K331" s="38">
        <v>2722.8980000000001</v>
      </c>
      <c r="L331" s="42">
        <v>263272.55</v>
      </c>
      <c r="M331" s="37" t="s">
        <v>117</v>
      </c>
      <c r="N331" s="40">
        <v>909.02300000000002</v>
      </c>
      <c r="O331" s="38">
        <v>909.02311799999995</v>
      </c>
      <c r="P331" s="39"/>
      <c r="Q331" s="39"/>
      <c r="R331" s="40">
        <v>1300.057</v>
      </c>
      <c r="S331" s="38">
        <v>1292.0627340000001</v>
      </c>
      <c r="T331" s="38">
        <v>4.7204980000000001</v>
      </c>
      <c r="U331" s="38">
        <v>3.2735949999999998</v>
      </c>
      <c r="V331" s="8">
        <f t="shared" si="5"/>
        <v>2022</v>
      </c>
    </row>
    <row r="332" spans="1:22" hidden="1" x14ac:dyDescent="0.25">
      <c r="A332" s="36">
        <v>44593</v>
      </c>
      <c r="B332" s="37" t="s">
        <v>23</v>
      </c>
      <c r="C332" s="37" t="s">
        <v>123</v>
      </c>
      <c r="D332" s="37" t="s">
        <v>60</v>
      </c>
      <c r="E332" s="37" t="s">
        <v>6</v>
      </c>
      <c r="F332" s="37" t="s">
        <v>128</v>
      </c>
      <c r="G332" s="37" t="s">
        <v>129</v>
      </c>
      <c r="H332" s="37" t="s">
        <v>130</v>
      </c>
      <c r="I332" s="37" t="s">
        <v>127</v>
      </c>
      <c r="J332" s="37" t="s">
        <v>34</v>
      </c>
      <c r="K332" s="38">
        <v>2672.8049999999998</v>
      </c>
      <c r="L332" s="42">
        <v>280922.08</v>
      </c>
      <c r="M332" s="37" t="s">
        <v>117</v>
      </c>
      <c r="N332" s="40">
        <v>892.3</v>
      </c>
      <c r="O332" s="38">
        <v>892.29987100000005</v>
      </c>
      <c r="P332" s="39"/>
      <c r="Q332" s="39"/>
      <c r="R332" s="40">
        <v>1276.1400000000001</v>
      </c>
      <c r="S332" s="38">
        <v>1268.2927299999999</v>
      </c>
      <c r="T332" s="38">
        <v>4.6336550000000001</v>
      </c>
      <c r="U332" s="38">
        <v>3.213371</v>
      </c>
      <c r="V332" s="8">
        <f t="shared" si="5"/>
        <v>2022</v>
      </c>
    </row>
    <row r="333" spans="1:22" hidden="1" x14ac:dyDescent="0.25">
      <c r="A333" s="36">
        <v>44621</v>
      </c>
      <c r="B333" s="37" t="s">
        <v>23</v>
      </c>
      <c r="C333" s="37" t="s">
        <v>123</v>
      </c>
      <c r="D333" s="37" t="s">
        <v>60</v>
      </c>
      <c r="E333" s="37" t="s">
        <v>6</v>
      </c>
      <c r="F333" s="37" t="s">
        <v>128</v>
      </c>
      <c r="G333" s="37" t="s">
        <v>129</v>
      </c>
      <c r="H333" s="37" t="s">
        <v>130</v>
      </c>
      <c r="I333" s="37" t="s">
        <v>127</v>
      </c>
      <c r="J333" s="37" t="s">
        <v>34</v>
      </c>
      <c r="K333" s="38">
        <v>2842.4540000000002</v>
      </c>
      <c r="L333" s="42">
        <v>289878.31</v>
      </c>
      <c r="M333" s="37" t="s">
        <v>117</v>
      </c>
      <c r="N333" s="40">
        <v>948.93600000000004</v>
      </c>
      <c r="O333" s="38">
        <v>948.93616899999995</v>
      </c>
      <c r="P333" s="39"/>
      <c r="Q333" s="39"/>
      <c r="R333" s="40">
        <v>1357.1389999999999</v>
      </c>
      <c r="S333" s="38">
        <v>1348.794148</v>
      </c>
      <c r="T333" s="38">
        <v>4.9277639999999998</v>
      </c>
      <c r="U333" s="38">
        <v>3.4173309999999999</v>
      </c>
      <c r="V333" s="8">
        <f t="shared" si="5"/>
        <v>2022</v>
      </c>
    </row>
    <row r="334" spans="1:22" hidden="1" x14ac:dyDescent="0.25">
      <c r="A334" s="36">
        <v>44652</v>
      </c>
      <c r="B334" s="37" t="s">
        <v>23</v>
      </c>
      <c r="C334" s="37" t="s">
        <v>123</v>
      </c>
      <c r="D334" s="37" t="s">
        <v>60</v>
      </c>
      <c r="E334" s="37" t="s">
        <v>6</v>
      </c>
      <c r="F334" s="37" t="s">
        <v>128</v>
      </c>
      <c r="G334" s="37" t="s">
        <v>129</v>
      </c>
      <c r="H334" s="37" t="s">
        <v>130</v>
      </c>
      <c r="I334" s="37" t="s">
        <v>127</v>
      </c>
      <c r="J334" s="37" t="s">
        <v>34</v>
      </c>
      <c r="K334" s="38">
        <v>2666.0949999999998</v>
      </c>
      <c r="L334" s="42">
        <v>272458.34999999998</v>
      </c>
      <c r="M334" s="37" t="s">
        <v>117</v>
      </c>
      <c r="N334" s="40">
        <v>890.06</v>
      </c>
      <c r="O334" s="38">
        <v>890.05977800000005</v>
      </c>
      <c r="P334" s="39"/>
      <c r="Q334" s="39"/>
      <c r="R334" s="40">
        <v>1272.9359999999999</v>
      </c>
      <c r="S334" s="38">
        <v>1265.1087170000001</v>
      </c>
      <c r="T334" s="38">
        <v>4.6220220000000003</v>
      </c>
      <c r="U334" s="38">
        <v>3.2053039999999999</v>
      </c>
      <c r="V334" s="8">
        <f t="shared" si="5"/>
        <v>2022</v>
      </c>
    </row>
    <row r="335" spans="1:22" hidden="1" x14ac:dyDescent="0.25">
      <c r="A335" s="36">
        <v>44682</v>
      </c>
      <c r="B335" s="37" t="s">
        <v>23</v>
      </c>
      <c r="C335" s="37" t="s">
        <v>123</v>
      </c>
      <c r="D335" s="37" t="s">
        <v>60</v>
      </c>
      <c r="E335" s="37" t="s">
        <v>6</v>
      </c>
      <c r="F335" s="37" t="s">
        <v>128</v>
      </c>
      <c r="G335" s="37" t="s">
        <v>129</v>
      </c>
      <c r="H335" s="37" t="s">
        <v>130</v>
      </c>
      <c r="I335" s="37" t="s">
        <v>127</v>
      </c>
      <c r="J335" s="37" t="s">
        <v>34</v>
      </c>
      <c r="K335" s="38">
        <v>3118.5639999999999</v>
      </c>
      <c r="L335" s="42">
        <v>242095.13</v>
      </c>
      <c r="M335" s="37" t="s">
        <v>117</v>
      </c>
      <c r="N335" s="40">
        <v>1041.114</v>
      </c>
      <c r="O335" s="38">
        <v>1041.113832</v>
      </c>
      <c r="P335" s="39"/>
      <c r="Q335" s="39"/>
      <c r="R335" s="40">
        <v>1488.9690000000001</v>
      </c>
      <c r="S335" s="38">
        <v>1479.813173</v>
      </c>
      <c r="T335" s="38">
        <v>5.4064360000000002</v>
      </c>
      <c r="U335" s="38">
        <v>3.7492830000000001</v>
      </c>
      <c r="V335" s="8">
        <f t="shared" si="5"/>
        <v>2022</v>
      </c>
    </row>
    <row r="336" spans="1:22" hidden="1" x14ac:dyDescent="0.25">
      <c r="A336" s="36">
        <v>44713</v>
      </c>
      <c r="B336" s="37" t="s">
        <v>23</v>
      </c>
      <c r="C336" s="37" t="s">
        <v>123</v>
      </c>
      <c r="D336" s="37" t="s">
        <v>60</v>
      </c>
      <c r="E336" s="37" t="s">
        <v>6</v>
      </c>
      <c r="F336" s="37" t="s">
        <v>128</v>
      </c>
      <c r="G336" s="37" t="s">
        <v>129</v>
      </c>
      <c r="H336" s="37" t="s">
        <v>130</v>
      </c>
      <c r="I336" s="37" t="s">
        <v>127</v>
      </c>
      <c r="J336" s="37" t="s">
        <v>34</v>
      </c>
      <c r="K336" s="38">
        <v>2753.3330000000001</v>
      </c>
      <c r="L336" s="42">
        <v>259855.66</v>
      </c>
      <c r="M336" s="37" t="s">
        <v>117</v>
      </c>
      <c r="N336" s="40">
        <v>919.18399999999997</v>
      </c>
      <c r="O336" s="38">
        <v>919.18366000000003</v>
      </c>
      <c r="P336" s="39"/>
      <c r="Q336" s="39"/>
      <c r="R336" s="40">
        <v>1314.588</v>
      </c>
      <c r="S336" s="38">
        <v>1306.504674</v>
      </c>
      <c r="T336" s="38">
        <v>4.7732609999999998</v>
      </c>
      <c r="U336" s="38">
        <v>3.3101850000000002</v>
      </c>
      <c r="V336" s="8">
        <f t="shared" si="5"/>
        <v>2022</v>
      </c>
    </row>
    <row r="337" spans="1:22" hidden="1" x14ac:dyDescent="0.25">
      <c r="A337" s="36">
        <v>44743</v>
      </c>
      <c r="B337" s="37" t="s">
        <v>23</v>
      </c>
      <c r="C337" s="37" t="s">
        <v>123</v>
      </c>
      <c r="D337" s="37" t="s">
        <v>60</v>
      </c>
      <c r="E337" s="37" t="s">
        <v>6</v>
      </c>
      <c r="F337" s="37" t="s">
        <v>128</v>
      </c>
      <c r="G337" s="37" t="s">
        <v>129</v>
      </c>
      <c r="H337" s="37" t="s">
        <v>130</v>
      </c>
      <c r="I337" s="37" t="s">
        <v>127</v>
      </c>
      <c r="J337" s="37" t="s">
        <v>34</v>
      </c>
      <c r="K337" s="38">
        <v>2473.8119999999999</v>
      </c>
      <c r="L337" s="42">
        <v>287289.83</v>
      </c>
      <c r="M337" s="37" t="s">
        <v>117</v>
      </c>
      <c r="N337" s="40">
        <v>825.86699999999996</v>
      </c>
      <c r="O337" s="38">
        <v>825.867255</v>
      </c>
      <c r="P337" s="39"/>
      <c r="Q337" s="39"/>
      <c r="R337" s="40">
        <v>1181.1300000000001</v>
      </c>
      <c r="S337" s="38">
        <v>1173.86707</v>
      </c>
      <c r="T337" s="38">
        <v>4.2886749999999996</v>
      </c>
      <c r="U337" s="38">
        <v>2.974132</v>
      </c>
      <c r="V337" s="8">
        <f t="shared" si="5"/>
        <v>2022</v>
      </c>
    </row>
    <row r="338" spans="1:22" hidden="1" x14ac:dyDescent="0.25">
      <c r="A338" s="36">
        <v>44774</v>
      </c>
      <c r="B338" s="37" t="s">
        <v>23</v>
      </c>
      <c r="C338" s="37" t="s">
        <v>123</v>
      </c>
      <c r="D338" s="37" t="s">
        <v>60</v>
      </c>
      <c r="E338" s="37" t="s">
        <v>6</v>
      </c>
      <c r="F338" s="37" t="s">
        <v>128</v>
      </c>
      <c r="G338" s="37" t="s">
        <v>129</v>
      </c>
      <c r="H338" s="37" t="s">
        <v>130</v>
      </c>
      <c r="I338" s="37" t="s">
        <v>127</v>
      </c>
      <c r="J338" s="37" t="s">
        <v>34</v>
      </c>
      <c r="K338" s="38">
        <v>2587.4348799999998</v>
      </c>
      <c r="L338" s="42">
        <v>282520.7</v>
      </c>
      <c r="M338" s="37" t="s">
        <v>117</v>
      </c>
      <c r="N338" s="40">
        <v>863.8</v>
      </c>
      <c r="O338" s="38">
        <v>863.79957000000002</v>
      </c>
      <c r="P338" s="39"/>
      <c r="Q338" s="39"/>
      <c r="R338" s="40">
        <v>1235.3800000000001</v>
      </c>
      <c r="S338" s="38">
        <v>1227.7831140000001</v>
      </c>
      <c r="T338" s="38">
        <v>4.4856550000000004</v>
      </c>
      <c r="U338" s="38">
        <v>3.110735</v>
      </c>
      <c r="V338" s="8">
        <f t="shared" si="5"/>
        <v>2022</v>
      </c>
    </row>
    <row r="339" spans="1:22" hidden="1" x14ac:dyDescent="0.25">
      <c r="A339" s="36">
        <v>44805</v>
      </c>
      <c r="B339" s="37" t="s">
        <v>23</v>
      </c>
      <c r="C339" s="37" t="s">
        <v>123</v>
      </c>
      <c r="D339" s="37" t="s">
        <v>60</v>
      </c>
      <c r="E339" s="37" t="s">
        <v>6</v>
      </c>
      <c r="F339" s="37" t="s">
        <v>128</v>
      </c>
      <c r="G339" s="37" t="s">
        <v>129</v>
      </c>
      <c r="H339" s="37" t="s">
        <v>130</v>
      </c>
      <c r="I339" s="37" t="s">
        <v>127</v>
      </c>
      <c r="J339" s="37" t="s">
        <v>34</v>
      </c>
      <c r="K339" s="38">
        <v>2815.2374599999998</v>
      </c>
      <c r="L339" s="42">
        <v>280532.63</v>
      </c>
      <c r="M339" s="37" t="s">
        <v>117</v>
      </c>
      <c r="N339" s="40">
        <v>939.85</v>
      </c>
      <c r="O339" s="38">
        <v>939.85009100000002</v>
      </c>
      <c r="P339" s="39"/>
      <c r="Q339" s="39"/>
      <c r="R339" s="40">
        <v>1344.145</v>
      </c>
      <c r="S339" s="38">
        <v>1335.8794230000001</v>
      </c>
      <c r="T339" s="38">
        <v>4.8805800000000001</v>
      </c>
      <c r="U339" s="38">
        <v>3.3846099999999999</v>
      </c>
      <c r="V339" s="8">
        <f t="shared" si="5"/>
        <v>2022</v>
      </c>
    </row>
    <row r="340" spans="1:22" hidden="1" x14ac:dyDescent="0.25">
      <c r="A340" s="36">
        <v>44835</v>
      </c>
      <c r="B340" s="37" t="s">
        <v>23</v>
      </c>
      <c r="C340" s="37" t="s">
        <v>123</v>
      </c>
      <c r="D340" s="37" t="s">
        <v>60</v>
      </c>
      <c r="E340" s="37" t="s">
        <v>6</v>
      </c>
      <c r="F340" s="37" t="s">
        <v>128</v>
      </c>
      <c r="G340" s="37" t="s">
        <v>129</v>
      </c>
      <c r="H340" s="37" t="s">
        <v>130</v>
      </c>
      <c r="I340" s="37" t="s">
        <v>127</v>
      </c>
      <c r="J340" s="37" t="s">
        <v>34</v>
      </c>
      <c r="K340" s="38">
        <v>2728.1756700000001</v>
      </c>
      <c r="L340" s="42">
        <v>235880.29</v>
      </c>
      <c r="M340" s="37" t="s">
        <v>117</v>
      </c>
      <c r="N340" s="40">
        <v>910.78499999999997</v>
      </c>
      <c r="O340" s="38">
        <v>910.78503599999999</v>
      </c>
      <c r="P340" s="39"/>
      <c r="Q340" s="39"/>
      <c r="R340" s="40">
        <v>1302.577</v>
      </c>
      <c r="S340" s="38">
        <v>1294.5670809999999</v>
      </c>
      <c r="T340" s="38">
        <v>4.7296469999999999</v>
      </c>
      <c r="U340" s="38">
        <v>3.2799399999999999</v>
      </c>
      <c r="V340" s="8">
        <f t="shared" si="5"/>
        <v>2022</v>
      </c>
    </row>
    <row r="341" spans="1:22" hidden="1" x14ac:dyDescent="0.25">
      <c r="A341" s="36">
        <v>44866</v>
      </c>
      <c r="B341" s="37" t="s">
        <v>23</v>
      </c>
      <c r="C341" s="37" t="s">
        <v>123</v>
      </c>
      <c r="D341" s="37" t="s">
        <v>60</v>
      </c>
      <c r="E341" s="37" t="s">
        <v>6</v>
      </c>
      <c r="F341" s="37" t="s">
        <v>128</v>
      </c>
      <c r="G341" s="37" t="s">
        <v>129</v>
      </c>
      <c r="H341" s="37" t="s">
        <v>130</v>
      </c>
      <c r="I341" s="37" t="s">
        <v>127</v>
      </c>
      <c r="J341" s="37" t="s">
        <v>34</v>
      </c>
      <c r="K341" s="38">
        <v>2646.3204599999999</v>
      </c>
      <c r="L341" s="42">
        <v>252554.27</v>
      </c>
      <c r="M341" s="37" t="s">
        <v>117</v>
      </c>
      <c r="N341" s="40">
        <v>883.45799999999997</v>
      </c>
      <c r="O341" s="38">
        <v>883.458167</v>
      </c>
      <c r="P341" s="39"/>
      <c r="Q341" s="39"/>
      <c r="R341" s="40">
        <v>1263.4949999999999</v>
      </c>
      <c r="S341" s="38">
        <v>1255.7253519999999</v>
      </c>
      <c r="T341" s="38">
        <v>4.5877410000000003</v>
      </c>
      <c r="U341" s="38">
        <v>3.18153</v>
      </c>
      <c r="V341" s="8">
        <f t="shared" si="5"/>
        <v>2022</v>
      </c>
    </row>
    <row r="342" spans="1:22" hidden="1" x14ac:dyDescent="0.25">
      <c r="A342" s="36">
        <v>44896</v>
      </c>
      <c r="B342" s="37" t="s">
        <v>23</v>
      </c>
      <c r="C342" s="37" t="s">
        <v>123</v>
      </c>
      <c r="D342" s="37" t="s">
        <v>60</v>
      </c>
      <c r="E342" s="37" t="s">
        <v>6</v>
      </c>
      <c r="F342" s="37" t="s">
        <v>128</v>
      </c>
      <c r="G342" s="37" t="s">
        <v>129</v>
      </c>
      <c r="H342" s="37" t="s">
        <v>130</v>
      </c>
      <c r="I342" s="37" t="s">
        <v>127</v>
      </c>
      <c r="J342" s="37" t="s">
        <v>34</v>
      </c>
      <c r="K342" s="38">
        <v>2921.172</v>
      </c>
      <c r="L342" s="42">
        <v>208659.79</v>
      </c>
      <c r="M342" s="37" t="s">
        <v>117</v>
      </c>
      <c r="N342" s="40">
        <v>975.21600000000001</v>
      </c>
      <c r="O342" s="38">
        <v>975.21569999999997</v>
      </c>
      <c r="P342" s="39"/>
      <c r="Q342" s="39"/>
      <c r="R342" s="40">
        <v>1394.723</v>
      </c>
      <c r="S342" s="38">
        <v>1386.1472160000001</v>
      </c>
      <c r="T342" s="38">
        <v>5.0642319999999996</v>
      </c>
      <c r="U342" s="38">
        <v>3.5119690000000001</v>
      </c>
      <c r="V342" s="8">
        <f t="shared" si="5"/>
        <v>2022</v>
      </c>
    </row>
    <row r="343" spans="1:22" hidden="1" x14ac:dyDescent="0.25">
      <c r="A343" s="36">
        <v>44927</v>
      </c>
      <c r="B343" s="37" t="s">
        <v>23</v>
      </c>
      <c r="C343" s="37" t="s">
        <v>123</v>
      </c>
      <c r="D343" s="37" t="s">
        <v>60</v>
      </c>
      <c r="E343" s="37" t="s">
        <v>6</v>
      </c>
      <c r="F343" s="37" t="s">
        <v>128</v>
      </c>
      <c r="G343" s="37" t="s">
        <v>129</v>
      </c>
      <c r="H343" s="37" t="s">
        <v>130</v>
      </c>
      <c r="I343" s="37" t="s">
        <v>127</v>
      </c>
      <c r="J343" s="37" t="s">
        <v>34</v>
      </c>
      <c r="K343" s="38">
        <v>2569.8910000000001</v>
      </c>
      <c r="L343" s="42">
        <v>183567.8</v>
      </c>
      <c r="M343" s="37" t="s">
        <v>117</v>
      </c>
      <c r="N343" s="40">
        <v>743.70600000000002</v>
      </c>
      <c r="O343" s="38">
        <v>743.70572200000004</v>
      </c>
      <c r="P343" s="39"/>
      <c r="Q343" s="39"/>
      <c r="R343" s="40">
        <v>1227.0029999999999</v>
      </c>
      <c r="S343" s="38">
        <v>1219.4582359999999</v>
      </c>
      <c r="T343" s="38">
        <v>4.4552399999999999</v>
      </c>
      <c r="U343" s="38">
        <v>3.0896430000000001</v>
      </c>
      <c r="V343" s="8">
        <f t="shared" si="5"/>
        <v>2023</v>
      </c>
    </row>
    <row r="344" spans="1:22" hidden="1" x14ac:dyDescent="0.25">
      <c r="A344" s="36">
        <v>44958</v>
      </c>
      <c r="B344" s="37" t="s">
        <v>23</v>
      </c>
      <c r="C344" s="37" t="s">
        <v>123</v>
      </c>
      <c r="D344" s="37" t="s">
        <v>60</v>
      </c>
      <c r="E344" s="37" t="s">
        <v>6</v>
      </c>
      <c r="F344" s="37" t="s">
        <v>128</v>
      </c>
      <c r="G344" s="37" t="s">
        <v>129</v>
      </c>
      <c r="H344" s="37" t="s">
        <v>130</v>
      </c>
      <c r="I344" s="37" t="s">
        <v>127</v>
      </c>
      <c r="J344" s="37" t="s">
        <v>34</v>
      </c>
      <c r="K344" s="38">
        <v>2550.8000000000002</v>
      </c>
      <c r="L344" s="42">
        <v>273671.11</v>
      </c>
      <c r="M344" s="37" t="s">
        <v>117</v>
      </c>
      <c r="N344" s="40">
        <v>738.18100000000004</v>
      </c>
      <c r="O344" s="38">
        <v>738.18094099999996</v>
      </c>
      <c r="P344" s="39"/>
      <c r="Q344" s="39"/>
      <c r="R344" s="40">
        <v>1217.8879999999999</v>
      </c>
      <c r="S344" s="38">
        <v>1210.3992229999999</v>
      </c>
      <c r="T344" s="38">
        <v>4.4221440000000003</v>
      </c>
      <c r="U344" s="38">
        <v>3.0666910000000001</v>
      </c>
      <c r="V344" s="8">
        <f t="shared" si="5"/>
        <v>2023</v>
      </c>
    </row>
    <row r="345" spans="1:22" hidden="1" x14ac:dyDescent="0.25">
      <c r="A345" s="36">
        <v>44986</v>
      </c>
      <c r="B345" s="37" t="s">
        <v>23</v>
      </c>
      <c r="C345" s="37" t="s">
        <v>123</v>
      </c>
      <c r="D345" s="37" t="s">
        <v>60</v>
      </c>
      <c r="E345" s="37" t="s">
        <v>6</v>
      </c>
      <c r="F345" s="37" t="s">
        <v>128</v>
      </c>
      <c r="G345" s="37" t="s">
        <v>129</v>
      </c>
      <c r="H345" s="37" t="s">
        <v>130</v>
      </c>
      <c r="I345" s="37" t="s">
        <v>127</v>
      </c>
      <c r="J345" s="37" t="s">
        <v>34</v>
      </c>
      <c r="K345" s="38">
        <v>2797.4430000000002</v>
      </c>
      <c r="L345" s="42">
        <v>289321.56</v>
      </c>
      <c r="M345" s="37" t="s">
        <v>117</v>
      </c>
      <c r="N345" s="40">
        <v>809.55700000000002</v>
      </c>
      <c r="O345" s="38">
        <v>809.55743500000005</v>
      </c>
      <c r="P345" s="39"/>
      <c r="Q345" s="39"/>
      <c r="R345" s="40">
        <v>1335.6489999999999</v>
      </c>
      <c r="S345" s="38">
        <v>1327.435641</v>
      </c>
      <c r="T345" s="38">
        <v>4.8497310000000002</v>
      </c>
      <c r="U345" s="38">
        <v>3.363216</v>
      </c>
      <c r="V345" s="8">
        <f t="shared" si="5"/>
        <v>2023</v>
      </c>
    </row>
    <row r="346" spans="1:22" hidden="1" x14ac:dyDescent="0.25">
      <c r="A346" s="36">
        <v>45017</v>
      </c>
      <c r="B346" s="37" t="s">
        <v>23</v>
      </c>
      <c r="C346" s="37" t="s">
        <v>123</v>
      </c>
      <c r="D346" s="37" t="s">
        <v>60</v>
      </c>
      <c r="E346" s="37" t="s">
        <v>6</v>
      </c>
      <c r="F346" s="37" t="s">
        <v>128</v>
      </c>
      <c r="G346" s="37" t="s">
        <v>129</v>
      </c>
      <c r="H346" s="37" t="s">
        <v>130</v>
      </c>
      <c r="I346" s="37" t="s">
        <v>127</v>
      </c>
      <c r="J346" s="37" t="s">
        <v>34</v>
      </c>
      <c r="K346" s="38">
        <v>2488.962</v>
      </c>
      <c r="L346" s="42">
        <v>268001.09000000003</v>
      </c>
      <c r="M346" s="37" t="s">
        <v>117</v>
      </c>
      <c r="N346" s="40">
        <v>720.28599999999994</v>
      </c>
      <c r="O346" s="38">
        <v>720.28552300000001</v>
      </c>
      <c r="P346" s="39"/>
      <c r="Q346" s="39"/>
      <c r="R346" s="40">
        <v>1188.3630000000001</v>
      </c>
      <c r="S346" s="38">
        <v>1181.05601</v>
      </c>
      <c r="T346" s="38">
        <v>4.3149389999999999</v>
      </c>
      <c r="U346" s="38">
        <v>2.992346</v>
      </c>
      <c r="V346" s="8">
        <f t="shared" si="5"/>
        <v>2023</v>
      </c>
    </row>
    <row r="347" spans="1:22" hidden="1" x14ac:dyDescent="0.25">
      <c r="A347" s="36">
        <v>45047</v>
      </c>
      <c r="B347" s="37" t="s">
        <v>23</v>
      </c>
      <c r="C347" s="37" t="s">
        <v>123</v>
      </c>
      <c r="D347" s="37" t="s">
        <v>60</v>
      </c>
      <c r="E347" s="37" t="s">
        <v>6</v>
      </c>
      <c r="F347" s="37" t="s">
        <v>128</v>
      </c>
      <c r="G347" s="37" t="s">
        <v>129</v>
      </c>
      <c r="H347" s="37" t="s">
        <v>130</v>
      </c>
      <c r="I347" s="37" t="s">
        <v>127</v>
      </c>
      <c r="J347" s="37" t="s">
        <v>34</v>
      </c>
      <c r="K347" s="38">
        <v>2626.2510000000002</v>
      </c>
      <c r="L347" s="42">
        <v>314361.98</v>
      </c>
      <c r="M347" s="37" t="s">
        <v>117</v>
      </c>
      <c r="N347" s="40">
        <v>760.01599999999996</v>
      </c>
      <c r="O347" s="38">
        <v>760.015852</v>
      </c>
      <c r="P347" s="39"/>
      <c r="Q347" s="39"/>
      <c r="R347" s="40">
        <v>1253.912</v>
      </c>
      <c r="S347" s="38">
        <v>1246.2020419999999</v>
      </c>
      <c r="T347" s="38">
        <v>4.5529479999999998</v>
      </c>
      <c r="U347" s="38">
        <v>3.1574010000000001</v>
      </c>
      <c r="V347" s="8">
        <f t="shared" si="5"/>
        <v>2023</v>
      </c>
    </row>
    <row r="348" spans="1:22" hidden="1" x14ac:dyDescent="0.25">
      <c r="A348" s="36">
        <v>45078</v>
      </c>
      <c r="B348" s="37" t="s">
        <v>23</v>
      </c>
      <c r="C348" s="37" t="s">
        <v>123</v>
      </c>
      <c r="D348" s="37" t="s">
        <v>60</v>
      </c>
      <c r="E348" s="37" t="s">
        <v>6</v>
      </c>
      <c r="F348" s="37" t="s">
        <v>128</v>
      </c>
      <c r="G348" s="37" t="s">
        <v>129</v>
      </c>
      <c r="H348" s="37" t="s">
        <v>130</v>
      </c>
      <c r="I348" s="37" t="s">
        <v>127</v>
      </c>
      <c r="J348" s="37" t="s">
        <v>34</v>
      </c>
      <c r="K348" s="38">
        <v>2516.5880000000002</v>
      </c>
      <c r="L348" s="42">
        <v>306601.69</v>
      </c>
      <c r="M348" s="37" t="s">
        <v>117</v>
      </c>
      <c r="N348" s="40">
        <v>728.28</v>
      </c>
      <c r="O348" s="38">
        <v>728.28026399999999</v>
      </c>
      <c r="P348" s="39"/>
      <c r="Q348" s="39"/>
      <c r="R348" s="40">
        <v>1201.5530000000001</v>
      </c>
      <c r="S348" s="38">
        <v>1194.1650299999999</v>
      </c>
      <c r="T348" s="38">
        <v>4.3628330000000002</v>
      </c>
      <c r="U348" s="38">
        <v>3.0255589999999999</v>
      </c>
      <c r="V348" s="8">
        <f t="shared" si="5"/>
        <v>2023</v>
      </c>
    </row>
    <row r="349" spans="1:22" hidden="1" x14ac:dyDescent="0.25">
      <c r="A349" s="36">
        <v>45108</v>
      </c>
      <c r="B349" s="37" t="s">
        <v>23</v>
      </c>
      <c r="C349" s="37" t="s">
        <v>123</v>
      </c>
      <c r="D349" s="37" t="s">
        <v>60</v>
      </c>
      <c r="E349" s="37" t="s">
        <v>6</v>
      </c>
      <c r="F349" s="37" t="s">
        <v>128</v>
      </c>
      <c r="G349" s="37" t="s">
        <v>129</v>
      </c>
      <c r="H349" s="37" t="s">
        <v>130</v>
      </c>
      <c r="I349" s="37" t="s">
        <v>127</v>
      </c>
      <c r="J349" s="37" t="s">
        <v>34</v>
      </c>
      <c r="K349" s="38">
        <v>2685.1770000000001</v>
      </c>
      <c r="L349" s="42">
        <v>322905.90000000002</v>
      </c>
      <c r="M349" s="37" t="s">
        <v>117</v>
      </c>
      <c r="N349" s="40">
        <v>777.06899999999996</v>
      </c>
      <c r="O349" s="38">
        <v>777.06856100000005</v>
      </c>
      <c r="P349" s="39"/>
      <c r="Q349" s="39"/>
      <c r="R349" s="40">
        <v>1282.047</v>
      </c>
      <c r="S349" s="38">
        <v>1274.16346</v>
      </c>
      <c r="T349" s="38">
        <v>4.6551039999999997</v>
      </c>
      <c r="U349" s="38">
        <v>3.2282449999999998</v>
      </c>
      <c r="V349" s="8">
        <f t="shared" si="5"/>
        <v>2023</v>
      </c>
    </row>
    <row r="350" spans="1:22" hidden="1" x14ac:dyDescent="0.25">
      <c r="A350" s="36">
        <v>45139</v>
      </c>
      <c r="B350" s="37" t="s">
        <v>23</v>
      </c>
      <c r="C350" s="37" t="s">
        <v>123</v>
      </c>
      <c r="D350" s="37" t="s">
        <v>60</v>
      </c>
      <c r="E350" s="37" t="s">
        <v>6</v>
      </c>
      <c r="F350" s="37" t="s">
        <v>128</v>
      </c>
      <c r="G350" s="37" t="s">
        <v>129</v>
      </c>
      <c r="H350" s="37" t="s">
        <v>130</v>
      </c>
      <c r="I350" s="37" t="s">
        <v>127</v>
      </c>
      <c r="J350" s="37" t="s">
        <v>34</v>
      </c>
      <c r="K350" s="38">
        <v>2444.2190000000001</v>
      </c>
      <c r="L350" s="42">
        <v>298360.49</v>
      </c>
      <c r="M350" s="37" t="s">
        <v>117</v>
      </c>
      <c r="N350" s="40">
        <v>707.33699999999999</v>
      </c>
      <c r="O350" s="38">
        <v>707.33725900000002</v>
      </c>
      <c r="P350" s="39"/>
      <c r="Q350" s="39"/>
      <c r="R350" s="40">
        <v>1167.001</v>
      </c>
      <c r="S350" s="38">
        <v>1159.824674</v>
      </c>
      <c r="T350" s="38">
        <v>4.2373710000000004</v>
      </c>
      <c r="U350" s="38">
        <v>2.9385539999999999</v>
      </c>
      <c r="V350" s="8">
        <f t="shared" si="5"/>
        <v>2023</v>
      </c>
    </row>
    <row r="351" spans="1:22" hidden="1" x14ac:dyDescent="0.25">
      <c r="A351" s="36">
        <v>45170</v>
      </c>
      <c r="B351" s="37" t="s">
        <v>23</v>
      </c>
      <c r="C351" s="37" t="s">
        <v>123</v>
      </c>
      <c r="D351" s="37" t="s">
        <v>60</v>
      </c>
      <c r="E351" s="37" t="s">
        <v>6</v>
      </c>
      <c r="F351" s="37" t="s">
        <v>128</v>
      </c>
      <c r="G351" s="37" t="s">
        <v>129</v>
      </c>
      <c r="H351" s="37" t="s">
        <v>130</v>
      </c>
      <c r="I351" s="37" t="s">
        <v>127</v>
      </c>
      <c r="J351" s="37" t="s">
        <v>34</v>
      </c>
      <c r="K351" s="38">
        <v>2504.0479999999998</v>
      </c>
      <c r="L351" s="42">
        <v>299014.69</v>
      </c>
      <c r="M351" s="37" t="s">
        <v>117</v>
      </c>
      <c r="N351" s="40">
        <v>724.65099999999995</v>
      </c>
      <c r="O351" s="38">
        <v>724.65128900000002</v>
      </c>
      <c r="P351" s="39"/>
      <c r="Q351" s="39"/>
      <c r="R351" s="40">
        <v>1195.566</v>
      </c>
      <c r="S351" s="38">
        <v>1188.214581</v>
      </c>
      <c r="T351" s="38">
        <v>4.3410929999999999</v>
      </c>
      <c r="U351" s="38">
        <v>3.0104829999999998</v>
      </c>
      <c r="V351" s="8">
        <f t="shared" si="5"/>
        <v>2023</v>
      </c>
    </row>
    <row r="352" spans="1:22" hidden="1" x14ac:dyDescent="0.25">
      <c r="A352" s="36">
        <v>45200</v>
      </c>
      <c r="B352" s="37" t="s">
        <v>23</v>
      </c>
      <c r="C352" s="37" t="s">
        <v>123</v>
      </c>
      <c r="D352" s="37" t="s">
        <v>60</v>
      </c>
      <c r="E352" s="37" t="s">
        <v>6</v>
      </c>
      <c r="F352" s="37" t="s">
        <v>128</v>
      </c>
      <c r="G352" s="37" t="s">
        <v>129</v>
      </c>
      <c r="H352" s="37" t="s">
        <v>130</v>
      </c>
      <c r="I352" s="37" t="s">
        <v>127</v>
      </c>
      <c r="J352" s="37" t="s">
        <v>34</v>
      </c>
      <c r="K352" s="38">
        <v>2632.48</v>
      </c>
      <c r="L352" s="42">
        <v>318821.57</v>
      </c>
      <c r="M352" s="37" t="s">
        <v>117</v>
      </c>
      <c r="N352" s="40">
        <v>761.81799999999998</v>
      </c>
      <c r="O352" s="38">
        <v>761.81847400000004</v>
      </c>
      <c r="P352" s="39"/>
      <c r="Q352" s="39"/>
      <c r="R352" s="40">
        <v>1256.886</v>
      </c>
      <c r="S352" s="38">
        <v>1249.1578119999999</v>
      </c>
      <c r="T352" s="38">
        <v>4.5637460000000001</v>
      </c>
      <c r="U352" s="38">
        <v>3.1648900000000002</v>
      </c>
      <c r="V352" s="8">
        <f t="shared" si="5"/>
        <v>2023</v>
      </c>
    </row>
    <row r="353" spans="1:22" hidden="1" x14ac:dyDescent="0.25">
      <c r="A353" s="36">
        <v>45231</v>
      </c>
      <c r="B353" s="37" t="s">
        <v>23</v>
      </c>
      <c r="C353" s="37" t="s">
        <v>123</v>
      </c>
      <c r="D353" s="37" t="s">
        <v>60</v>
      </c>
      <c r="E353" s="37" t="s">
        <v>6</v>
      </c>
      <c r="F353" s="37" t="s">
        <v>128</v>
      </c>
      <c r="G353" s="37" t="s">
        <v>129</v>
      </c>
      <c r="H353" s="37" t="s">
        <v>130</v>
      </c>
      <c r="I353" s="37" t="s">
        <v>127</v>
      </c>
      <c r="J353" s="37" t="s">
        <v>34</v>
      </c>
      <c r="K353" s="38">
        <v>2580.8409999999999</v>
      </c>
      <c r="L353" s="42">
        <v>318804.40000000002</v>
      </c>
      <c r="M353" s="37" t="s">
        <v>117</v>
      </c>
      <c r="N353" s="40">
        <v>746.875</v>
      </c>
      <c r="O353" s="38">
        <v>746.87456399999996</v>
      </c>
      <c r="P353" s="39"/>
      <c r="Q353" s="39"/>
      <c r="R353" s="40">
        <v>1232.231</v>
      </c>
      <c r="S353" s="38">
        <v>1224.6542030000001</v>
      </c>
      <c r="T353" s="38">
        <v>4.4742230000000003</v>
      </c>
      <c r="U353" s="38">
        <v>3.1028069999999999</v>
      </c>
      <c r="V353" s="8">
        <f t="shared" si="5"/>
        <v>2023</v>
      </c>
    </row>
    <row r="354" spans="1:22" hidden="1" x14ac:dyDescent="0.25">
      <c r="A354" s="36">
        <v>45261</v>
      </c>
      <c r="B354" s="37" t="s">
        <v>23</v>
      </c>
      <c r="C354" s="37" t="s">
        <v>123</v>
      </c>
      <c r="D354" s="37" t="s">
        <v>60</v>
      </c>
      <c r="E354" s="37" t="s">
        <v>6</v>
      </c>
      <c r="F354" s="37" t="s">
        <v>128</v>
      </c>
      <c r="G354" s="37" t="s">
        <v>129</v>
      </c>
      <c r="H354" s="37" t="s">
        <v>130</v>
      </c>
      <c r="I354" s="37" t="s">
        <v>127</v>
      </c>
      <c r="J354" s="37" t="s">
        <v>34</v>
      </c>
      <c r="K354" s="38">
        <v>2882.6759999999999</v>
      </c>
      <c r="L354" s="42">
        <v>363306.3</v>
      </c>
      <c r="M354" s="37" t="s">
        <v>117</v>
      </c>
      <c r="N354" s="40">
        <v>834.22299999999996</v>
      </c>
      <c r="O354" s="38">
        <v>834.22317799999996</v>
      </c>
      <c r="P354" s="39"/>
      <c r="Q354" s="39"/>
      <c r="R354" s="40">
        <v>1376.3430000000001</v>
      </c>
      <c r="S354" s="38">
        <v>1367.8801900000001</v>
      </c>
      <c r="T354" s="38">
        <v>4.9974939999999997</v>
      </c>
      <c r="U354" s="38">
        <v>3.465687</v>
      </c>
      <c r="V354" s="8">
        <f t="shared" si="5"/>
        <v>2023</v>
      </c>
    </row>
    <row r="355" spans="1:22" hidden="1" x14ac:dyDescent="0.25">
      <c r="A355" s="36">
        <v>44835</v>
      </c>
      <c r="B355" s="37" t="s">
        <v>29</v>
      </c>
      <c r="C355" s="37" t="s">
        <v>123</v>
      </c>
      <c r="D355" s="37" t="s">
        <v>60</v>
      </c>
      <c r="E355" s="37" t="s">
        <v>7</v>
      </c>
      <c r="F355" s="37" t="s">
        <v>128</v>
      </c>
      <c r="G355" s="37" t="s">
        <v>129</v>
      </c>
      <c r="H355" s="37" t="s">
        <v>130</v>
      </c>
      <c r="I355" s="37" t="s">
        <v>127</v>
      </c>
      <c r="J355" s="37" t="s">
        <v>36</v>
      </c>
      <c r="K355" s="38">
        <v>0</v>
      </c>
      <c r="L355" s="42">
        <v>5835.96</v>
      </c>
      <c r="M355" s="37" t="s">
        <v>117</v>
      </c>
      <c r="N355" s="40">
        <v>0</v>
      </c>
      <c r="O355" s="38">
        <v>0</v>
      </c>
      <c r="P355" s="39"/>
      <c r="Q355" s="39"/>
      <c r="R355" s="40">
        <v>0</v>
      </c>
      <c r="S355" s="38">
        <v>0</v>
      </c>
      <c r="T355" s="39"/>
      <c r="U355" s="39"/>
      <c r="V355" s="8">
        <f t="shared" si="5"/>
        <v>2022</v>
      </c>
    </row>
    <row r="356" spans="1:22" hidden="1" x14ac:dyDescent="0.25">
      <c r="A356" s="36">
        <v>45231</v>
      </c>
      <c r="B356" s="37" t="s">
        <v>29</v>
      </c>
      <c r="C356" s="37" t="s">
        <v>123</v>
      </c>
      <c r="D356" s="37" t="s">
        <v>60</v>
      </c>
      <c r="E356" s="37" t="s">
        <v>7</v>
      </c>
      <c r="F356" s="37" t="s">
        <v>128</v>
      </c>
      <c r="G356" s="37" t="s">
        <v>129</v>
      </c>
      <c r="H356" s="37" t="s">
        <v>130</v>
      </c>
      <c r="I356" s="37" t="s">
        <v>127</v>
      </c>
      <c r="J356" s="37" t="s">
        <v>36</v>
      </c>
      <c r="K356" s="38">
        <v>0</v>
      </c>
      <c r="L356" s="42">
        <v>68401.58</v>
      </c>
      <c r="M356" s="37" t="s">
        <v>117</v>
      </c>
      <c r="N356" s="40">
        <v>0</v>
      </c>
      <c r="O356" s="38">
        <v>0</v>
      </c>
      <c r="P356" s="39"/>
      <c r="Q356" s="39"/>
      <c r="R356" s="40">
        <v>0</v>
      </c>
      <c r="S356" s="38">
        <v>0</v>
      </c>
      <c r="T356" s="39"/>
      <c r="U356" s="39"/>
      <c r="V356" s="8">
        <f t="shared" si="5"/>
        <v>2023</v>
      </c>
    </row>
    <row r="357" spans="1:22" hidden="1" x14ac:dyDescent="0.25">
      <c r="A357" s="36">
        <v>45261</v>
      </c>
      <c r="B357" s="37" t="s">
        <v>29</v>
      </c>
      <c r="C357" s="37" t="s">
        <v>123</v>
      </c>
      <c r="D357" s="37" t="s">
        <v>60</v>
      </c>
      <c r="E357" s="37" t="s">
        <v>7</v>
      </c>
      <c r="F357" s="37" t="s">
        <v>128</v>
      </c>
      <c r="G357" s="37" t="s">
        <v>129</v>
      </c>
      <c r="H357" s="37" t="s">
        <v>130</v>
      </c>
      <c r="I357" s="37" t="s">
        <v>127</v>
      </c>
      <c r="J357" s="37" t="s">
        <v>36</v>
      </c>
      <c r="K357" s="38">
        <v>0</v>
      </c>
      <c r="L357" s="42">
        <v>7076.38</v>
      </c>
      <c r="M357" s="37" t="s">
        <v>117</v>
      </c>
      <c r="N357" s="40">
        <v>0</v>
      </c>
      <c r="O357" s="38">
        <v>0</v>
      </c>
      <c r="P357" s="39"/>
      <c r="Q357" s="39"/>
      <c r="R357" s="40">
        <v>0</v>
      </c>
      <c r="S357" s="38">
        <v>0</v>
      </c>
      <c r="T357" s="39"/>
      <c r="U357" s="39"/>
      <c r="V357" s="8">
        <f t="shared" si="5"/>
        <v>2023</v>
      </c>
    </row>
    <row r="358" spans="1:22" hidden="1" x14ac:dyDescent="0.25">
      <c r="A358" s="36">
        <v>44562</v>
      </c>
      <c r="B358" s="37" t="s">
        <v>11</v>
      </c>
      <c r="C358" s="37" t="s">
        <v>108</v>
      </c>
      <c r="D358" s="37" t="s">
        <v>61</v>
      </c>
      <c r="E358" s="37" t="s">
        <v>5</v>
      </c>
      <c r="F358" s="37" t="s">
        <v>131</v>
      </c>
      <c r="G358" s="37" t="s">
        <v>61</v>
      </c>
      <c r="H358" s="37" t="s">
        <v>132</v>
      </c>
      <c r="I358" s="37" t="s">
        <v>127</v>
      </c>
      <c r="J358" s="37" t="s">
        <v>34</v>
      </c>
      <c r="K358" s="38">
        <v>58.266285000000003</v>
      </c>
      <c r="L358" s="39"/>
      <c r="M358" s="37" t="s">
        <v>117</v>
      </c>
      <c r="N358" s="40">
        <v>13.863</v>
      </c>
      <c r="O358" s="38">
        <v>13.677645</v>
      </c>
      <c r="P358" s="38">
        <v>0.183694</v>
      </c>
      <c r="Q358" s="38">
        <v>1.6169999999999999E-3</v>
      </c>
      <c r="R358" s="40">
        <v>13.863</v>
      </c>
      <c r="S358" s="38">
        <v>13.677645</v>
      </c>
      <c r="T358" s="38">
        <v>0.183694</v>
      </c>
      <c r="U358" s="38">
        <v>1.6169999999999999E-3</v>
      </c>
      <c r="V358" s="8">
        <f t="shared" si="5"/>
        <v>2022</v>
      </c>
    </row>
    <row r="359" spans="1:22" hidden="1" x14ac:dyDescent="0.25">
      <c r="A359" s="36">
        <v>44562</v>
      </c>
      <c r="B359" s="37" t="s">
        <v>19</v>
      </c>
      <c r="C359" s="37" t="s">
        <v>108</v>
      </c>
      <c r="D359" s="37" t="s">
        <v>61</v>
      </c>
      <c r="E359" s="37" t="s">
        <v>5</v>
      </c>
      <c r="F359" s="37" t="s">
        <v>131</v>
      </c>
      <c r="G359" s="37" t="s">
        <v>61</v>
      </c>
      <c r="H359" s="37" t="s">
        <v>132</v>
      </c>
      <c r="I359" s="37" t="s">
        <v>127</v>
      </c>
      <c r="J359" s="37" t="s">
        <v>34</v>
      </c>
      <c r="K359" s="38">
        <v>171.33998600000001</v>
      </c>
      <c r="L359" s="39"/>
      <c r="M359" s="37" t="s">
        <v>117</v>
      </c>
      <c r="N359" s="40">
        <v>31.053999999999998</v>
      </c>
      <c r="O359" s="38">
        <v>31.020802</v>
      </c>
      <c r="P359" s="38">
        <v>1.5960999999999999E-2</v>
      </c>
      <c r="Q359" s="38">
        <v>1.7422E-2</v>
      </c>
      <c r="R359" s="40">
        <v>31.053999999999998</v>
      </c>
      <c r="S359" s="38">
        <v>31.020802</v>
      </c>
      <c r="T359" s="38">
        <v>1.5960999999999999E-2</v>
      </c>
      <c r="U359" s="38">
        <v>1.7422E-2</v>
      </c>
      <c r="V359" s="8">
        <f t="shared" si="5"/>
        <v>2022</v>
      </c>
    </row>
    <row r="360" spans="1:22" hidden="1" x14ac:dyDescent="0.25">
      <c r="A360" s="36">
        <v>44562</v>
      </c>
      <c r="B360" s="37" t="s">
        <v>20</v>
      </c>
      <c r="C360" s="37" t="s">
        <v>108</v>
      </c>
      <c r="D360" s="37" t="s">
        <v>61</v>
      </c>
      <c r="E360" s="37" t="s">
        <v>5</v>
      </c>
      <c r="F360" s="37" t="s">
        <v>131</v>
      </c>
      <c r="G360" s="37" t="s">
        <v>61</v>
      </c>
      <c r="H360" s="37" t="s">
        <v>132</v>
      </c>
      <c r="I360" s="37" t="s">
        <v>127</v>
      </c>
      <c r="J360" s="37" t="s">
        <v>34</v>
      </c>
      <c r="K360" s="38">
        <v>1.578778</v>
      </c>
      <c r="L360" s="39"/>
      <c r="M360" s="37" t="s">
        <v>117</v>
      </c>
      <c r="N360" s="40">
        <v>0.34</v>
      </c>
      <c r="O360" s="38">
        <v>0.33868199999999998</v>
      </c>
      <c r="P360" s="38">
        <v>8.8199999999999997E-4</v>
      </c>
      <c r="Q360" s="38">
        <v>4.8200000000000001E-4</v>
      </c>
      <c r="R360" s="39" t="s">
        <v>117</v>
      </c>
      <c r="S360" s="39"/>
      <c r="T360" s="39"/>
      <c r="U360" s="39"/>
      <c r="V360" s="8">
        <f t="shared" si="5"/>
        <v>2022</v>
      </c>
    </row>
    <row r="361" spans="1:22" hidden="1" x14ac:dyDescent="0.25">
      <c r="A361" s="36">
        <v>44593</v>
      </c>
      <c r="B361" s="37" t="s">
        <v>11</v>
      </c>
      <c r="C361" s="37" t="s">
        <v>108</v>
      </c>
      <c r="D361" s="37" t="s">
        <v>61</v>
      </c>
      <c r="E361" s="37" t="s">
        <v>5</v>
      </c>
      <c r="F361" s="37" t="s">
        <v>131</v>
      </c>
      <c r="G361" s="37" t="s">
        <v>61</v>
      </c>
      <c r="H361" s="37" t="s">
        <v>132</v>
      </c>
      <c r="I361" s="37" t="s">
        <v>127</v>
      </c>
      <c r="J361" s="37" t="s">
        <v>34</v>
      </c>
      <c r="K361" s="38">
        <v>58.266285000000003</v>
      </c>
      <c r="L361" s="39"/>
      <c r="M361" s="37" t="s">
        <v>117</v>
      </c>
      <c r="N361" s="40">
        <v>13.863</v>
      </c>
      <c r="O361" s="38">
        <v>13.677645</v>
      </c>
      <c r="P361" s="38">
        <v>0.183694</v>
      </c>
      <c r="Q361" s="38">
        <v>1.6169999999999999E-3</v>
      </c>
      <c r="R361" s="40">
        <v>13.863</v>
      </c>
      <c r="S361" s="38">
        <v>13.677645</v>
      </c>
      <c r="T361" s="38">
        <v>0.183694</v>
      </c>
      <c r="U361" s="38">
        <v>1.6169999999999999E-3</v>
      </c>
      <c r="V361" s="8">
        <f t="shared" si="5"/>
        <v>2022</v>
      </c>
    </row>
    <row r="362" spans="1:22" hidden="1" x14ac:dyDescent="0.25">
      <c r="A362" s="36">
        <v>44593</v>
      </c>
      <c r="B362" s="37" t="s">
        <v>19</v>
      </c>
      <c r="C362" s="37" t="s">
        <v>108</v>
      </c>
      <c r="D362" s="37" t="s">
        <v>61</v>
      </c>
      <c r="E362" s="37" t="s">
        <v>5</v>
      </c>
      <c r="F362" s="37" t="s">
        <v>131</v>
      </c>
      <c r="G362" s="37" t="s">
        <v>61</v>
      </c>
      <c r="H362" s="37" t="s">
        <v>132</v>
      </c>
      <c r="I362" s="37" t="s">
        <v>127</v>
      </c>
      <c r="J362" s="37" t="s">
        <v>34</v>
      </c>
      <c r="K362" s="38">
        <v>171.33998600000001</v>
      </c>
      <c r="L362" s="39"/>
      <c r="M362" s="37" t="s">
        <v>117</v>
      </c>
      <c r="N362" s="40">
        <v>31.053999999999998</v>
      </c>
      <c r="O362" s="38">
        <v>31.020802</v>
      </c>
      <c r="P362" s="38">
        <v>1.5960999999999999E-2</v>
      </c>
      <c r="Q362" s="38">
        <v>1.7422E-2</v>
      </c>
      <c r="R362" s="40">
        <v>31.053999999999998</v>
      </c>
      <c r="S362" s="38">
        <v>31.020802</v>
      </c>
      <c r="T362" s="38">
        <v>1.5960999999999999E-2</v>
      </c>
      <c r="U362" s="38">
        <v>1.7422E-2</v>
      </c>
      <c r="V362" s="8">
        <f t="shared" si="5"/>
        <v>2022</v>
      </c>
    </row>
    <row r="363" spans="1:22" hidden="1" x14ac:dyDescent="0.25">
      <c r="A363" s="36">
        <v>44593</v>
      </c>
      <c r="B363" s="37" t="s">
        <v>20</v>
      </c>
      <c r="C363" s="37" t="s">
        <v>108</v>
      </c>
      <c r="D363" s="37" t="s">
        <v>61</v>
      </c>
      <c r="E363" s="37" t="s">
        <v>5</v>
      </c>
      <c r="F363" s="37" t="s">
        <v>131</v>
      </c>
      <c r="G363" s="37" t="s">
        <v>61</v>
      </c>
      <c r="H363" s="37" t="s">
        <v>132</v>
      </c>
      <c r="I363" s="37" t="s">
        <v>127</v>
      </c>
      <c r="J363" s="37" t="s">
        <v>34</v>
      </c>
      <c r="K363" s="38">
        <v>1.578778</v>
      </c>
      <c r="L363" s="39"/>
      <c r="M363" s="37" t="s">
        <v>117</v>
      </c>
      <c r="N363" s="40">
        <v>0.34</v>
      </c>
      <c r="O363" s="38">
        <v>0.33868199999999998</v>
      </c>
      <c r="P363" s="38">
        <v>8.8199999999999997E-4</v>
      </c>
      <c r="Q363" s="38">
        <v>4.8200000000000001E-4</v>
      </c>
      <c r="R363" s="39" t="s">
        <v>117</v>
      </c>
      <c r="S363" s="39"/>
      <c r="T363" s="39"/>
      <c r="U363" s="39"/>
      <c r="V363" s="8">
        <f t="shared" si="5"/>
        <v>2022</v>
      </c>
    </row>
    <row r="364" spans="1:22" hidden="1" x14ac:dyDescent="0.25">
      <c r="A364" s="36">
        <v>44621</v>
      </c>
      <c r="B364" s="37" t="s">
        <v>11</v>
      </c>
      <c r="C364" s="37" t="s">
        <v>108</v>
      </c>
      <c r="D364" s="37" t="s">
        <v>61</v>
      </c>
      <c r="E364" s="37" t="s">
        <v>5</v>
      </c>
      <c r="F364" s="37" t="s">
        <v>131</v>
      </c>
      <c r="G364" s="37" t="s">
        <v>61</v>
      </c>
      <c r="H364" s="37" t="s">
        <v>132</v>
      </c>
      <c r="I364" s="37" t="s">
        <v>127</v>
      </c>
      <c r="J364" s="37" t="s">
        <v>34</v>
      </c>
      <c r="K364" s="38">
        <v>58.266285000000003</v>
      </c>
      <c r="L364" s="39"/>
      <c r="M364" s="37" t="s">
        <v>117</v>
      </c>
      <c r="N364" s="40">
        <v>13.863</v>
      </c>
      <c r="O364" s="38">
        <v>13.677645</v>
      </c>
      <c r="P364" s="38">
        <v>0.183694</v>
      </c>
      <c r="Q364" s="38">
        <v>1.6169999999999999E-3</v>
      </c>
      <c r="R364" s="40">
        <v>13.863</v>
      </c>
      <c r="S364" s="38">
        <v>13.677645</v>
      </c>
      <c r="T364" s="38">
        <v>0.183694</v>
      </c>
      <c r="U364" s="38">
        <v>1.6169999999999999E-3</v>
      </c>
      <c r="V364" s="8">
        <f t="shared" si="5"/>
        <v>2022</v>
      </c>
    </row>
    <row r="365" spans="1:22" hidden="1" x14ac:dyDescent="0.25">
      <c r="A365" s="36">
        <v>44621</v>
      </c>
      <c r="B365" s="37" t="s">
        <v>19</v>
      </c>
      <c r="C365" s="37" t="s">
        <v>108</v>
      </c>
      <c r="D365" s="37" t="s">
        <v>61</v>
      </c>
      <c r="E365" s="37" t="s">
        <v>5</v>
      </c>
      <c r="F365" s="37" t="s">
        <v>131</v>
      </c>
      <c r="G365" s="37" t="s">
        <v>61</v>
      </c>
      <c r="H365" s="37" t="s">
        <v>132</v>
      </c>
      <c r="I365" s="37" t="s">
        <v>127</v>
      </c>
      <c r="J365" s="37" t="s">
        <v>34</v>
      </c>
      <c r="K365" s="38">
        <v>171.33998600000001</v>
      </c>
      <c r="L365" s="39"/>
      <c r="M365" s="37" t="s">
        <v>117</v>
      </c>
      <c r="N365" s="40">
        <v>31.053999999999998</v>
      </c>
      <c r="O365" s="38">
        <v>31.020802</v>
      </c>
      <c r="P365" s="38">
        <v>1.5960999999999999E-2</v>
      </c>
      <c r="Q365" s="38">
        <v>1.7422E-2</v>
      </c>
      <c r="R365" s="40">
        <v>31.053999999999998</v>
      </c>
      <c r="S365" s="38">
        <v>31.020802</v>
      </c>
      <c r="T365" s="38">
        <v>1.5960999999999999E-2</v>
      </c>
      <c r="U365" s="38">
        <v>1.7422E-2</v>
      </c>
      <c r="V365" s="8">
        <f t="shared" si="5"/>
        <v>2022</v>
      </c>
    </row>
    <row r="366" spans="1:22" hidden="1" x14ac:dyDescent="0.25">
      <c r="A366" s="36">
        <v>44621</v>
      </c>
      <c r="B366" s="37" t="s">
        <v>20</v>
      </c>
      <c r="C366" s="37" t="s">
        <v>108</v>
      </c>
      <c r="D366" s="37" t="s">
        <v>61</v>
      </c>
      <c r="E366" s="37" t="s">
        <v>5</v>
      </c>
      <c r="F366" s="37" t="s">
        <v>131</v>
      </c>
      <c r="G366" s="37" t="s">
        <v>61</v>
      </c>
      <c r="H366" s="37" t="s">
        <v>132</v>
      </c>
      <c r="I366" s="37" t="s">
        <v>127</v>
      </c>
      <c r="J366" s="37" t="s">
        <v>34</v>
      </c>
      <c r="K366" s="38">
        <v>1.578778</v>
      </c>
      <c r="L366" s="39"/>
      <c r="M366" s="37" t="s">
        <v>117</v>
      </c>
      <c r="N366" s="40">
        <v>0.34</v>
      </c>
      <c r="O366" s="38">
        <v>0.33868199999999998</v>
      </c>
      <c r="P366" s="38">
        <v>8.8199999999999997E-4</v>
      </c>
      <c r="Q366" s="38">
        <v>4.8200000000000001E-4</v>
      </c>
      <c r="R366" s="39" t="s">
        <v>117</v>
      </c>
      <c r="S366" s="39"/>
      <c r="T366" s="39"/>
      <c r="U366" s="39"/>
      <c r="V366" s="8">
        <f t="shared" si="5"/>
        <v>2022</v>
      </c>
    </row>
    <row r="367" spans="1:22" hidden="1" x14ac:dyDescent="0.25">
      <c r="A367" s="36">
        <v>44652</v>
      </c>
      <c r="B367" s="37" t="s">
        <v>11</v>
      </c>
      <c r="C367" s="37" t="s">
        <v>108</v>
      </c>
      <c r="D367" s="37" t="s">
        <v>61</v>
      </c>
      <c r="E367" s="37" t="s">
        <v>5</v>
      </c>
      <c r="F367" s="37" t="s">
        <v>131</v>
      </c>
      <c r="G367" s="37" t="s">
        <v>61</v>
      </c>
      <c r="H367" s="37" t="s">
        <v>132</v>
      </c>
      <c r="I367" s="37" t="s">
        <v>127</v>
      </c>
      <c r="J367" s="37" t="s">
        <v>34</v>
      </c>
      <c r="K367" s="38">
        <v>58.266285000000003</v>
      </c>
      <c r="L367" s="39"/>
      <c r="M367" s="37" t="s">
        <v>117</v>
      </c>
      <c r="N367" s="40">
        <v>13.863</v>
      </c>
      <c r="O367" s="38">
        <v>13.677645</v>
      </c>
      <c r="P367" s="38">
        <v>0.183694</v>
      </c>
      <c r="Q367" s="38">
        <v>1.6169999999999999E-3</v>
      </c>
      <c r="R367" s="40">
        <v>13.863</v>
      </c>
      <c r="S367" s="38">
        <v>13.677645</v>
      </c>
      <c r="T367" s="38">
        <v>0.183694</v>
      </c>
      <c r="U367" s="38">
        <v>1.6169999999999999E-3</v>
      </c>
      <c r="V367" s="8">
        <f t="shared" si="5"/>
        <v>2022</v>
      </c>
    </row>
    <row r="368" spans="1:22" hidden="1" x14ac:dyDescent="0.25">
      <c r="A368" s="36">
        <v>44652</v>
      </c>
      <c r="B368" s="37" t="s">
        <v>19</v>
      </c>
      <c r="C368" s="37" t="s">
        <v>108</v>
      </c>
      <c r="D368" s="37" t="s">
        <v>61</v>
      </c>
      <c r="E368" s="37" t="s">
        <v>5</v>
      </c>
      <c r="F368" s="37" t="s">
        <v>131</v>
      </c>
      <c r="G368" s="37" t="s">
        <v>61</v>
      </c>
      <c r="H368" s="37" t="s">
        <v>132</v>
      </c>
      <c r="I368" s="37" t="s">
        <v>127</v>
      </c>
      <c r="J368" s="37" t="s">
        <v>34</v>
      </c>
      <c r="K368" s="38">
        <v>171.33998600000001</v>
      </c>
      <c r="L368" s="39"/>
      <c r="M368" s="37" t="s">
        <v>117</v>
      </c>
      <c r="N368" s="40">
        <v>31.053999999999998</v>
      </c>
      <c r="O368" s="38">
        <v>31.020802</v>
      </c>
      <c r="P368" s="38">
        <v>1.5960999999999999E-2</v>
      </c>
      <c r="Q368" s="38">
        <v>1.7422E-2</v>
      </c>
      <c r="R368" s="40">
        <v>31.053999999999998</v>
      </c>
      <c r="S368" s="38">
        <v>31.020802</v>
      </c>
      <c r="T368" s="38">
        <v>1.5960999999999999E-2</v>
      </c>
      <c r="U368" s="38">
        <v>1.7422E-2</v>
      </c>
      <c r="V368" s="8">
        <f t="shared" si="5"/>
        <v>2022</v>
      </c>
    </row>
    <row r="369" spans="1:22" hidden="1" x14ac:dyDescent="0.25">
      <c r="A369" s="36">
        <v>44652</v>
      </c>
      <c r="B369" s="37" t="s">
        <v>20</v>
      </c>
      <c r="C369" s="37" t="s">
        <v>108</v>
      </c>
      <c r="D369" s="37" t="s">
        <v>61</v>
      </c>
      <c r="E369" s="37" t="s">
        <v>5</v>
      </c>
      <c r="F369" s="37" t="s">
        <v>131</v>
      </c>
      <c r="G369" s="37" t="s">
        <v>61</v>
      </c>
      <c r="H369" s="37" t="s">
        <v>132</v>
      </c>
      <c r="I369" s="37" t="s">
        <v>127</v>
      </c>
      <c r="J369" s="37" t="s">
        <v>34</v>
      </c>
      <c r="K369" s="38">
        <v>1.578778</v>
      </c>
      <c r="L369" s="39"/>
      <c r="M369" s="37" t="s">
        <v>117</v>
      </c>
      <c r="N369" s="40">
        <v>0.34</v>
      </c>
      <c r="O369" s="38">
        <v>0.33868199999999998</v>
      </c>
      <c r="P369" s="38">
        <v>8.8199999999999997E-4</v>
      </c>
      <c r="Q369" s="38">
        <v>4.8200000000000001E-4</v>
      </c>
      <c r="R369" s="39" t="s">
        <v>117</v>
      </c>
      <c r="S369" s="39"/>
      <c r="T369" s="39"/>
      <c r="U369" s="39"/>
      <c r="V369" s="8">
        <f t="shared" si="5"/>
        <v>2022</v>
      </c>
    </row>
    <row r="370" spans="1:22" hidden="1" x14ac:dyDescent="0.25">
      <c r="A370" s="36">
        <v>44682</v>
      </c>
      <c r="B370" s="37" t="s">
        <v>11</v>
      </c>
      <c r="C370" s="37" t="s">
        <v>108</v>
      </c>
      <c r="D370" s="37" t="s">
        <v>61</v>
      </c>
      <c r="E370" s="37" t="s">
        <v>5</v>
      </c>
      <c r="F370" s="37" t="s">
        <v>131</v>
      </c>
      <c r="G370" s="37" t="s">
        <v>61</v>
      </c>
      <c r="H370" s="37" t="s">
        <v>132</v>
      </c>
      <c r="I370" s="37" t="s">
        <v>127</v>
      </c>
      <c r="J370" s="37" t="s">
        <v>34</v>
      </c>
      <c r="K370" s="38">
        <v>58.266285000000003</v>
      </c>
      <c r="L370" s="39"/>
      <c r="M370" s="37" t="s">
        <v>117</v>
      </c>
      <c r="N370" s="40">
        <v>13.863</v>
      </c>
      <c r="O370" s="38">
        <v>13.677645</v>
      </c>
      <c r="P370" s="38">
        <v>0.183694</v>
      </c>
      <c r="Q370" s="38">
        <v>1.6169999999999999E-3</v>
      </c>
      <c r="R370" s="40">
        <v>13.863</v>
      </c>
      <c r="S370" s="38">
        <v>13.677645</v>
      </c>
      <c r="T370" s="38">
        <v>0.183694</v>
      </c>
      <c r="U370" s="38">
        <v>1.6169999999999999E-3</v>
      </c>
      <c r="V370" s="8">
        <f t="shared" si="5"/>
        <v>2022</v>
      </c>
    </row>
    <row r="371" spans="1:22" hidden="1" x14ac:dyDescent="0.25">
      <c r="A371" s="36">
        <v>44682</v>
      </c>
      <c r="B371" s="37" t="s">
        <v>19</v>
      </c>
      <c r="C371" s="37" t="s">
        <v>108</v>
      </c>
      <c r="D371" s="37" t="s">
        <v>61</v>
      </c>
      <c r="E371" s="37" t="s">
        <v>5</v>
      </c>
      <c r="F371" s="37" t="s">
        <v>131</v>
      </c>
      <c r="G371" s="37" t="s">
        <v>61</v>
      </c>
      <c r="H371" s="37" t="s">
        <v>132</v>
      </c>
      <c r="I371" s="37" t="s">
        <v>127</v>
      </c>
      <c r="J371" s="37" t="s">
        <v>34</v>
      </c>
      <c r="K371" s="38">
        <v>171.33998600000001</v>
      </c>
      <c r="L371" s="39"/>
      <c r="M371" s="37" t="s">
        <v>117</v>
      </c>
      <c r="N371" s="40">
        <v>31.053999999999998</v>
      </c>
      <c r="O371" s="38">
        <v>31.020802</v>
      </c>
      <c r="P371" s="38">
        <v>1.5960999999999999E-2</v>
      </c>
      <c r="Q371" s="38">
        <v>1.7422E-2</v>
      </c>
      <c r="R371" s="40">
        <v>31.053999999999998</v>
      </c>
      <c r="S371" s="38">
        <v>31.020802</v>
      </c>
      <c r="T371" s="38">
        <v>1.5960999999999999E-2</v>
      </c>
      <c r="U371" s="38">
        <v>1.7422E-2</v>
      </c>
      <c r="V371" s="8">
        <f t="shared" si="5"/>
        <v>2022</v>
      </c>
    </row>
    <row r="372" spans="1:22" hidden="1" x14ac:dyDescent="0.25">
      <c r="A372" s="36">
        <v>44682</v>
      </c>
      <c r="B372" s="37" t="s">
        <v>20</v>
      </c>
      <c r="C372" s="37" t="s">
        <v>108</v>
      </c>
      <c r="D372" s="37" t="s">
        <v>61</v>
      </c>
      <c r="E372" s="37" t="s">
        <v>5</v>
      </c>
      <c r="F372" s="37" t="s">
        <v>131</v>
      </c>
      <c r="G372" s="37" t="s">
        <v>61</v>
      </c>
      <c r="H372" s="37" t="s">
        <v>132</v>
      </c>
      <c r="I372" s="37" t="s">
        <v>127</v>
      </c>
      <c r="J372" s="37" t="s">
        <v>34</v>
      </c>
      <c r="K372" s="38">
        <v>1.578778</v>
      </c>
      <c r="L372" s="39"/>
      <c r="M372" s="37" t="s">
        <v>117</v>
      </c>
      <c r="N372" s="40">
        <v>0.34</v>
      </c>
      <c r="O372" s="38">
        <v>0.33868199999999998</v>
      </c>
      <c r="P372" s="38">
        <v>8.8199999999999997E-4</v>
      </c>
      <c r="Q372" s="38">
        <v>4.8200000000000001E-4</v>
      </c>
      <c r="R372" s="39" t="s">
        <v>117</v>
      </c>
      <c r="S372" s="39"/>
      <c r="T372" s="39"/>
      <c r="U372" s="39"/>
      <c r="V372" s="8">
        <f t="shared" ref="V372:V435" si="6">YEAR(A372)</f>
        <v>2022</v>
      </c>
    </row>
    <row r="373" spans="1:22" hidden="1" x14ac:dyDescent="0.25">
      <c r="A373" s="36">
        <v>44713</v>
      </c>
      <c r="B373" s="37" t="s">
        <v>11</v>
      </c>
      <c r="C373" s="37" t="s">
        <v>108</v>
      </c>
      <c r="D373" s="37" t="s">
        <v>61</v>
      </c>
      <c r="E373" s="37" t="s">
        <v>5</v>
      </c>
      <c r="F373" s="37" t="s">
        <v>131</v>
      </c>
      <c r="G373" s="37" t="s">
        <v>61</v>
      </c>
      <c r="H373" s="37" t="s">
        <v>132</v>
      </c>
      <c r="I373" s="37" t="s">
        <v>127</v>
      </c>
      <c r="J373" s="37" t="s">
        <v>34</v>
      </c>
      <c r="K373" s="38">
        <v>58.266285000000003</v>
      </c>
      <c r="L373" s="39"/>
      <c r="M373" s="37" t="s">
        <v>117</v>
      </c>
      <c r="N373" s="40">
        <v>13.863</v>
      </c>
      <c r="O373" s="38">
        <v>13.677645</v>
      </c>
      <c r="P373" s="38">
        <v>0.183694</v>
      </c>
      <c r="Q373" s="38">
        <v>1.6169999999999999E-3</v>
      </c>
      <c r="R373" s="40">
        <v>13.863</v>
      </c>
      <c r="S373" s="38">
        <v>13.677645</v>
      </c>
      <c r="T373" s="38">
        <v>0.183694</v>
      </c>
      <c r="U373" s="38">
        <v>1.6169999999999999E-3</v>
      </c>
      <c r="V373" s="8">
        <f t="shared" si="6"/>
        <v>2022</v>
      </c>
    </row>
    <row r="374" spans="1:22" hidden="1" x14ac:dyDescent="0.25">
      <c r="A374" s="36">
        <v>44713</v>
      </c>
      <c r="B374" s="37" t="s">
        <v>19</v>
      </c>
      <c r="C374" s="37" t="s">
        <v>108</v>
      </c>
      <c r="D374" s="37" t="s">
        <v>61</v>
      </c>
      <c r="E374" s="37" t="s">
        <v>5</v>
      </c>
      <c r="F374" s="37" t="s">
        <v>131</v>
      </c>
      <c r="G374" s="37" t="s">
        <v>61</v>
      </c>
      <c r="H374" s="37" t="s">
        <v>132</v>
      </c>
      <c r="I374" s="37" t="s">
        <v>127</v>
      </c>
      <c r="J374" s="37" t="s">
        <v>34</v>
      </c>
      <c r="K374" s="38">
        <v>171.33998600000001</v>
      </c>
      <c r="L374" s="39"/>
      <c r="M374" s="37" t="s">
        <v>117</v>
      </c>
      <c r="N374" s="40">
        <v>31.053999999999998</v>
      </c>
      <c r="O374" s="38">
        <v>31.020802</v>
      </c>
      <c r="P374" s="38">
        <v>1.5960999999999999E-2</v>
      </c>
      <c r="Q374" s="38">
        <v>1.7422E-2</v>
      </c>
      <c r="R374" s="40">
        <v>31.053999999999998</v>
      </c>
      <c r="S374" s="38">
        <v>31.020802</v>
      </c>
      <c r="T374" s="38">
        <v>1.5960999999999999E-2</v>
      </c>
      <c r="U374" s="38">
        <v>1.7422E-2</v>
      </c>
      <c r="V374" s="8">
        <f t="shared" si="6"/>
        <v>2022</v>
      </c>
    </row>
    <row r="375" spans="1:22" hidden="1" x14ac:dyDescent="0.25">
      <c r="A375" s="36">
        <v>44713</v>
      </c>
      <c r="B375" s="37" t="s">
        <v>20</v>
      </c>
      <c r="C375" s="37" t="s">
        <v>108</v>
      </c>
      <c r="D375" s="37" t="s">
        <v>61</v>
      </c>
      <c r="E375" s="37" t="s">
        <v>5</v>
      </c>
      <c r="F375" s="37" t="s">
        <v>131</v>
      </c>
      <c r="G375" s="37" t="s">
        <v>61</v>
      </c>
      <c r="H375" s="37" t="s">
        <v>132</v>
      </c>
      <c r="I375" s="37" t="s">
        <v>127</v>
      </c>
      <c r="J375" s="37" t="s">
        <v>34</v>
      </c>
      <c r="K375" s="38">
        <v>1.578778</v>
      </c>
      <c r="L375" s="39"/>
      <c r="M375" s="37" t="s">
        <v>117</v>
      </c>
      <c r="N375" s="40">
        <v>0.34</v>
      </c>
      <c r="O375" s="38">
        <v>0.33868199999999998</v>
      </c>
      <c r="P375" s="38">
        <v>8.8199999999999997E-4</v>
      </c>
      <c r="Q375" s="38">
        <v>4.8200000000000001E-4</v>
      </c>
      <c r="R375" s="39" t="s">
        <v>117</v>
      </c>
      <c r="S375" s="39"/>
      <c r="T375" s="39"/>
      <c r="U375" s="39"/>
      <c r="V375" s="8">
        <f t="shared" si="6"/>
        <v>2022</v>
      </c>
    </row>
    <row r="376" spans="1:22" hidden="1" x14ac:dyDescent="0.25">
      <c r="A376" s="36">
        <v>44743</v>
      </c>
      <c r="B376" s="37" t="s">
        <v>11</v>
      </c>
      <c r="C376" s="37" t="s">
        <v>108</v>
      </c>
      <c r="D376" s="37" t="s">
        <v>61</v>
      </c>
      <c r="E376" s="37" t="s">
        <v>5</v>
      </c>
      <c r="F376" s="37" t="s">
        <v>131</v>
      </c>
      <c r="G376" s="37" t="s">
        <v>61</v>
      </c>
      <c r="H376" s="37" t="s">
        <v>132</v>
      </c>
      <c r="I376" s="37" t="s">
        <v>127</v>
      </c>
      <c r="J376" s="37" t="s">
        <v>34</v>
      </c>
      <c r="K376" s="38">
        <v>58.266285000000003</v>
      </c>
      <c r="L376" s="39"/>
      <c r="M376" s="37" t="s">
        <v>117</v>
      </c>
      <c r="N376" s="40">
        <v>13.863</v>
      </c>
      <c r="O376" s="38">
        <v>13.677645</v>
      </c>
      <c r="P376" s="38">
        <v>0.183694</v>
      </c>
      <c r="Q376" s="38">
        <v>1.6169999999999999E-3</v>
      </c>
      <c r="R376" s="40">
        <v>13.863</v>
      </c>
      <c r="S376" s="38">
        <v>13.677645</v>
      </c>
      <c r="T376" s="38">
        <v>0.183694</v>
      </c>
      <c r="U376" s="38">
        <v>1.6169999999999999E-3</v>
      </c>
      <c r="V376" s="8">
        <f t="shared" si="6"/>
        <v>2022</v>
      </c>
    </row>
    <row r="377" spans="1:22" hidden="1" x14ac:dyDescent="0.25">
      <c r="A377" s="36">
        <v>44743</v>
      </c>
      <c r="B377" s="37" t="s">
        <v>19</v>
      </c>
      <c r="C377" s="37" t="s">
        <v>108</v>
      </c>
      <c r="D377" s="37" t="s">
        <v>61</v>
      </c>
      <c r="E377" s="37" t="s">
        <v>5</v>
      </c>
      <c r="F377" s="37" t="s">
        <v>131</v>
      </c>
      <c r="G377" s="37" t="s">
        <v>61</v>
      </c>
      <c r="H377" s="37" t="s">
        <v>132</v>
      </c>
      <c r="I377" s="37" t="s">
        <v>127</v>
      </c>
      <c r="J377" s="37" t="s">
        <v>34</v>
      </c>
      <c r="K377" s="38">
        <v>171.33998600000001</v>
      </c>
      <c r="L377" s="39"/>
      <c r="M377" s="37" t="s">
        <v>117</v>
      </c>
      <c r="N377" s="40">
        <v>31.053999999999998</v>
      </c>
      <c r="O377" s="38">
        <v>31.020802</v>
      </c>
      <c r="P377" s="38">
        <v>1.5960999999999999E-2</v>
      </c>
      <c r="Q377" s="38">
        <v>1.7422E-2</v>
      </c>
      <c r="R377" s="40">
        <v>31.053999999999998</v>
      </c>
      <c r="S377" s="38">
        <v>31.020802</v>
      </c>
      <c r="T377" s="38">
        <v>1.5960999999999999E-2</v>
      </c>
      <c r="U377" s="38">
        <v>1.7422E-2</v>
      </c>
      <c r="V377" s="8">
        <f t="shared" si="6"/>
        <v>2022</v>
      </c>
    </row>
    <row r="378" spans="1:22" hidden="1" x14ac:dyDescent="0.25">
      <c r="A378" s="36">
        <v>44743</v>
      </c>
      <c r="B378" s="37" t="s">
        <v>20</v>
      </c>
      <c r="C378" s="37" t="s">
        <v>108</v>
      </c>
      <c r="D378" s="37" t="s">
        <v>61</v>
      </c>
      <c r="E378" s="37" t="s">
        <v>5</v>
      </c>
      <c r="F378" s="37" t="s">
        <v>131</v>
      </c>
      <c r="G378" s="37" t="s">
        <v>61</v>
      </c>
      <c r="H378" s="37" t="s">
        <v>132</v>
      </c>
      <c r="I378" s="37" t="s">
        <v>127</v>
      </c>
      <c r="J378" s="37" t="s">
        <v>34</v>
      </c>
      <c r="K378" s="38">
        <v>1.578778</v>
      </c>
      <c r="L378" s="39"/>
      <c r="M378" s="37" t="s">
        <v>117</v>
      </c>
      <c r="N378" s="40">
        <v>0.34</v>
      </c>
      <c r="O378" s="38">
        <v>0.33868199999999998</v>
      </c>
      <c r="P378" s="38">
        <v>8.8199999999999997E-4</v>
      </c>
      <c r="Q378" s="38">
        <v>4.8200000000000001E-4</v>
      </c>
      <c r="R378" s="39" t="s">
        <v>117</v>
      </c>
      <c r="S378" s="39"/>
      <c r="T378" s="39"/>
      <c r="U378" s="39"/>
      <c r="V378" s="8">
        <f t="shared" si="6"/>
        <v>2022</v>
      </c>
    </row>
    <row r="379" spans="1:22" hidden="1" x14ac:dyDescent="0.25">
      <c r="A379" s="36">
        <v>44774</v>
      </c>
      <c r="B379" s="37" t="s">
        <v>11</v>
      </c>
      <c r="C379" s="37" t="s">
        <v>108</v>
      </c>
      <c r="D379" s="37" t="s">
        <v>61</v>
      </c>
      <c r="E379" s="37" t="s">
        <v>5</v>
      </c>
      <c r="F379" s="37" t="s">
        <v>131</v>
      </c>
      <c r="G379" s="37" t="s">
        <v>61</v>
      </c>
      <c r="H379" s="37" t="s">
        <v>132</v>
      </c>
      <c r="I379" s="37" t="s">
        <v>127</v>
      </c>
      <c r="J379" s="37" t="s">
        <v>34</v>
      </c>
      <c r="K379" s="38">
        <v>58.266285000000003</v>
      </c>
      <c r="L379" s="39"/>
      <c r="M379" s="37" t="s">
        <v>117</v>
      </c>
      <c r="N379" s="40">
        <v>13.863</v>
      </c>
      <c r="O379" s="38">
        <v>13.677645</v>
      </c>
      <c r="P379" s="38">
        <v>0.183694</v>
      </c>
      <c r="Q379" s="38">
        <v>1.6169999999999999E-3</v>
      </c>
      <c r="R379" s="40">
        <v>13.863</v>
      </c>
      <c r="S379" s="38">
        <v>13.677645</v>
      </c>
      <c r="T379" s="38">
        <v>0.183694</v>
      </c>
      <c r="U379" s="38">
        <v>1.6169999999999999E-3</v>
      </c>
      <c r="V379" s="8">
        <f t="shared" si="6"/>
        <v>2022</v>
      </c>
    </row>
    <row r="380" spans="1:22" hidden="1" x14ac:dyDescent="0.25">
      <c r="A380" s="36">
        <v>44774</v>
      </c>
      <c r="B380" s="37" t="s">
        <v>19</v>
      </c>
      <c r="C380" s="37" t="s">
        <v>108</v>
      </c>
      <c r="D380" s="37" t="s">
        <v>61</v>
      </c>
      <c r="E380" s="37" t="s">
        <v>5</v>
      </c>
      <c r="F380" s="37" t="s">
        <v>131</v>
      </c>
      <c r="G380" s="37" t="s">
        <v>61</v>
      </c>
      <c r="H380" s="37" t="s">
        <v>132</v>
      </c>
      <c r="I380" s="37" t="s">
        <v>127</v>
      </c>
      <c r="J380" s="37" t="s">
        <v>34</v>
      </c>
      <c r="K380" s="38">
        <v>171.33998600000001</v>
      </c>
      <c r="L380" s="39"/>
      <c r="M380" s="37" t="s">
        <v>117</v>
      </c>
      <c r="N380" s="40">
        <v>31.053999999999998</v>
      </c>
      <c r="O380" s="38">
        <v>31.020802</v>
      </c>
      <c r="P380" s="38">
        <v>1.5960999999999999E-2</v>
      </c>
      <c r="Q380" s="38">
        <v>1.7422E-2</v>
      </c>
      <c r="R380" s="40">
        <v>31.053999999999998</v>
      </c>
      <c r="S380" s="38">
        <v>31.020802</v>
      </c>
      <c r="T380" s="38">
        <v>1.5960999999999999E-2</v>
      </c>
      <c r="U380" s="38">
        <v>1.7422E-2</v>
      </c>
      <c r="V380" s="8">
        <f t="shared" si="6"/>
        <v>2022</v>
      </c>
    </row>
    <row r="381" spans="1:22" hidden="1" x14ac:dyDescent="0.25">
      <c r="A381" s="36">
        <v>44774</v>
      </c>
      <c r="B381" s="37" t="s">
        <v>20</v>
      </c>
      <c r="C381" s="37" t="s">
        <v>108</v>
      </c>
      <c r="D381" s="37" t="s">
        <v>61</v>
      </c>
      <c r="E381" s="37" t="s">
        <v>5</v>
      </c>
      <c r="F381" s="37" t="s">
        <v>131</v>
      </c>
      <c r="G381" s="37" t="s">
        <v>61</v>
      </c>
      <c r="H381" s="37" t="s">
        <v>132</v>
      </c>
      <c r="I381" s="37" t="s">
        <v>127</v>
      </c>
      <c r="J381" s="37" t="s">
        <v>34</v>
      </c>
      <c r="K381" s="38">
        <v>1.578778</v>
      </c>
      <c r="L381" s="39"/>
      <c r="M381" s="37" t="s">
        <v>117</v>
      </c>
      <c r="N381" s="40">
        <v>0.34</v>
      </c>
      <c r="O381" s="38">
        <v>0.33868199999999998</v>
      </c>
      <c r="P381" s="38">
        <v>8.8199999999999997E-4</v>
      </c>
      <c r="Q381" s="38">
        <v>4.8200000000000001E-4</v>
      </c>
      <c r="R381" s="39" t="s">
        <v>117</v>
      </c>
      <c r="S381" s="39"/>
      <c r="T381" s="39"/>
      <c r="U381" s="39"/>
      <c r="V381" s="8">
        <f t="shared" si="6"/>
        <v>2022</v>
      </c>
    </row>
    <row r="382" spans="1:22" hidden="1" x14ac:dyDescent="0.25">
      <c r="A382" s="36">
        <v>44805</v>
      </c>
      <c r="B382" s="37" t="s">
        <v>11</v>
      </c>
      <c r="C382" s="37" t="s">
        <v>108</v>
      </c>
      <c r="D382" s="37" t="s">
        <v>61</v>
      </c>
      <c r="E382" s="37" t="s">
        <v>5</v>
      </c>
      <c r="F382" s="37" t="s">
        <v>131</v>
      </c>
      <c r="G382" s="37" t="s">
        <v>61</v>
      </c>
      <c r="H382" s="37" t="s">
        <v>132</v>
      </c>
      <c r="I382" s="37" t="s">
        <v>127</v>
      </c>
      <c r="J382" s="37" t="s">
        <v>34</v>
      </c>
      <c r="K382" s="38">
        <v>58.266285000000003</v>
      </c>
      <c r="L382" s="39"/>
      <c r="M382" s="37" t="s">
        <v>117</v>
      </c>
      <c r="N382" s="40">
        <v>13.863</v>
      </c>
      <c r="O382" s="38">
        <v>13.677645</v>
      </c>
      <c r="P382" s="38">
        <v>0.183694</v>
      </c>
      <c r="Q382" s="38">
        <v>1.6169999999999999E-3</v>
      </c>
      <c r="R382" s="40">
        <v>13.863</v>
      </c>
      <c r="S382" s="38">
        <v>13.677645</v>
      </c>
      <c r="T382" s="38">
        <v>0.183694</v>
      </c>
      <c r="U382" s="38">
        <v>1.6169999999999999E-3</v>
      </c>
      <c r="V382" s="8">
        <f t="shared" si="6"/>
        <v>2022</v>
      </c>
    </row>
    <row r="383" spans="1:22" hidden="1" x14ac:dyDescent="0.25">
      <c r="A383" s="36">
        <v>44805</v>
      </c>
      <c r="B383" s="37" t="s">
        <v>19</v>
      </c>
      <c r="C383" s="37" t="s">
        <v>108</v>
      </c>
      <c r="D383" s="37" t="s">
        <v>61</v>
      </c>
      <c r="E383" s="37" t="s">
        <v>5</v>
      </c>
      <c r="F383" s="37" t="s">
        <v>131</v>
      </c>
      <c r="G383" s="37" t="s">
        <v>61</v>
      </c>
      <c r="H383" s="37" t="s">
        <v>132</v>
      </c>
      <c r="I383" s="37" t="s">
        <v>127</v>
      </c>
      <c r="J383" s="37" t="s">
        <v>34</v>
      </c>
      <c r="K383" s="38">
        <v>171.33998600000001</v>
      </c>
      <c r="L383" s="39"/>
      <c r="M383" s="37" t="s">
        <v>117</v>
      </c>
      <c r="N383" s="40">
        <v>31.053999999999998</v>
      </c>
      <c r="O383" s="38">
        <v>31.020802</v>
      </c>
      <c r="P383" s="38">
        <v>1.5960999999999999E-2</v>
      </c>
      <c r="Q383" s="38">
        <v>1.7422E-2</v>
      </c>
      <c r="R383" s="40">
        <v>31.053999999999998</v>
      </c>
      <c r="S383" s="38">
        <v>31.020802</v>
      </c>
      <c r="T383" s="38">
        <v>1.5960999999999999E-2</v>
      </c>
      <c r="U383" s="38">
        <v>1.7422E-2</v>
      </c>
      <c r="V383" s="8">
        <f t="shared" si="6"/>
        <v>2022</v>
      </c>
    </row>
    <row r="384" spans="1:22" hidden="1" x14ac:dyDescent="0.25">
      <c r="A384" s="36">
        <v>44805</v>
      </c>
      <c r="B384" s="37" t="s">
        <v>20</v>
      </c>
      <c r="C384" s="37" t="s">
        <v>108</v>
      </c>
      <c r="D384" s="37" t="s">
        <v>61</v>
      </c>
      <c r="E384" s="37" t="s">
        <v>5</v>
      </c>
      <c r="F384" s="37" t="s">
        <v>131</v>
      </c>
      <c r="G384" s="37" t="s">
        <v>61</v>
      </c>
      <c r="H384" s="37" t="s">
        <v>132</v>
      </c>
      <c r="I384" s="37" t="s">
        <v>127</v>
      </c>
      <c r="J384" s="37" t="s">
        <v>34</v>
      </c>
      <c r="K384" s="38">
        <v>1.578778</v>
      </c>
      <c r="L384" s="39"/>
      <c r="M384" s="37" t="s">
        <v>117</v>
      </c>
      <c r="N384" s="40">
        <v>0.34</v>
      </c>
      <c r="O384" s="38">
        <v>0.33868199999999998</v>
      </c>
      <c r="P384" s="38">
        <v>8.8199999999999997E-4</v>
      </c>
      <c r="Q384" s="38">
        <v>4.8200000000000001E-4</v>
      </c>
      <c r="R384" s="39" t="s">
        <v>117</v>
      </c>
      <c r="S384" s="39"/>
      <c r="T384" s="39"/>
      <c r="U384" s="39"/>
      <c r="V384" s="8">
        <f t="shared" si="6"/>
        <v>2022</v>
      </c>
    </row>
    <row r="385" spans="1:22" hidden="1" x14ac:dyDescent="0.25">
      <c r="A385" s="36">
        <v>44835</v>
      </c>
      <c r="B385" s="37" t="s">
        <v>11</v>
      </c>
      <c r="C385" s="37" t="s">
        <v>108</v>
      </c>
      <c r="D385" s="37" t="s">
        <v>61</v>
      </c>
      <c r="E385" s="37" t="s">
        <v>5</v>
      </c>
      <c r="F385" s="37" t="s">
        <v>131</v>
      </c>
      <c r="G385" s="37" t="s">
        <v>61</v>
      </c>
      <c r="H385" s="37" t="s">
        <v>132</v>
      </c>
      <c r="I385" s="37" t="s">
        <v>127</v>
      </c>
      <c r="J385" s="37" t="s">
        <v>34</v>
      </c>
      <c r="K385" s="38">
        <v>58.266285000000003</v>
      </c>
      <c r="L385" s="39"/>
      <c r="M385" s="37" t="s">
        <v>117</v>
      </c>
      <c r="N385" s="40">
        <v>13.863</v>
      </c>
      <c r="O385" s="38">
        <v>13.677645</v>
      </c>
      <c r="P385" s="38">
        <v>0.183694</v>
      </c>
      <c r="Q385" s="38">
        <v>1.6169999999999999E-3</v>
      </c>
      <c r="R385" s="40">
        <v>13.863</v>
      </c>
      <c r="S385" s="38">
        <v>13.677645</v>
      </c>
      <c r="T385" s="38">
        <v>0.183694</v>
      </c>
      <c r="U385" s="38">
        <v>1.6169999999999999E-3</v>
      </c>
      <c r="V385" s="8">
        <f t="shared" si="6"/>
        <v>2022</v>
      </c>
    </row>
    <row r="386" spans="1:22" hidden="1" x14ac:dyDescent="0.25">
      <c r="A386" s="36">
        <v>44835</v>
      </c>
      <c r="B386" s="37" t="s">
        <v>19</v>
      </c>
      <c r="C386" s="37" t="s">
        <v>108</v>
      </c>
      <c r="D386" s="37" t="s">
        <v>61</v>
      </c>
      <c r="E386" s="37" t="s">
        <v>5</v>
      </c>
      <c r="F386" s="37" t="s">
        <v>131</v>
      </c>
      <c r="G386" s="37" t="s">
        <v>61</v>
      </c>
      <c r="H386" s="37" t="s">
        <v>132</v>
      </c>
      <c r="I386" s="37" t="s">
        <v>127</v>
      </c>
      <c r="J386" s="37" t="s">
        <v>34</v>
      </c>
      <c r="K386" s="38">
        <v>171.33998600000001</v>
      </c>
      <c r="L386" s="39"/>
      <c r="M386" s="37" t="s">
        <v>117</v>
      </c>
      <c r="N386" s="40">
        <v>31.053999999999998</v>
      </c>
      <c r="O386" s="38">
        <v>31.020802</v>
      </c>
      <c r="P386" s="38">
        <v>1.5960999999999999E-2</v>
      </c>
      <c r="Q386" s="38">
        <v>1.7422E-2</v>
      </c>
      <c r="R386" s="40">
        <v>31.053999999999998</v>
      </c>
      <c r="S386" s="38">
        <v>31.020802</v>
      </c>
      <c r="T386" s="38">
        <v>1.5960999999999999E-2</v>
      </c>
      <c r="U386" s="38">
        <v>1.7422E-2</v>
      </c>
      <c r="V386" s="8">
        <f t="shared" si="6"/>
        <v>2022</v>
      </c>
    </row>
    <row r="387" spans="1:22" hidden="1" x14ac:dyDescent="0.25">
      <c r="A387" s="36">
        <v>44835</v>
      </c>
      <c r="B387" s="37" t="s">
        <v>20</v>
      </c>
      <c r="C387" s="37" t="s">
        <v>108</v>
      </c>
      <c r="D387" s="37" t="s">
        <v>61</v>
      </c>
      <c r="E387" s="37" t="s">
        <v>5</v>
      </c>
      <c r="F387" s="37" t="s">
        <v>131</v>
      </c>
      <c r="G387" s="37" t="s">
        <v>61</v>
      </c>
      <c r="H387" s="37" t="s">
        <v>132</v>
      </c>
      <c r="I387" s="37" t="s">
        <v>127</v>
      </c>
      <c r="J387" s="37" t="s">
        <v>34</v>
      </c>
      <c r="K387" s="38">
        <v>1.578778</v>
      </c>
      <c r="L387" s="39"/>
      <c r="M387" s="37" t="s">
        <v>117</v>
      </c>
      <c r="N387" s="40">
        <v>0.34</v>
      </c>
      <c r="O387" s="38">
        <v>0.33868199999999998</v>
      </c>
      <c r="P387" s="38">
        <v>8.8199999999999997E-4</v>
      </c>
      <c r="Q387" s="38">
        <v>4.8200000000000001E-4</v>
      </c>
      <c r="R387" s="39" t="s">
        <v>117</v>
      </c>
      <c r="S387" s="39"/>
      <c r="T387" s="39"/>
      <c r="U387" s="39"/>
      <c r="V387" s="8">
        <f t="shared" si="6"/>
        <v>2022</v>
      </c>
    </row>
    <row r="388" spans="1:22" hidden="1" x14ac:dyDescent="0.25">
      <c r="A388" s="36">
        <v>44866</v>
      </c>
      <c r="B388" s="37" t="s">
        <v>11</v>
      </c>
      <c r="C388" s="37" t="s">
        <v>108</v>
      </c>
      <c r="D388" s="37" t="s">
        <v>61</v>
      </c>
      <c r="E388" s="37" t="s">
        <v>5</v>
      </c>
      <c r="F388" s="37" t="s">
        <v>131</v>
      </c>
      <c r="G388" s="37" t="s">
        <v>61</v>
      </c>
      <c r="H388" s="37" t="s">
        <v>132</v>
      </c>
      <c r="I388" s="37" t="s">
        <v>127</v>
      </c>
      <c r="J388" s="37" t="s">
        <v>34</v>
      </c>
      <c r="K388" s="38">
        <v>58.266285000000003</v>
      </c>
      <c r="L388" s="39"/>
      <c r="M388" s="37" t="s">
        <v>117</v>
      </c>
      <c r="N388" s="40">
        <v>13.863</v>
      </c>
      <c r="O388" s="38">
        <v>13.677645</v>
      </c>
      <c r="P388" s="38">
        <v>0.183694</v>
      </c>
      <c r="Q388" s="38">
        <v>1.6169999999999999E-3</v>
      </c>
      <c r="R388" s="40">
        <v>13.863</v>
      </c>
      <c r="S388" s="38">
        <v>13.677645</v>
      </c>
      <c r="T388" s="38">
        <v>0.183694</v>
      </c>
      <c r="U388" s="38">
        <v>1.6169999999999999E-3</v>
      </c>
      <c r="V388" s="8">
        <f t="shared" si="6"/>
        <v>2022</v>
      </c>
    </row>
    <row r="389" spans="1:22" hidden="1" x14ac:dyDescent="0.25">
      <c r="A389" s="36">
        <v>44866</v>
      </c>
      <c r="B389" s="37" t="s">
        <v>19</v>
      </c>
      <c r="C389" s="37" t="s">
        <v>108</v>
      </c>
      <c r="D389" s="37" t="s">
        <v>61</v>
      </c>
      <c r="E389" s="37" t="s">
        <v>5</v>
      </c>
      <c r="F389" s="37" t="s">
        <v>131</v>
      </c>
      <c r="G389" s="37" t="s">
        <v>61</v>
      </c>
      <c r="H389" s="37" t="s">
        <v>132</v>
      </c>
      <c r="I389" s="37" t="s">
        <v>127</v>
      </c>
      <c r="J389" s="37" t="s">
        <v>34</v>
      </c>
      <c r="K389" s="38">
        <v>171.33998600000001</v>
      </c>
      <c r="L389" s="39"/>
      <c r="M389" s="37" t="s">
        <v>117</v>
      </c>
      <c r="N389" s="40">
        <v>31.053999999999998</v>
      </c>
      <c r="O389" s="38">
        <v>31.020802</v>
      </c>
      <c r="P389" s="38">
        <v>1.5960999999999999E-2</v>
      </c>
      <c r="Q389" s="38">
        <v>1.7422E-2</v>
      </c>
      <c r="R389" s="40">
        <v>31.053999999999998</v>
      </c>
      <c r="S389" s="38">
        <v>31.020802</v>
      </c>
      <c r="T389" s="38">
        <v>1.5960999999999999E-2</v>
      </c>
      <c r="U389" s="38">
        <v>1.7422E-2</v>
      </c>
      <c r="V389" s="8">
        <f t="shared" si="6"/>
        <v>2022</v>
      </c>
    </row>
    <row r="390" spans="1:22" hidden="1" x14ac:dyDescent="0.25">
      <c r="A390" s="36">
        <v>44866</v>
      </c>
      <c r="B390" s="37" t="s">
        <v>20</v>
      </c>
      <c r="C390" s="37" t="s">
        <v>108</v>
      </c>
      <c r="D390" s="37" t="s">
        <v>61</v>
      </c>
      <c r="E390" s="37" t="s">
        <v>5</v>
      </c>
      <c r="F390" s="37" t="s">
        <v>131</v>
      </c>
      <c r="G390" s="37" t="s">
        <v>61</v>
      </c>
      <c r="H390" s="37" t="s">
        <v>132</v>
      </c>
      <c r="I390" s="37" t="s">
        <v>127</v>
      </c>
      <c r="J390" s="37" t="s">
        <v>34</v>
      </c>
      <c r="K390" s="38">
        <v>1.578778</v>
      </c>
      <c r="L390" s="39"/>
      <c r="M390" s="37" t="s">
        <v>117</v>
      </c>
      <c r="N390" s="40">
        <v>0.34</v>
      </c>
      <c r="O390" s="38">
        <v>0.33868199999999998</v>
      </c>
      <c r="P390" s="38">
        <v>8.8199999999999997E-4</v>
      </c>
      <c r="Q390" s="38">
        <v>4.8200000000000001E-4</v>
      </c>
      <c r="R390" s="39" t="s">
        <v>117</v>
      </c>
      <c r="S390" s="39"/>
      <c r="T390" s="39"/>
      <c r="U390" s="39"/>
      <c r="V390" s="8">
        <f t="shared" si="6"/>
        <v>2022</v>
      </c>
    </row>
    <row r="391" spans="1:22" hidden="1" x14ac:dyDescent="0.25">
      <c r="A391" s="36">
        <v>44896</v>
      </c>
      <c r="B391" s="37" t="s">
        <v>11</v>
      </c>
      <c r="C391" s="37" t="s">
        <v>108</v>
      </c>
      <c r="D391" s="37" t="s">
        <v>61</v>
      </c>
      <c r="E391" s="37" t="s">
        <v>5</v>
      </c>
      <c r="F391" s="37" t="s">
        <v>131</v>
      </c>
      <c r="G391" s="37" t="s">
        <v>61</v>
      </c>
      <c r="H391" s="37" t="s">
        <v>132</v>
      </c>
      <c r="I391" s="37" t="s">
        <v>127</v>
      </c>
      <c r="J391" s="37" t="s">
        <v>34</v>
      </c>
      <c r="K391" s="38">
        <v>58.266285000000003</v>
      </c>
      <c r="L391" s="39"/>
      <c r="M391" s="37" t="s">
        <v>117</v>
      </c>
      <c r="N391" s="40">
        <v>13.863</v>
      </c>
      <c r="O391" s="38">
        <v>13.677645</v>
      </c>
      <c r="P391" s="38">
        <v>0.183694</v>
      </c>
      <c r="Q391" s="38">
        <v>1.6169999999999999E-3</v>
      </c>
      <c r="R391" s="40">
        <v>13.863</v>
      </c>
      <c r="S391" s="38">
        <v>13.677645</v>
      </c>
      <c r="T391" s="38">
        <v>0.183694</v>
      </c>
      <c r="U391" s="38">
        <v>1.6169999999999999E-3</v>
      </c>
      <c r="V391" s="8">
        <f t="shared" si="6"/>
        <v>2022</v>
      </c>
    </row>
    <row r="392" spans="1:22" hidden="1" x14ac:dyDescent="0.25">
      <c r="A392" s="36">
        <v>44896</v>
      </c>
      <c r="B392" s="37" t="s">
        <v>19</v>
      </c>
      <c r="C392" s="37" t="s">
        <v>108</v>
      </c>
      <c r="D392" s="37" t="s">
        <v>61</v>
      </c>
      <c r="E392" s="37" t="s">
        <v>5</v>
      </c>
      <c r="F392" s="37" t="s">
        <v>131</v>
      </c>
      <c r="G392" s="37" t="s">
        <v>61</v>
      </c>
      <c r="H392" s="37" t="s">
        <v>132</v>
      </c>
      <c r="I392" s="37" t="s">
        <v>127</v>
      </c>
      <c r="J392" s="37" t="s">
        <v>34</v>
      </c>
      <c r="K392" s="38">
        <v>171.33998600000001</v>
      </c>
      <c r="L392" s="39"/>
      <c r="M392" s="37" t="s">
        <v>117</v>
      </c>
      <c r="N392" s="40">
        <v>31.053999999999998</v>
      </c>
      <c r="O392" s="38">
        <v>31.020802</v>
      </c>
      <c r="P392" s="38">
        <v>1.5960999999999999E-2</v>
      </c>
      <c r="Q392" s="38">
        <v>1.7422E-2</v>
      </c>
      <c r="R392" s="40">
        <v>31.053999999999998</v>
      </c>
      <c r="S392" s="38">
        <v>31.020802</v>
      </c>
      <c r="T392" s="38">
        <v>1.5960999999999999E-2</v>
      </c>
      <c r="U392" s="38">
        <v>1.7422E-2</v>
      </c>
      <c r="V392" s="8">
        <f t="shared" si="6"/>
        <v>2022</v>
      </c>
    </row>
    <row r="393" spans="1:22" hidden="1" x14ac:dyDescent="0.25">
      <c r="A393" s="36">
        <v>44896</v>
      </c>
      <c r="B393" s="37" t="s">
        <v>20</v>
      </c>
      <c r="C393" s="37" t="s">
        <v>108</v>
      </c>
      <c r="D393" s="37" t="s">
        <v>61</v>
      </c>
      <c r="E393" s="37" t="s">
        <v>5</v>
      </c>
      <c r="F393" s="37" t="s">
        <v>131</v>
      </c>
      <c r="G393" s="37" t="s">
        <v>61</v>
      </c>
      <c r="H393" s="37" t="s">
        <v>132</v>
      </c>
      <c r="I393" s="37" t="s">
        <v>127</v>
      </c>
      <c r="J393" s="37" t="s">
        <v>34</v>
      </c>
      <c r="K393" s="38">
        <v>1.578778</v>
      </c>
      <c r="L393" s="39"/>
      <c r="M393" s="37" t="s">
        <v>117</v>
      </c>
      <c r="N393" s="40">
        <v>0.34</v>
      </c>
      <c r="O393" s="38">
        <v>0.33868199999999998</v>
      </c>
      <c r="P393" s="38">
        <v>8.8199999999999997E-4</v>
      </c>
      <c r="Q393" s="38">
        <v>4.8200000000000001E-4</v>
      </c>
      <c r="R393" s="39" t="s">
        <v>117</v>
      </c>
      <c r="S393" s="39"/>
      <c r="T393" s="39"/>
      <c r="U393" s="39"/>
      <c r="V393" s="8">
        <f t="shared" si="6"/>
        <v>2022</v>
      </c>
    </row>
    <row r="394" spans="1:22" hidden="1" x14ac:dyDescent="0.25">
      <c r="A394" s="36">
        <v>44927</v>
      </c>
      <c r="B394" s="37" t="s">
        <v>11</v>
      </c>
      <c r="C394" s="37" t="s">
        <v>108</v>
      </c>
      <c r="D394" s="37" t="s">
        <v>61</v>
      </c>
      <c r="E394" s="37" t="s">
        <v>5</v>
      </c>
      <c r="F394" s="37" t="s">
        <v>131</v>
      </c>
      <c r="G394" s="37" t="s">
        <v>61</v>
      </c>
      <c r="H394" s="37" t="s">
        <v>132</v>
      </c>
      <c r="I394" s="37" t="s">
        <v>127</v>
      </c>
      <c r="J394" s="37" t="s">
        <v>34</v>
      </c>
      <c r="K394" s="38">
        <v>44.548202000000003</v>
      </c>
      <c r="L394" s="39"/>
      <c r="M394" s="37" t="s">
        <v>117</v>
      </c>
      <c r="N394" s="40">
        <v>10.426</v>
      </c>
      <c r="O394" s="38">
        <v>10.284364</v>
      </c>
      <c r="P394" s="38">
        <v>0.140627</v>
      </c>
      <c r="Q394" s="38">
        <v>1.286E-3</v>
      </c>
      <c r="R394" s="40">
        <v>10.426</v>
      </c>
      <c r="S394" s="38">
        <v>10.284364</v>
      </c>
      <c r="T394" s="38">
        <v>0.140627</v>
      </c>
      <c r="U394" s="38">
        <v>1.286E-3</v>
      </c>
      <c r="V394" s="8">
        <f t="shared" si="6"/>
        <v>2023</v>
      </c>
    </row>
    <row r="395" spans="1:22" hidden="1" x14ac:dyDescent="0.25">
      <c r="A395" s="36">
        <v>44927</v>
      </c>
      <c r="B395" s="37" t="s">
        <v>12</v>
      </c>
      <c r="C395" s="37" t="s">
        <v>108</v>
      </c>
      <c r="D395" s="37" t="s">
        <v>61</v>
      </c>
      <c r="E395" s="37" t="s">
        <v>5</v>
      </c>
      <c r="F395" s="37" t="s">
        <v>131</v>
      </c>
      <c r="G395" s="37" t="s">
        <v>61</v>
      </c>
      <c r="H395" s="37" t="s">
        <v>132</v>
      </c>
      <c r="I395" s="37" t="s">
        <v>127</v>
      </c>
      <c r="J395" s="37" t="s">
        <v>35</v>
      </c>
      <c r="K395" s="38">
        <v>38</v>
      </c>
      <c r="L395" s="39"/>
      <c r="M395" s="37" t="s">
        <v>117</v>
      </c>
      <c r="N395" s="40">
        <v>0.36099999999999999</v>
      </c>
      <c r="O395" s="38">
        <v>0.35657499999999998</v>
      </c>
      <c r="P395" s="38">
        <v>4.8760000000000001E-3</v>
      </c>
      <c r="Q395" s="38">
        <v>4.5000000000000003E-5</v>
      </c>
      <c r="R395" s="40">
        <v>0.36099999999999999</v>
      </c>
      <c r="S395" s="38">
        <v>0.35657499999999998</v>
      </c>
      <c r="T395" s="38">
        <v>4.8760000000000001E-3</v>
      </c>
      <c r="U395" s="38">
        <v>4.5000000000000003E-5</v>
      </c>
      <c r="V395" s="8">
        <f t="shared" si="6"/>
        <v>2023</v>
      </c>
    </row>
    <row r="396" spans="1:22" hidden="1" x14ac:dyDescent="0.25">
      <c r="A396" s="36">
        <v>44927</v>
      </c>
      <c r="B396" s="37" t="s">
        <v>21</v>
      </c>
      <c r="C396" s="37" t="s">
        <v>108</v>
      </c>
      <c r="D396" s="37" t="s">
        <v>61</v>
      </c>
      <c r="E396" s="37" t="s">
        <v>5</v>
      </c>
      <c r="F396" s="37" t="s">
        <v>131</v>
      </c>
      <c r="G396" s="37" t="s">
        <v>61</v>
      </c>
      <c r="H396" s="37" t="s">
        <v>132</v>
      </c>
      <c r="I396" s="37" t="s">
        <v>127</v>
      </c>
      <c r="J396" s="37" t="s">
        <v>37</v>
      </c>
      <c r="K396" s="38">
        <v>0.16600000000000001</v>
      </c>
      <c r="L396" s="39"/>
      <c r="M396" s="37" t="s">
        <v>117</v>
      </c>
      <c r="N396" s="40">
        <v>0.16600000000000001</v>
      </c>
      <c r="O396" s="38">
        <v>0.16600000000000001</v>
      </c>
      <c r="P396" s="39"/>
      <c r="Q396" s="39"/>
      <c r="R396" s="40">
        <f>N396</f>
        <v>0.16600000000000001</v>
      </c>
      <c r="S396" s="39"/>
      <c r="T396" s="39"/>
      <c r="U396" s="39"/>
      <c r="V396" s="8">
        <f t="shared" si="6"/>
        <v>2023</v>
      </c>
    </row>
    <row r="397" spans="1:22" hidden="1" x14ac:dyDescent="0.25">
      <c r="A397" s="36">
        <v>44927</v>
      </c>
      <c r="B397" s="37" t="s">
        <v>16</v>
      </c>
      <c r="C397" s="37" t="s">
        <v>108</v>
      </c>
      <c r="D397" s="37" t="s">
        <v>61</v>
      </c>
      <c r="E397" s="37" t="s">
        <v>5</v>
      </c>
      <c r="F397" s="37" t="s">
        <v>131</v>
      </c>
      <c r="G397" s="37" t="s">
        <v>61</v>
      </c>
      <c r="H397" s="37" t="s">
        <v>132</v>
      </c>
      <c r="I397" s="37" t="s">
        <v>127</v>
      </c>
      <c r="J397" s="37" t="s">
        <v>34</v>
      </c>
      <c r="K397" s="38">
        <v>37.403196000000001</v>
      </c>
      <c r="L397" s="39"/>
      <c r="M397" s="37" t="s">
        <v>117</v>
      </c>
      <c r="N397" s="40">
        <v>8.109</v>
      </c>
      <c r="O397" s="38">
        <v>8.0526850000000003</v>
      </c>
      <c r="P397" s="38">
        <v>2.3370999999999999E-2</v>
      </c>
      <c r="Q397" s="38">
        <v>3.3169999999999998E-2</v>
      </c>
      <c r="R397" s="40">
        <v>8.109</v>
      </c>
      <c r="S397" s="38">
        <v>8.0526850000000003</v>
      </c>
      <c r="T397" s="38">
        <v>2.3370999999999999E-2</v>
      </c>
      <c r="U397" s="38">
        <v>3.3169999999999998E-2</v>
      </c>
      <c r="V397" s="8">
        <f t="shared" si="6"/>
        <v>2023</v>
      </c>
    </row>
    <row r="398" spans="1:22" hidden="1" x14ac:dyDescent="0.25">
      <c r="A398" s="36">
        <v>44927</v>
      </c>
      <c r="B398" s="37" t="s">
        <v>19</v>
      </c>
      <c r="C398" s="37" t="s">
        <v>108</v>
      </c>
      <c r="D398" s="37" t="s">
        <v>61</v>
      </c>
      <c r="E398" s="37" t="s">
        <v>5</v>
      </c>
      <c r="F398" s="37" t="s">
        <v>131</v>
      </c>
      <c r="G398" s="37" t="s">
        <v>61</v>
      </c>
      <c r="H398" s="37" t="s">
        <v>132</v>
      </c>
      <c r="I398" s="37" t="s">
        <v>127</v>
      </c>
      <c r="J398" s="37" t="s">
        <v>34</v>
      </c>
      <c r="K398" s="38">
        <v>0</v>
      </c>
      <c r="L398" s="39"/>
      <c r="M398" s="37" t="s">
        <v>117</v>
      </c>
      <c r="N398" s="40">
        <v>0</v>
      </c>
      <c r="O398" s="38">
        <v>0</v>
      </c>
      <c r="P398" s="38">
        <v>0</v>
      </c>
      <c r="Q398" s="38">
        <v>0</v>
      </c>
      <c r="R398" s="40">
        <v>0</v>
      </c>
      <c r="S398" s="38">
        <v>0</v>
      </c>
      <c r="T398" s="38">
        <v>0</v>
      </c>
      <c r="U398" s="38">
        <v>0</v>
      </c>
      <c r="V398" s="8">
        <f t="shared" si="6"/>
        <v>2023</v>
      </c>
    </row>
    <row r="399" spans="1:22" hidden="1" x14ac:dyDescent="0.25">
      <c r="A399" s="36">
        <v>44927</v>
      </c>
      <c r="B399" s="37" t="s">
        <v>20</v>
      </c>
      <c r="C399" s="37" t="s">
        <v>108</v>
      </c>
      <c r="D399" s="37" t="s">
        <v>61</v>
      </c>
      <c r="E399" s="37" t="s">
        <v>5</v>
      </c>
      <c r="F399" s="37" t="s">
        <v>131</v>
      </c>
      <c r="G399" s="37" t="s">
        <v>61</v>
      </c>
      <c r="H399" s="37" t="s">
        <v>132</v>
      </c>
      <c r="I399" s="37" t="s">
        <v>127</v>
      </c>
      <c r="J399" s="37" t="s">
        <v>34</v>
      </c>
      <c r="K399" s="38">
        <v>0.32020100000000001</v>
      </c>
      <c r="L399" s="39"/>
      <c r="M399" s="37" t="s">
        <v>117</v>
      </c>
      <c r="N399" s="40">
        <v>6.9000000000000006E-2</v>
      </c>
      <c r="O399" s="38">
        <v>6.8690000000000001E-2</v>
      </c>
      <c r="P399" s="38">
        <v>1.7899999999999999E-4</v>
      </c>
      <c r="Q399" s="38">
        <v>9.7999999999999997E-5</v>
      </c>
      <c r="R399" s="40">
        <v>6.9000000000000006E-2</v>
      </c>
      <c r="S399" s="38">
        <v>6.8690000000000001E-2</v>
      </c>
      <c r="T399" s="38">
        <v>1.7899999999999999E-4</v>
      </c>
      <c r="U399" s="38">
        <v>9.7999999999999997E-5</v>
      </c>
      <c r="V399" s="8">
        <f t="shared" si="6"/>
        <v>2023</v>
      </c>
    </row>
    <row r="400" spans="1:22" hidden="1" x14ac:dyDescent="0.25">
      <c r="A400" s="36">
        <v>44958</v>
      </c>
      <c r="B400" s="37" t="s">
        <v>11</v>
      </c>
      <c r="C400" s="37" t="s">
        <v>108</v>
      </c>
      <c r="D400" s="37" t="s">
        <v>61</v>
      </c>
      <c r="E400" s="37" t="s">
        <v>5</v>
      </c>
      <c r="F400" s="37" t="s">
        <v>131</v>
      </c>
      <c r="G400" s="37" t="s">
        <v>61</v>
      </c>
      <c r="H400" s="37" t="s">
        <v>132</v>
      </c>
      <c r="I400" s="37" t="s">
        <v>127</v>
      </c>
      <c r="J400" s="37" t="s">
        <v>34</v>
      </c>
      <c r="K400" s="38">
        <v>51.539344</v>
      </c>
      <c r="L400" s="39"/>
      <c r="M400" s="37" t="s">
        <v>117</v>
      </c>
      <c r="N400" s="40">
        <v>12.063000000000001</v>
      </c>
      <c r="O400" s="38">
        <v>11.898332999999999</v>
      </c>
      <c r="P400" s="38">
        <v>0.16269600000000001</v>
      </c>
      <c r="Q400" s="38">
        <v>1.488E-3</v>
      </c>
      <c r="R400" s="40">
        <v>12.063000000000001</v>
      </c>
      <c r="S400" s="38">
        <v>11.898332999999999</v>
      </c>
      <c r="T400" s="38">
        <v>0.16269600000000001</v>
      </c>
      <c r="U400" s="38">
        <v>1.488E-3</v>
      </c>
      <c r="V400" s="8">
        <f t="shared" si="6"/>
        <v>2023</v>
      </c>
    </row>
    <row r="401" spans="1:22" hidden="1" x14ac:dyDescent="0.25">
      <c r="A401" s="36">
        <v>44958</v>
      </c>
      <c r="B401" s="37" t="s">
        <v>12</v>
      </c>
      <c r="C401" s="37" t="s">
        <v>108</v>
      </c>
      <c r="D401" s="37" t="s">
        <v>61</v>
      </c>
      <c r="E401" s="37" t="s">
        <v>5</v>
      </c>
      <c r="F401" s="37" t="s">
        <v>131</v>
      </c>
      <c r="G401" s="37" t="s">
        <v>61</v>
      </c>
      <c r="H401" s="37" t="s">
        <v>132</v>
      </c>
      <c r="I401" s="37" t="s">
        <v>127</v>
      </c>
      <c r="J401" s="37" t="s">
        <v>35</v>
      </c>
      <c r="K401" s="38">
        <v>619</v>
      </c>
      <c r="L401" s="39"/>
      <c r="M401" s="37" t="s">
        <v>117</v>
      </c>
      <c r="N401" s="40">
        <v>5.8890000000000002</v>
      </c>
      <c r="O401" s="38">
        <v>5.808414</v>
      </c>
      <c r="P401" s="38">
        <v>7.9422999999999994E-2</v>
      </c>
      <c r="Q401" s="38">
        <v>7.2599999999999997E-4</v>
      </c>
      <c r="R401" s="40">
        <v>5.8890000000000002</v>
      </c>
      <c r="S401" s="38">
        <v>5.808414</v>
      </c>
      <c r="T401" s="38">
        <v>7.9422999999999994E-2</v>
      </c>
      <c r="U401" s="38">
        <v>7.2599999999999997E-4</v>
      </c>
      <c r="V401" s="8">
        <f t="shared" si="6"/>
        <v>2023</v>
      </c>
    </row>
    <row r="402" spans="1:22" hidden="1" x14ac:dyDescent="0.25">
      <c r="A402" s="36">
        <v>44958</v>
      </c>
      <c r="B402" s="37" t="s">
        <v>21</v>
      </c>
      <c r="C402" s="37" t="s">
        <v>108</v>
      </c>
      <c r="D402" s="37" t="s">
        <v>61</v>
      </c>
      <c r="E402" s="37" t="s">
        <v>5</v>
      </c>
      <c r="F402" s="37" t="s">
        <v>131</v>
      </c>
      <c r="G402" s="37" t="s">
        <v>61</v>
      </c>
      <c r="H402" s="37" t="s">
        <v>132</v>
      </c>
      <c r="I402" s="37" t="s">
        <v>127</v>
      </c>
      <c r="J402" s="37" t="s">
        <v>37</v>
      </c>
      <c r="K402" s="38">
        <v>0.16600000000000001</v>
      </c>
      <c r="L402" s="39"/>
      <c r="M402" s="37" t="s">
        <v>117</v>
      </c>
      <c r="N402" s="40">
        <v>0.16600000000000001</v>
      </c>
      <c r="O402" s="38">
        <v>0.16600000000000001</v>
      </c>
      <c r="P402" s="39"/>
      <c r="Q402" s="39"/>
      <c r="R402" s="40">
        <f>N402</f>
        <v>0.16600000000000001</v>
      </c>
      <c r="S402" s="39"/>
      <c r="T402" s="39"/>
      <c r="U402" s="39"/>
      <c r="V402" s="8">
        <f t="shared" si="6"/>
        <v>2023</v>
      </c>
    </row>
    <row r="403" spans="1:22" hidden="1" x14ac:dyDescent="0.25">
      <c r="A403" s="36">
        <v>44958</v>
      </c>
      <c r="B403" s="37" t="s">
        <v>16</v>
      </c>
      <c r="C403" s="37" t="s">
        <v>108</v>
      </c>
      <c r="D403" s="37" t="s">
        <v>61</v>
      </c>
      <c r="E403" s="37" t="s">
        <v>5</v>
      </c>
      <c r="F403" s="37" t="s">
        <v>131</v>
      </c>
      <c r="G403" s="37" t="s">
        <v>61</v>
      </c>
      <c r="H403" s="37" t="s">
        <v>132</v>
      </c>
      <c r="I403" s="37" t="s">
        <v>127</v>
      </c>
      <c r="J403" s="37" t="s">
        <v>34</v>
      </c>
      <c r="K403" s="38">
        <v>39.564594999999997</v>
      </c>
      <c r="L403" s="39"/>
      <c r="M403" s="37" t="s">
        <v>117</v>
      </c>
      <c r="N403" s="40">
        <v>8.5779999999999994</v>
      </c>
      <c r="O403" s="38">
        <v>8.5180209999999992</v>
      </c>
      <c r="P403" s="38">
        <v>2.4721E-2</v>
      </c>
      <c r="Q403" s="38">
        <v>3.5087E-2</v>
      </c>
      <c r="R403" s="40">
        <v>8.5779999999999994</v>
      </c>
      <c r="S403" s="38">
        <v>8.5180209999999992</v>
      </c>
      <c r="T403" s="38">
        <v>2.4721E-2</v>
      </c>
      <c r="U403" s="38">
        <v>3.5087E-2</v>
      </c>
      <c r="V403" s="8">
        <f t="shared" si="6"/>
        <v>2023</v>
      </c>
    </row>
    <row r="404" spans="1:22" hidden="1" x14ac:dyDescent="0.25">
      <c r="A404" s="36">
        <v>44958</v>
      </c>
      <c r="B404" s="37" t="s">
        <v>19</v>
      </c>
      <c r="C404" s="37" t="s">
        <v>108</v>
      </c>
      <c r="D404" s="37" t="s">
        <v>61</v>
      </c>
      <c r="E404" s="37" t="s">
        <v>5</v>
      </c>
      <c r="F404" s="37" t="s">
        <v>131</v>
      </c>
      <c r="G404" s="37" t="s">
        <v>61</v>
      </c>
      <c r="H404" s="37" t="s">
        <v>132</v>
      </c>
      <c r="I404" s="37" t="s">
        <v>127</v>
      </c>
      <c r="J404" s="37" t="s">
        <v>34</v>
      </c>
      <c r="K404" s="38">
        <v>192.04947200000001</v>
      </c>
      <c r="L404" s="39"/>
      <c r="M404" s="37" t="s">
        <v>117</v>
      </c>
      <c r="N404" s="40">
        <v>34.808</v>
      </c>
      <c r="O404" s="38">
        <v>34.770218</v>
      </c>
      <c r="P404" s="38">
        <v>1.789E-2</v>
      </c>
      <c r="Q404" s="38">
        <v>1.9528E-2</v>
      </c>
      <c r="R404" s="40">
        <v>34.808</v>
      </c>
      <c r="S404" s="38">
        <v>34.770218</v>
      </c>
      <c r="T404" s="38">
        <v>1.789E-2</v>
      </c>
      <c r="U404" s="38">
        <v>1.9528E-2</v>
      </c>
      <c r="V404" s="8">
        <f t="shared" si="6"/>
        <v>2023</v>
      </c>
    </row>
    <row r="405" spans="1:22" hidden="1" x14ac:dyDescent="0.25">
      <c r="A405" s="36">
        <v>44958</v>
      </c>
      <c r="B405" s="37" t="s">
        <v>20</v>
      </c>
      <c r="C405" s="37" t="s">
        <v>108</v>
      </c>
      <c r="D405" s="37" t="s">
        <v>61</v>
      </c>
      <c r="E405" s="37" t="s">
        <v>5</v>
      </c>
      <c r="F405" s="37" t="s">
        <v>131</v>
      </c>
      <c r="G405" s="37" t="s">
        <v>61</v>
      </c>
      <c r="H405" s="37" t="s">
        <v>132</v>
      </c>
      <c r="I405" s="37" t="s">
        <v>127</v>
      </c>
      <c r="J405" s="37" t="s">
        <v>34</v>
      </c>
      <c r="K405" s="38">
        <v>19.116004</v>
      </c>
      <c r="L405" s="39"/>
      <c r="M405" s="37" t="s">
        <v>117</v>
      </c>
      <c r="N405" s="40">
        <v>4.117</v>
      </c>
      <c r="O405" s="38">
        <v>4.1007910000000001</v>
      </c>
      <c r="P405" s="38">
        <v>1.0684000000000001E-2</v>
      </c>
      <c r="Q405" s="38">
        <v>5.8310000000000002E-3</v>
      </c>
      <c r="R405" s="40">
        <v>4.117</v>
      </c>
      <c r="S405" s="38">
        <v>4.1007910000000001</v>
      </c>
      <c r="T405" s="38">
        <v>1.0684000000000001E-2</v>
      </c>
      <c r="U405" s="38">
        <v>5.8310000000000002E-3</v>
      </c>
      <c r="V405" s="8">
        <f t="shared" si="6"/>
        <v>2023</v>
      </c>
    </row>
    <row r="406" spans="1:22" hidden="1" x14ac:dyDescent="0.25">
      <c r="A406" s="36">
        <v>44986</v>
      </c>
      <c r="B406" s="37" t="s">
        <v>11</v>
      </c>
      <c r="C406" s="37" t="s">
        <v>108</v>
      </c>
      <c r="D406" s="37" t="s">
        <v>61</v>
      </c>
      <c r="E406" s="37" t="s">
        <v>5</v>
      </c>
      <c r="F406" s="37" t="s">
        <v>131</v>
      </c>
      <c r="G406" s="37" t="s">
        <v>61</v>
      </c>
      <c r="H406" s="37" t="s">
        <v>132</v>
      </c>
      <c r="I406" s="37" t="s">
        <v>127</v>
      </c>
      <c r="J406" s="37" t="s">
        <v>34</v>
      </c>
      <c r="K406" s="38">
        <v>49.588327</v>
      </c>
      <c r="L406" s="39"/>
      <c r="M406" s="37" t="s">
        <v>117</v>
      </c>
      <c r="N406" s="40">
        <v>11.606</v>
      </c>
      <c r="O406" s="38">
        <v>11.447922999999999</v>
      </c>
      <c r="P406" s="38">
        <v>0.15653700000000001</v>
      </c>
      <c r="Q406" s="38">
        <v>1.431E-3</v>
      </c>
      <c r="R406" s="40">
        <v>11.606</v>
      </c>
      <c r="S406" s="38">
        <v>11.447922999999999</v>
      </c>
      <c r="T406" s="38">
        <v>0.15653700000000001</v>
      </c>
      <c r="U406" s="38">
        <v>1.431E-3</v>
      </c>
      <c r="V406" s="8">
        <f t="shared" si="6"/>
        <v>2023</v>
      </c>
    </row>
    <row r="407" spans="1:22" hidden="1" x14ac:dyDescent="0.25">
      <c r="A407" s="36">
        <v>44986</v>
      </c>
      <c r="B407" s="37" t="s">
        <v>12</v>
      </c>
      <c r="C407" s="37" t="s">
        <v>108</v>
      </c>
      <c r="D407" s="37" t="s">
        <v>61</v>
      </c>
      <c r="E407" s="37" t="s">
        <v>5</v>
      </c>
      <c r="F407" s="37" t="s">
        <v>131</v>
      </c>
      <c r="G407" s="37" t="s">
        <v>61</v>
      </c>
      <c r="H407" s="37" t="s">
        <v>132</v>
      </c>
      <c r="I407" s="37" t="s">
        <v>127</v>
      </c>
      <c r="J407" s="37" t="s">
        <v>35</v>
      </c>
      <c r="K407" s="38">
        <v>343</v>
      </c>
      <c r="L407" s="39"/>
      <c r="M407" s="37" t="s">
        <v>117</v>
      </c>
      <c r="N407" s="40">
        <v>3.2629999999999999</v>
      </c>
      <c r="O407" s="38">
        <v>3.2185549999999998</v>
      </c>
      <c r="P407" s="38">
        <v>4.4010000000000001E-2</v>
      </c>
      <c r="Q407" s="38">
        <v>4.0200000000000001E-4</v>
      </c>
      <c r="R407" s="40">
        <v>3.2629999999999999</v>
      </c>
      <c r="S407" s="38">
        <v>3.2185549999999998</v>
      </c>
      <c r="T407" s="38">
        <v>4.4010000000000001E-2</v>
      </c>
      <c r="U407" s="38">
        <v>4.0200000000000001E-4</v>
      </c>
      <c r="V407" s="8">
        <f t="shared" si="6"/>
        <v>2023</v>
      </c>
    </row>
    <row r="408" spans="1:22" hidden="1" x14ac:dyDescent="0.25">
      <c r="A408" s="36">
        <v>44986</v>
      </c>
      <c r="B408" s="37" t="s">
        <v>21</v>
      </c>
      <c r="C408" s="37" t="s">
        <v>108</v>
      </c>
      <c r="D408" s="37" t="s">
        <v>61</v>
      </c>
      <c r="E408" s="37" t="s">
        <v>5</v>
      </c>
      <c r="F408" s="37" t="s">
        <v>131</v>
      </c>
      <c r="G408" s="37" t="s">
        <v>61</v>
      </c>
      <c r="H408" s="37" t="s">
        <v>132</v>
      </c>
      <c r="I408" s="37" t="s">
        <v>127</v>
      </c>
      <c r="J408" s="37" t="s">
        <v>37</v>
      </c>
      <c r="K408" s="38">
        <v>0.16600000000000001</v>
      </c>
      <c r="L408" s="39"/>
      <c r="M408" s="37" t="s">
        <v>117</v>
      </c>
      <c r="N408" s="40">
        <v>0.16600000000000001</v>
      </c>
      <c r="O408" s="38">
        <v>0.16600000000000001</v>
      </c>
      <c r="P408" s="39"/>
      <c r="Q408" s="39"/>
      <c r="R408" s="40">
        <f>N408</f>
        <v>0.16600000000000001</v>
      </c>
      <c r="S408" s="39"/>
      <c r="T408" s="39"/>
      <c r="U408" s="39"/>
      <c r="V408" s="8">
        <f t="shared" si="6"/>
        <v>2023</v>
      </c>
    </row>
    <row r="409" spans="1:22" hidden="1" x14ac:dyDescent="0.25">
      <c r="A409" s="36">
        <v>44986</v>
      </c>
      <c r="B409" s="37" t="s">
        <v>16</v>
      </c>
      <c r="C409" s="37" t="s">
        <v>108</v>
      </c>
      <c r="D409" s="37" t="s">
        <v>61</v>
      </c>
      <c r="E409" s="37" t="s">
        <v>5</v>
      </c>
      <c r="F409" s="37" t="s">
        <v>131</v>
      </c>
      <c r="G409" s="37" t="s">
        <v>61</v>
      </c>
      <c r="H409" s="37" t="s">
        <v>132</v>
      </c>
      <c r="I409" s="37" t="s">
        <v>127</v>
      </c>
      <c r="J409" s="37" t="s">
        <v>34</v>
      </c>
      <c r="K409" s="38">
        <v>43.337885</v>
      </c>
      <c r="L409" s="39"/>
      <c r="M409" s="37" t="s">
        <v>117</v>
      </c>
      <c r="N409" s="40">
        <v>9.3960000000000008</v>
      </c>
      <c r="O409" s="38">
        <v>9.3303879999999992</v>
      </c>
      <c r="P409" s="38">
        <v>2.7078999999999999E-2</v>
      </c>
      <c r="Q409" s="38">
        <v>3.8433000000000002E-2</v>
      </c>
      <c r="R409" s="40">
        <v>9.3960000000000008</v>
      </c>
      <c r="S409" s="38">
        <v>9.3303879999999992</v>
      </c>
      <c r="T409" s="38">
        <v>2.7078999999999999E-2</v>
      </c>
      <c r="U409" s="38">
        <v>3.8433000000000002E-2</v>
      </c>
      <c r="V409" s="8">
        <f t="shared" si="6"/>
        <v>2023</v>
      </c>
    </row>
    <row r="410" spans="1:22" hidden="1" x14ac:dyDescent="0.25">
      <c r="A410" s="36">
        <v>44986</v>
      </c>
      <c r="B410" s="37" t="s">
        <v>19</v>
      </c>
      <c r="C410" s="37" t="s">
        <v>108</v>
      </c>
      <c r="D410" s="37" t="s">
        <v>61</v>
      </c>
      <c r="E410" s="37" t="s">
        <v>5</v>
      </c>
      <c r="F410" s="37" t="s">
        <v>131</v>
      </c>
      <c r="G410" s="37" t="s">
        <v>61</v>
      </c>
      <c r="H410" s="37" t="s">
        <v>132</v>
      </c>
      <c r="I410" s="37" t="s">
        <v>127</v>
      </c>
      <c r="J410" s="37" t="s">
        <v>34</v>
      </c>
      <c r="K410" s="38">
        <v>275.86779799999999</v>
      </c>
      <c r="L410" s="39"/>
      <c r="M410" s="37" t="s">
        <v>117</v>
      </c>
      <c r="N410" s="40">
        <v>49.999000000000002</v>
      </c>
      <c r="O410" s="38">
        <v>49.945377999999998</v>
      </c>
      <c r="P410" s="38">
        <v>2.5697000000000001E-2</v>
      </c>
      <c r="Q410" s="38">
        <v>2.8051E-2</v>
      </c>
      <c r="R410" s="40">
        <v>49.999000000000002</v>
      </c>
      <c r="S410" s="38">
        <v>49.945377999999998</v>
      </c>
      <c r="T410" s="38">
        <v>2.5697000000000001E-2</v>
      </c>
      <c r="U410" s="38">
        <v>2.8051E-2</v>
      </c>
      <c r="V410" s="8">
        <f t="shared" si="6"/>
        <v>2023</v>
      </c>
    </row>
    <row r="411" spans="1:22" hidden="1" x14ac:dyDescent="0.25">
      <c r="A411" s="36">
        <v>45017</v>
      </c>
      <c r="B411" s="37" t="s">
        <v>11</v>
      </c>
      <c r="C411" s="37" t="s">
        <v>108</v>
      </c>
      <c r="D411" s="37" t="s">
        <v>61</v>
      </c>
      <c r="E411" s="37" t="s">
        <v>5</v>
      </c>
      <c r="F411" s="37" t="s">
        <v>131</v>
      </c>
      <c r="G411" s="37" t="s">
        <v>61</v>
      </c>
      <c r="H411" s="37" t="s">
        <v>132</v>
      </c>
      <c r="I411" s="37" t="s">
        <v>127</v>
      </c>
      <c r="J411" s="37" t="s">
        <v>34</v>
      </c>
      <c r="K411" s="38">
        <v>32.354351000000001</v>
      </c>
      <c r="L411" s="39"/>
      <c r="M411" s="37" t="s">
        <v>117</v>
      </c>
      <c r="N411" s="40">
        <v>7.5720000000000001</v>
      </c>
      <c r="O411" s="38">
        <v>7.4693009999999997</v>
      </c>
      <c r="P411" s="38">
        <v>0.102134</v>
      </c>
      <c r="Q411" s="38">
        <v>9.3400000000000004E-4</v>
      </c>
      <c r="R411" s="40">
        <v>7.5720000000000001</v>
      </c>
      <c r="S411" s="38">
        <v>7.4693009999999997</v>
      </c>
      <c r="T411" s="38">
        <v>0.102134</v>
      </c>
      <c r="U411" s="38">
        <v>9.3400000000000004E-4</v>
      </c>
      <c r="V411" s="8">
        <f t="shared" si="6"/>
        <v>2023</v>
      </c>
    </row>
    <row r="412" spans="1:22" hidden="1" x14ac:dyDescent="0.25">
      <c r="A412" s="36">
        <v>45017</v>
      </c>
      <c r="B412" s="37" t="s">
        <v>12</v>
      </c>
      <c r="C412" s="37" t="s">
        <v>108</v>
      </c>
      <c r="D412" s="37" t="s">
        <v>61</v>
      </c>
      <c r="E412" s="37" t="s">
        <v>5</v>
      </c>
      <c r="F412" s="37" t="s">
        <v>131</v>
      </c>
      <c r="G412" s="37" t="s">
        <v>61</v>
      </c>
      <c r="H412" s="37" t="s">
        <v>132</v>
      </c>
      <c r="I412" s="37" t="s">
        <v>127</v>
      </c>
      <c r="J412" s="37" t="s">
        <v>35</v>
      </c>
      <c r="K412" s="38">
        <v>550</v>
      </c>
      <c r="L412" s="39"/>
      <c r="M412" s="37" t="s">
        <v>117</v>
      </c>
      <c r="N412" s="40">
        <v>5.2320000000000002</v>
      </c>
      <c r="O412" s="38">
        <v>5.1609489999999996</v>
      </c>
      <c r="P412" s="38">
        <v>7.0569999999999994E-2</v>
      </c>
      <c r="Q412" s="38">
        <v>6.4499999999999996E-4</v>
      </c>
      <c r="R412" s="40">
        <v>5.2320000000000002</v>
      </c>
      <c r="S412" s="38">
        <v>5.1609489999999996</v>
      </c>
      <c r="T412" s="38">
        <v>7.0569999999999994E-2</v>
      </c>
      <c r="U412" s="38">
        <v>6.4499999999999996E-4</v>
      </c>
      <c r="V412" s="8">
        <f t="shared" si="6"/>
        <v>2023</v>
      </c>
    </row>
    <row r="413" spans="1:22" hidden="1" x14ac:dyDescent="0.25">
      <c r="A413" s="36">
        <v>45017</v>
      </c>
      <c r="B413" s="37" t="s">
        <v>21</v>
      </c>
      <c r="C413" s="37" t="s">
        <v>108</v>
      </c>
      <c r="D413" s="37" t="s">
        <v>61</v>
      </c>
      <c r="E413" s="37" t="s">
        <v>5</v>
      </c>
      <c r="F413" s="37" t="s">
        <v>131</v>
      </c>
      <c r="G413" s="37" t="s">
        <v>61</v>
      </c>
      <c r="H413" s="37" t="s">
        <v>132</v>
      </c>
      <c r="I413" s="37" t="s">
        <v>127</v>
      </c>
      <c r="J413" s="37" t="s">
        <v>37</v>
      </c>
      <c r="K413" s="38">
        <v>0.16600000000000001</v>
      </c>
      <c r="L413" s="39"/>
      <c r="M413" s="37" t="s">
        <v>117</v>
      </c>
      <c r="N413" s="40">
        <v>0.16600000000000001</v>
      </c>
      <c r="O413" s="38">
        <v>0.16600000000000001</v>
      </c>
      <c r="P413" s="39"/>
      <c r="Q413" s="39"/>
      <c r="R413" s="40">
        <f>N413</f>
        <v>0.16600000000000001</v>
      </c>
      <c r="S413" s="39"/>
      <c r="T413" s="39"/>
      <c r="U413" s="39"/>
      <c r="V413" s="8">
        <f t="shared" si="6"/>
        <v>2023</v>
      </c>
    </row>
    <row r="414" spans="1:22" hidden="1" x14ac:dyDescent="0.25">
      <c r="A414" s="36">
        <v>45017</v>
      </c>
      <c r="B414" s="37" t="s">
        <v>16</v>
      </c>
      <c r="C414" s="37" t="s">
        <v>108</v>
      </c>
      <c r="D414" s="37" t="s">
        <v>61</v>
      </c>
      <c r="E414" s="37" t="s">
        <v>5</v>
      </c>
      <c r="F414" s="37" t="s">
        <v>131</v>
      </c>
      <c r="G414" s="37" t="s">
        <v>61</v>
      </c>
      <c r="H414" s="37" t="s">
        <v>132</v>
      </c>
      <c r="I414" s="37" t="s">
        <v>127</v>
      </c>
      <c r="J414" s="37" t="s">
        <v>34</v>
      </c>
      <c r="K414" s="38">
        <v>49.529010999999997</v>
      </c>
      <c r="L414" s="39"/>
      <c r="M414" s="37" t="s">
        <v>117</v>
      </c>
      <c r="N414" s="40">
        <v>10.738</v>
      </c>
      <c r="O414" s="38">
        <v>10.663301000000001</v>
      </c>
      <c r="P414" s="38">
        <v>3.0948E-2</v>
      </c>
      <c r="Q414" s="38">
        <v>4.3923999999999998E-2</v>
      </c>
      <c r="R414" s="40">
        <v>10.738</v>
      </c>
      <c r="S414" s="38">
        <v>10.663301000000001</v>
      </c>
      <c r="T414" s="38">
        <v>3.0948E-2</v>
      </c>
      <c r="U414" s="38">
        <v>4.3923999999999998E-2</v>
      </c>
      <c r="V414" s="8">
        <f t="shared" si="6"/>
        <v>2023</v>
      </c>
    </row>
    <row r="415" spans="1:22" hidden="1" x14ac:dyDescent="0.25">
      <c r="A415" s="36">
        <v>45017</v>
      </c>
      <c r="B415" s="37" t="s">
        <v>19</v>
      </c>
      <c r="C415" s="37" t="s">
        <v>108</v>
      </c>
      <c r="D415" s="37" t="s">
        <v>61</v>
      </c>
      <c r="E415" s="37" t="s">
        <v>5</v>
      </c>
      <c r="F415" s="37" t="s">
        <v>131</v>
      </c>
      <c r="G415" s="37" t="s">
        <v>61</v>
      </c>
      <c r="H415" s="37" t="s">
        <v>132</v>
      </c>
      <c r="I415" s="37" t="s">
        <v>127</v>
      </c>
      <c r="J415" s="37" t="s">
        <v>34</v>
      </c>
      <c r="K415" s="38">
        <v>258.54729800000001</v>
      </c>
      <c r="L415" s="39"/>
      <c r="M415" s="37" t="s">
        <v>117</v>
      </c>
      <c r="N415" s="40">
        <v>46.86</v>
      </c>
      <c r="O415" s="38">
        <v>46.809531999999997</v>
      </c>
      <c r="P415" s="38">
        <v>2.4084000000000001E-2</v>
      </c>
      <c r="Q415" s="38">
        <v>2.6290000000000001E-2</v>
      </c>
      <c r="R415" s="40">
        <v>46.86</v>
      </c>
      <c r="S415" s="38">
        <v>46.809531999999997</v>
      </c>
      <c r="T415" s="38">
        <v>2.4084000000000001E-2</v>
      </c>
      <c r="U415" s="38">
        <v>2.6290000000000001E-2</v>
      </c>
      <c r="V415" s="8">
        <f t="shared" si="6"/>
        <v>2023</v>
      </c>
    </row>
    <row r="416" spans="1:22" hidden="1" x14ac:dyDescent="0.25">
      <c r="A416" s="36">
        <v>45017</v>
      </c>
      <c r="B416" s="37" t="s">
        <v>20</v>
      </c>
      <c r="C416" s="37" t="s">
        <v>108</v>
      </c>
      <c r="D416" s="37" t="s">
        <v>61</v>
      </c>
      <c r="E416" s="37" t="s">
        <v>5</v>
      </c>
      <c r="F416" s="37" t="s">
        <v>131</v>
      </c>
      <c r="G416" s="37" t="s">
        <v>61</v>
      </c>
      <c r="H416" s="37" t="s">
        <v>132</v>
      </c>
      <c r="I416" s="37" t="s">
        <v>127</v>
      </c>
      <c r="J416" s="37" t="s">
        <v>34</v>
      </c>
      <c r="K416" s="38">
        <v>18.779793000000002</v>
      </c>
      <c r="L416" s="39"/>
      <c r="M416" s="37" t="s">
        <v>117</v>
      </c>
      <c r="N416" s="40">
        <v>4.0449999999999999</v>
      </c>
      <c r="O416" s="38">
        <v>4.0286660000000003</v>
      </c>
      <c r="P416" s="38">
        <v>1.0496E-2</v>
      </c>
      <c r="Q416" s="38">
        <v>5.7289999999999997E-3</v>
      </c>
      <c r="R416" s="40">
        <v>4.0449999999999999</v>
      </c>
      <c r="S416" s="38">
        <v>4.0286660000000003</v>
      </c>
      <c r="T416" s="38">
        <v>1.0496E-2</v>
      </c>
      <c r="U416" s="38">
        <v>5.7289999999999997E-3</v>
      </c>
      <c r="V416" s="8">
        <f t="shared" si="6"/>
        <v>2023</v>
      </c>
    </row>
    <row r="417" spans="1:22" hidden="1" x14ac:dyDescent="0.25">
      <c r="A417" s="36">
        <v>45047</v>
      </c>
      <c r="B417" s="37" t="s">
        <v>11</v>
      </c>
      <c r="C417" s="37" t="s">
        <v>108</v>
      </c>
      <c r="D417" s="37" t="s">
        <v>61</v>
      </c>
      <c r="E417" s="37" t="s">
        <v>5</v>
      </c>
      <c r="F417" s="37" t="s">
        <v>131</v>
      </c>
      <c r="G417" s="37" t="s">
        <v>61</v>
      </c>
      <c r="H417" s="37" t="s">
        <v>132</v>
      </c>
      <c r="I417" s="37" t="s">
        <v>127</v>
      </c>
      <c r="J417" s="37" t="s">
        <v>34</v>
      </c>
      <c r="K417" s="38">
        <v>51.010942999999997</v>
      </c>
      <c r="L417" s="39"/>
      <c r="M417" s="37" t="s">
        <v>117</v>
      </c>
      <c r="N417" s="40">
        <v>11.939</v>
      </c>
      <c r="O417" s="38">
        <v>11.776346999999999</v>
      </c>
      <c r="P417" s="38">
        <v>0.161028</v>
      </c>
      <c r="Q417" s="38">
        <v>1.472E-3</v>
      </c>
      <c r="R417" s="40">
        <v>11.939</v>
      </c>
      <c r="S417" s="38">
        <v>11.776346999999999</v>
      </c>
      <c r="T417" s="38">
        <v>0.161028</v>
      </c>
      <c r="U417" s="38">
        <v>1.472E-3</v>
      </c>
      <c r="V417" s="8">
        <f t="shared" si="6"/>
        <v>2023</v>
      </c>
    </row>
    <row r="418" spans="1:22" hidden="1" x14ac:dyDescent="0.25">
      <c r="A418" s="36">
        <v>45047</v>
      </c>
      <c r="B418" s="37" t="s">
        <v>12</v>
      </c>
      <c r="C418" s="37" t="s">
        <v>108</v>
      </c>
      <c r="D418" s="37" t="s">
        <v>61</v>
      </c>
      <c r="E418" s="37" t="s">
        <v>5</v>
      </c>
      <c r="F418" s="37" t="s">
        <v>131</v>
      </c>
      <c r="G418" s="37" t="s">
        <v>61</v>
      </c>
      <c r="H418" s="37" t="s">
        <v>132</v>
      </c>
      <c r="I418" s="37" t="s">
        <v>127</v>
      </c>
      <c r="J418" s="37" t="s">
        <v>35</v>
      </c>
      <c r="K418" s="38">
        <v>403</v>
      </c>
      <c r="L418" s="39"/>
      <c r="M418" s="37" t="s">
        <v>117</v>
      </c>
      <c r="N418" s="40">
        <v>3.8340000000000001</v>
      </c>
      <c r="O418" s="38">
        <v>3.781568</v>
      </c>
      <c r="P418" s="38">
        <v>5.1708999999999998E-2</v>
      </c>
      <c r="Q418" s="38">
        <v>4.73E-4</v>
      </c>
      <c r="R418" s="40">
        <v>3.8340000000000001</v>
      </c>
      <c r="S418" s="38">
        <v>3.781568</v>
      </c>
      <c r="T418" s="38">
        <v>5.1708999999999998E-2</v>
      </c>
      <c r="U418" s="38">
        <v>4.73E-4</v>
      </c>
      <c r="V418" s="8">
        <f t="shared" si="6"/>
        <v>2023</v>
      </c>
    </row>
    <row r="419" spans="1:22" hidden="1" x14ac:dyDescent="0.25">
      <c r="A419" s="36">
        <v>45047</v>
      </c>
      <c r="B419" s="37" t="s">
        <v>21</v>
      </c>
      <c r="C419" s="37" t="s">
        <v>108</v>
      </c>
      <c r="D419" s="37" t="s">
        <v>61</v>
      </c>
      <c r="E419" s="37" t="s">
        <v>5</v>
      </c>
      <c r="F419" s="37" t="s">
        <v>131</v>
      </c>
      <c r="G419" s="37" t="s">
        <v>61</v>
      </c>
      <c r="H419" s="37" t="s">
        <v>132</v>
      </c>
      <c r="I419" s="37" t="s">
        <v>127</v>
      </c>
      <c r="J419" s="37" t="s">
        <v>37</v>
      </c>
      <c r="K419" s="38">
        <v>0.16600000000000001</v>
      </c>
      <c r="L419" s="39"/>
      <c r="M419" s="37" t="s">
        <v>117</v>
      </c>
      <c r="N419" s="40">
        <v>0.16600000000000001</v>
      </c>
      <c r="O419" s="38">
        <v>0.16600000000000001</v>
      </c>
      <c r="P419" s="39"/>
      <c r="Q419" s="39"/>
      <c r="R419" s="40">
        <f>N419</f>
        <v>0.16600000000000001</v>
      </c>
      <c r="S419" s="39"/>
      <c r="T419" s="39"/>
      <c r="U419" s="39"/>
      <c r="V419" s="8">
        <f t="shared" si="6"/>
        <v>2023</v>
      </c>
    </row>
    <row r="420" spans="1:22" hidden="1" x14ac:dyDescent="0.25">
      <c r="A420" s="36">
        <v>45047</v>
      </c>
      <c r="B420" s="37" t="s">
        <v>16</v>
      </c>
      <c r="C420" s="37" t="s">
        <v>108</v>
      </c>
      <c r="D420" s="37" t="s">
        <v>61</v>
      </c>
      <c r="E420" s="37" t="s">
        <v>5</v>
      </c>
      <c r="F420" s="37" t="s">
        <v>131</v>
      </c>
      <c r="G420" s="37" t="s">
        <v>61</v>
      </c>
      <c r="H420" s="37" t="s">
        <v>132</v>
      </c>
      <c r="I420" s="37" t="s">
        <v>127</v>
      </c>
      <c r="J420" s="37" t="s">
        <v>34</v>
      </c>
      <c r="K420" s="38">
        <v>38.538845999999999</v>
      </c>
      <c r="L420" s="39"/>
      <c r="M420" s="37" t="s">
        <v>117</v>
      </c>
      <c r="N420" s="40">
        <v>8.3550000000000004</v>
      </c>
      <c r="O420" s="38">
        <v>8.2971839999999997</v>
      </c>
      <c r="P420" s="38">
        <v>2.4080000000000001E-2</v>
      </c>
      <c r="Q420" s="38">
        <v>3.4176999999999999E-2</v>
      </c>
      <c r="R420" s="40">
        <v>8.3550000000000004</v>
      </c>
      <c r="S420" s="38">
        <v>8.2971839999999997</v>
      </c>
      <c r="T420" s="38">
        <v>2.4080000000000001E-2</v>
      </c>
      <c r="U420" s="38">
        <v>3.4176999999999999E-2</v>
      </c>
      <c r="V420" s="8">
        <f t="shared" si="6"/>
        <v>2023</v>
      </c>
    </row>
    <row r="421" spans="1:22" hidden="1" x14ac:dyDescent="0.25">
      <c r="A421" s="36">
        <v>45047</v>
      </c>
      <c r="B421" s="37" t="s">
        <v>19</v>
      </c>
      <c r="C421" s="37" t="s">
        <v>108</v>
      </c>
      <c r="D421" s="37" t="s">
        <v>61</v>
      </c>
      <c r="E421" s="37" t="s">
        <v>5</v>
      </c>
      <c r="F421" s="37" t="s">
        <v>131</v>
      </c>
      <c r="G421" s="37" t="s">
        <v>61</v>
      </c>
      <c r="H421" s="37" t="s">
        <v>132</v>
      </c>
      <c r="I421" s="37" t="s">
        <v>127</v>
      </c>
      <c r="J421" s="37" t="s">
        <v>34</v>
      </c>
      <c r="K421" s="38">
        <v>229.70910499999999</v>
      </c>
      <c r="L421" s="39"/>
      <c r="M421" s="37" t="s">
        <v>117</v>
      </c>
      <c r="N421" s="40">
        <v>41.633000000000003</v>
      </c>
      <c r="O421" s="38">
        <v>41.588428</v>
      </c>
      <c r="P421" s="38">
        <v>2.1398E-2</v>
      </c>
      <c r="Q421" s="38">
        <v>2.3356999999999999E-2</v>
      </c>
      <c r="R421" s="40">
        <v>41.633000000000003</v>
      </c>
      <c r="S421" s="38">
        <v>41.588428</v>
      </c>
      <c r="T421" s="38">
        <v>2.1398E-2</v>
      </c>
      <c r="U421" s="38">
        <v>2.3356999999999999E-2</v>
      </c>
      <c r="V421" s="8">
        <f t="shared" si="6"/>
        <v>2023</v>
      </c>
    </row>
    <row r="422" spans="1:22" hidden="1" x14ac:dyDescent="0.25">
      <c r="A422" s="36">
        <v>45078</v>
      </c>
      <c r="B422" s="37" t="s">
        <v>11</v>
      </c>
      <c r="C422" s="37" t="s">
        <v>108</v>
      </c>
      <c r="D422" s="37" t="s">
        <v>61</v>
      </c>
      <c r="E422" s="37" t="s">
        <v>5</v>
      </c>
      <c r="F422" s="37" t="s">
        <v>131</v>
      </c>
      <c r="G422" s="37" t="s">
        <v>61</v>
      </c>
      <c r="H422" s="37" t="s">
        <v>132</v>
      </c>
      <c r="I422" s="37" t="s">
        <v>127</v>
      </c>
      <c r="J422" s="37" t="s">
        <v>34</v>
      </c>
      <c r="K422" s="38">
        <v>42.353309000000003</v>
      </c>
      <c r="L422" s="39"/>
      <c r="M422" s="37" t="s">
        <v>117</v>
      </c>
      <c r="N422" s="40">
        <v>9.9130000000000003</v>
      </c>
      <c r="O422" s="38">
        <v>9.7776530000000008</v>
      </c>
      <c r="P422" s="38">
        <v>0.13369800000000001</v>
      </c>
      <c r="Q422" s="38">
        <v>1.222E-3</v>
      </c>
      <c r="R422" s="40">
        <v>9.9130000000000003</v>
      </c>
      <c r="S422" s="38">
        <v>9.7776530000000008</v>
      </c>
      <c r="T422" s="38">
        <v>0.13369800000000001</v>
      </c>
      <c r="U422" s="38">
        <v>1.222E-3</v>
      </c>
      <c r="V422" s="8">
        <f t="shared" si="6"/>
        <v>2023</v>
      </c>
    </row>
    <row r="423" spans="1:22" hidden="1" x14ac:dyDescent="0.25">
      <c r="A423" s="36">
        <v>45078</v>
      </c>
      <c r="B423" s="37" t="s">
        <v>12</v>
      </c>
      <c r="C423" s="37" t="s">
        <v>108</v>
      </c>
      <c r="D423" s="37" t="s">
        <v>61</v>
      </c>
      <c r="E423" s="37" t="s">
        <v>5</v>
      </c>
      <c r="F423" s="37" t="s">
        <v>131</v>
      </c>
      <c r="G423" s="37" t="s">
        <v>61</v>
      </c>
      <c r="H423" s="37" t="s">
        <v>132</v>
      </c>
      <c r="I423" s="37" t="s">
        <v>127</v>
      </c>
      <c r="J423" s="37" t="s">
        <v>35</v>
      </c>
      <c r="K423" s="38">
        <v>548</v>
      </c>
      <c r="L423" s="39"/>
      <c r="M423" s="37" t="s">
        <v>117</v>
      </c>
      <c r="N423" s="40">
        <v>5.2130000000000001</v>
      </c>
      <c r="O423" s="38">
        <v>5.142182</v>
      </c>
      <c r="P423" s="38">
        <v>7.0313000000000001E-2</v>
      </c>
      <c r="Q423" s="38">
        <v>6.4300000000000002E-4</v>
      </c>
      <c r="R423" s="40">
        <v>5.2130000000000001</v>
      </c>
      <c r="S423" s="38">
        <v>5.142182</v>
      </c>
      <c r="T423" s="38">
        <v>7.0313000000000001E-2</v>
      </c>
      <c r="U423" s="38">
        <v>6.4300000000000002E-4</v>
      </c>
      <c r="V423" s="8">
        <f t="shared" si="6"/>
        <v>2023</v>
      </c>
    </row>
    <row r="424" spans="1:22" hidden="1" x14ac:dyDescent="0.25">
      <c r="A424" s="36">
        <v>45078</v>
      </c>
      <c r="B424" s="37" t="s">
        <v>21</v>
      </c>
      <c r="C424" s="37" t="s">
        <v>108</v>
      </c>
      <c r="D424" s="37" t="s">
        <v>61</v>
      </c>
      <c r="E424" s="37" t="s">
        <v>5</v>
      </c>
      <c r="F424" s="37" t="s">
        <v>131</v>
      </c>
      <c r="G424" s="37" t="s">
        <v>61</v>
      </c>
      <c r="H424" s="37" t="s">
        <v>132</v>
      </c>
      <c r="I424" s="37" t="s">
        <v>127</v>
      </c>
      <c r="J424" s="37" t="s">
        <v>37</v>
      </c>
      <c r="K424" s="38">
        <v>0.16600000000000001</v>
      </c>
      <c r="L424" s="39"/>
      <c r="M424" s="37" t="s">
        <v>117</v>
      </c>
      <c r="N424" s="40">
        <v>0.16600000000000001</v>
      </c>
      <c r="O424" s="38">
        <v>0.16600000000000001</v>
      </c>
      <c r="P424" s="39"/>
      <c r="Q424" s="39"/>
      <c r="R424" s="40">
        <f>N424</f>
        <v>0.16600000000000001</v>
      </c>
      <c r="S424" s="39"/>
      <c r="T424" s="39"/>
      <c r="U424" s="39"/>
      <c r="V424" s="8">
        <f t="shared" si="6"/>
        <v>2023</v>
      </c>
    </row>
    <row r="425" spans="1:22" hidden="1" x14ac:dyDescent="0.25">
      <c r="A425" s="36">
        <v>45078</v>
      </c>
      <c r="B425" s="37" t="s">
        <v>16</v>
      </c>
      <c r="C425" s="37" t="s">
        <v>108</v>
      </c>
      <c r="D425" s="37" t="s">
        <v>61</v>
      </c>
      <c r="E425" s="37" t="s">
        <v>5</v>
      </c>
      <c r="F425" s="37" t="s">
        <v>131</v>
      </c>
      <c r="G425" s="37" t="s">
        <v>61</v>
      </c>
      <c r="H425" s="37" t="s">
        <v>132</v>
      </c>
      <c r="I425" s="37" t="s">
        <v>127</v>
      </c>
      <c r="J425" s="37" t="s">
        <v>34</v>
      </c>
      <c r="K425" s="38">
        <v>39.564594999999997</v>
      </c>
      <c r="L425" s="39"/>
      <c r="M425" s="37" t="s">
        <v>117</v>
      </c>
      <c r="N425" s="40">
        <v>8.5779999999999994</v>
      </c>
      <c r="O425" s="38">
        <v>8.5180209999999992</v>
      </c>
      <c r="P425" s="38">
        <v>2.4721E-2</v>
      </c>
      <c r="Q425" s="38">
        <v>3.5087E-2</v>
      </c>
      <c r="R425" s="40">
        <v>8.5779999999999994</v>
      </c>
      <c r="S425" s="38">
        <v>8.5180209999999992</v>
      </c>
      <c r="T425" s="38">
        <v>2.4721E-2</v>
      </c>
      <c r="U425" s="38">
        <v>3.5087E-2</v>
      </c>
      <c r="V425" s="8">
        <f t="shared" si="6"/>
        <v>2023</v>
      </c>
    </row>
    <row r="426" spans="1:22" hidden="1" x14ac:dyDescent="0.25">
      <c r="A426" s="36">
        <v>45078</v>
      </c>
      <c r="B426" s="37" t="s">
        <v>19</v>
      </c>
      <c r="C426" s="37" t="s">
        <v>108</v>
      </c>
      <c r="D426" s="37" t="s">
        <v>61</v>
      </c>
      <c r="E426" s="37" t="s">
        <v>5</v>
      </c>
      <c r="F426" s="37" t="s">
        <v>131</v>
      </c>
      <c r="G426" s="37" t="s">
        <v>61</v>
      </c>
      <c r="H426" s="37" t="s">
        <v>132</v>
      </c>
      <c r="I426" s="37" t="s">
        <v>127</v>
      </c>
      <c r="J426" s="37" t="s">
        <v>34</v>
      </c>
      <c r="K426" s="38">
        <v>257.638778</v>
      </c>
      <c r="L426" s="39"/>
      <c r="M426" s="37" t="s">
        <v>117</v>
      </c>
      <c r="N426" s="40">
        <v>46.695</v>
      </c>
      <c r="O426" s="38">
        <v>46.645046000000001</v>
      </c>
      <c r="P426" s="38">
        <v>2.3998999999999999E-2</v>
      </c>
      <c r="Q426" s="38">
        <v>2.6197000000000002E-2</v>
      </c>
      <c r="R426" s="40">
        <v>46.695</v>
      </c>
      <c r="S426" s="38">
        <v>46.645046000000001</v>
      </c>
      <c r="T426" s="38">
        <v>2.3998999999999999E-2</v>
      </c>
      <c r="U426" s="38">
        <v>2.6197000000000002E-2</v>
      </c>
      <c r="V426" s="8">
        <f t="shared" si="6"/>
        <v>2023</v>
      </c>
    </row>
    <row r="427" spans="1:22" hidden="1" x14ac:dyDescent="0.25">
      <c r="A427" s="36">
        <v>45108</v>
      </c>
      <c r="B427" s="37" t="s">
        <v>11</v>
      </c>
      <c r="C427" s="37" t="s">
        <v>108</v>
      </c>
      <c r="D427" s="37" t="s">
        <v>61</v>
      </c>
      <c r="E427" s="37" t="s">
        <v>5</v>
      </c>
      <c r="F427" s="37" t="s">
        <v>131</v>
      </c>
      <c r="G427" s="37" t="s">
        <v>61</v>
      </c>
      <c r="H427" s="37" t="s">
        <v>132</v>
      </c>
      <c r="I427" s="37" t="s">
        <v>127</v>
      </c>
      <c r="J427" s="37" t="s">
        <v>34</v>
      </c>
      <c r="K427" s="38">
        <v>7.1537259999999998</v>
      </c>
      <c r="L427" s="39"/>
      <c r="M427" s="37" t="s">
        <v>117</v>
      </c>
      <c r="N427" s="40">
        <v>1.6739999999999999</v>
      </c>
      <c r="O427" s="38">
        <v>1.6515040000000001</v>
      </c>
      <c r="P427" s="38">
        <v>2.2582000000000001E-2</v>
      </c>
      <c r="Q427" s="38">
        <v>2.0599999999999999E-4</v>
      </c>
      <c r="R427" s="40">
        <v>1.6739999999999999</v>
      </c>
      <c r="S427" s="38">
        <v>1.6515040000000001</v>
      </c>
      <c r="T427" s="38">
        <v>2.2582000000000001E-2</v>
      </c>
      <c r="U427" s="38">
        <v>2.0599999999999999E-4</v>
      </c>
      <c r="V427" s="8">
        <f t="shared" si="6"/>
        <v>2023</v>
      </c>
    </row>
    <row r="428" spans="1:22" hidden="1" x14ac:dyDescent="0.25">
      <c r="A428" s="36">
        <v>45108</v>
      </c>
      <c r="B428" s="37" t="s">
        <v>12</v>
      </c>
      <c r="C428" s="37" t="s">
        <v>108</v>
      </c>
      <c r="D428" s="37" t="s">
        <v>61</v>
      </c>
      <c r="E428" s="37" t="s">
        <v>5</v>
      </c>
      <c r="F428" s="37" t="s">
        <v>131</v>
      </c>
      <c r="G428" s="37" t="s">
        <v>61</v>
      </c>
      <c r="H428" s="37" t="s">
        <v>132</v>
      </c>
      <c r="I428" s="37" t="s">
        <v>127</v>
      </c>
      <c r="J428" s="37" t="s">
        <v>35</v>
      </c>
      <c r="K428" s="38">
        <v>41</v>
      </c>
      <c r="L428" s="39"/>
      <c r="M428" s="37" t="s">
        <v>117</v>
      </c>
      <c r="N428" s="40">
        <v>0.39</v>
      </c>
      <c r="O428" s="38">
        <v>0.38472499999999998</v>
      </c>
      <c r="P428" s="38">
        <v>5.2610000000000001E-3</v>
      </c>
      <c r="Q428" s="38">
        <v>4.8000000000000001E-5</v>
      </c>
      <c r="R428" s="40">
        <v>0.39</v>
      </c>
      <c r="S428" s="38">
        <v>0.38472499999999998</v>
      </c>
      <c r="T428" s="38">
        <v>5.2610000000000001E-3</v>
      </c>
      <c r="U428" s="38">
        <v>4.8000000000000001E-5</v>
      </c>
      <c r="V428" s="8">
        <f t="shared" si="6"/>
        <v>2023</v>
      </c>
    </row>
    <row r="429" spans="1:22" hidden="1" x14ac:dyDescent="0.25">
      <c r="A429" s="36">
        <v>45108</v>
      </c>
      <c r="B429" s="37" t="s">
        <v>21</v>
      </c>
      <c r="C429" s="37" t="s">
        <v>108</v>
      </c>
      <c r="D429" s="37" t="s">
        <v>61</v>
      </c>
      <c r="E429" s="37" t="s">
        <v>5</v>
      </c>
      <c r="F429" s="37" t="s">
        <v>131</v>
      </c>
      <c r="G429" s="37" t="s">
        <v>61</v>
      </c>
      <c r="H429" s="37" t="s">
        <v>132</v>
      </c>
      <c r="I429" s="37" t="s">
        <v>127</v>
      </c>
      <c r="J429" s="37" t="s">
        <v>37</v>
      </c>
      <c r="K429" s="38">
        <v>0.16600000000000001</v>
      </c>
      <c r="L429" s="39"/>
      <c r="M429" s="37" t="s">
        <v>117</v>
      </c>
      <c r="N429" s="40">
        <v>0.16600000000000001</v>
      </c>
      <c r="O429" s="38">
        <v>0.16600000000000001</v>
      </c>
      <c r="P429" s="39"/>
      <c r="Q429" s="39"/>
      <c r="R429" s="40">
        <f>N429</f>
        <v>0.16600000000000001</v>
      </c>
      <c r="S429" s="39"/>
      <c r="T429" s="39"/>
      <c r="U429" s="39"/>
      <c r="V429" s="8">
        <f t="shared" si="6"/>
        <v>2023</v>
      </c>
    </row>
    <row r="430" spans="1:22" hidden="1" x14ac:dyDescent="0.25">
      <c r="A430" s="36">
        <v>45108</v>
      </c>
      <c r="B430" s="37" t="s">
        <v>16</v>
      </c>
      <c r="C430" s="37" t="s">
        <v>108</v>
      </c>
      <c r="D430" s="37" t="s">
        <v>61</v>
      </c>
      <c r="E430" s="37" t="s">
        <v>5</v>
      </c>
      <c r="F430" s="37" t="s">
        <v>131</v>
      </c>
      <c r="G430" s="37" t="s">
        <v>61</v>
      </c>
      <c r="H430" s="37" t="s">
        <v>132</v>
      </c>
      <c r="I430" s="37" t="s">
        <v>127</v>
      </c>
      <c r="J430" s="37" t="s">
        <v>34</v>
      </c>
      <c r="K430" s="38">
        <v>24.178363000000001</v>
      </c>
      <c r="L430" s="39"/>
      <c r="M430" s="37" t="s">
        <v>117</v>
      </c>
      <c r="N430" s="40">
        <v>5.242</v>
      </c>
      <c r="O430" s="38">
        <v>5.2054580000000001</v>
      </c>
      <c r="P430" s="38">
        <v>1.5108E-2</v>
      </c>
      <c r="Q430" s="38">
        <v>2.1441999999999999E-2</v>
      </c>
      <c r="R430" s="40">
        <v>5.242</v>
      </c>
      <c r="S430" s="38">
        <v>5.2054580000000001</v>
      </c>
      <c r="T430" s="38">
        <v>1.5108E-2</v>
      </c>
      <c r="U430" s="38">
        <v>2.1441999999999999E-2</v>
      </c>
      <c r="V430" s="8">
        <f t="shared" si="6"/>
        <v>2023</v>
      </c>
    </row>
    <row r="431" spans="1:22" hidden="1" x14ac:dyDescent="0.25">
      <c r="A431" s="36">
        <v>45108</v>
      </c>
      <c r="B431" s="37" t="s">
        <v>19</v>
      </c>
      <c r="C431" s="37" t="s">
        <v>108</v>
      </c>
      <c r="D431" s="37" t="s">
        <v>61</v>
      </c>
      <c r="E431" s="37" t="s">
        <v>5</v>
      </c>
      <c r="F431" s="37" t="s">
        <v>131</v>
      </c>
      <c r="G431" s="37" t="s">
        <v>61</v>
      </c>
      <c r="H431" s="37" t="s">
        <v>132</v>
      </c>
      <c r="I431" s="37" t="s">
        <v>127</v>
      </c>
      <c r="J431" s="37" t="s">
        <v>34</v>
      </c>
      <c r="K431" s="38">
        <v>229.70910499999999</v>
      </c>
      <c r="L431" s="39"/>
      <c r="M431" s="37" t="s">
        <v>117</v>
      </c>
      <c r="N431" s="40">
        <v>41.633000000000003</v>
      </c>
      <c r="O431" s="38">
        <v>41.588428</v>
      </c>
      <c r="P431" s="38">
        <v>2.1398E-2</v>
      </c>
      <c r="Q431" s="38">
        <v>2.3356999999999999E-2</v>
      </c>
      <c r="R431" s="40">
        <v>41.633000000000003</v>
      </c>
      <c r="S431" s="38">
        <v>41.588428</v>
      </c>
      <c r="T431" s="38">
        <v>2.1398E-2</v>
      </c>
      <c r="U431" s="38">
        <v>2.3356999999999999E-2</v>
      </c>
      <c r="V431" s="8">
        <f t="shared" si="6"/>
        <v>2023</v>
      </c>
    </row>
    <row r="432" spans="1:22" hidden="1" x14ac:dyDescent="0.25">
      <c r="A432" s="36">
        <v>45139</v>
      </c>
      <c r="B432" s="37" t="s">
        <v>11</v>
      </c>
      <c r="C432" s="37" t="s">
        <v>108</v>
      </c>
      <c r="D432" s="37" t="s">
        <v>61</v>
      </c>
      <c r="E432" s="37" t="s">
        <v>5</v>
      </c>
      <c r="F432" s="37" t="s">
        <v>131</v>
      </c>
      <c r="G432" s="37" t="s">
        <v>61</v>
      </c>
      <c r="H432" s="37" t="s">
        <v>132</v>
      </c>
      <c r="I432" s="37" t="s">
        <v>127</v>
      </c>
      <c r="J432" s="37" t="s">
        <v>34</v>
      </c>
      <c r="K432" s="38">
        <v>37.88223</v>
      </c>
      <c r="L432" s="39"/>
      <c r="M432" s="37" t="s">
        <v>117</v>
      </c>
      <c r="N432" s="40">
        <v>8.8659999999999997</v>
      </c>
      <c r="O432" s="38">
        <v>8.7454630000000009</v>
      </c>
      <c r="P432" s="38">
        <v>0.119584</v>
      </c>
      <c r="Q432" s="38">
        <v>1.093E-3</v>
      </c>
      <c r="R432" s="40">
        <v>8.8659999999999997</v>
      </c>
      <c r="S432" s="38">
        <v>8.7454630000000009</v>
      </c>
      <c r="T432" s="38">
        <v>0.119584</v>
      </c>
      <c r="U432" s="38">
        <v>1.093E-3</v>
      </c>
      <c r="V432" s="8">
        <f t="shared" si="6"/>
        <v>2023</v>
      </c>
    </row>
    <row r="433" spans="1:22" hidden="1" x14ac:dyDescent="0.25">
      <c r="A433" s="36">
        <v>45139</v>
      </c>
      <c r="B433" s="37" t="s">
        <v>12</v>
      </c>
      <c r="C433" s="37" t="s">
        <v>108</v>
      </c>
      <c r="D433" s="37" t="s">
        <v>61</v>
      </c>
      <c r="E433" s="37" t="s">
        <v>5</v>
      </c>
      <c r="F433" s="37" t="s">
        <v>131</v>
      </c>
      <c r="G433" s="37" t="s">
        <v>61</v>
      </c>
      <c r="H433" s="37" t="s">
        <v>132</v>
      </c>
      <c r="I433" s="37" t="s">
        <v>127</v>
      </c>
      <c r="J433" s="37" t="s">
        <v>35</v>
      </c>
      <c r="K433" s="38">
        <v>416</v>
      </c>
      <c r="L433" s="39"/>
      <c r="M433" s="37" t="s">
        <v>117</v>
      </c>
      <c r="N433" s="40">
        <v>3.9569999999999999</v>
      </c>
      <c r="O433" s="38">
        <v>3.9035540000000002</v>
      </c>
      <c r="P433" s="38">
        <v>5.3377000000000001E-2</v>
      </c>
      <c r="Q433" s="38">
        <v>4.8799999999999999E-4</v>
      </c>
      <c r="R433" s="40">
        <v>3.9569999999999999</v>
      </c>
      <c r="S433" s="38">
        <v>3.9035540000000002</v>
      </c>
      <c r="T433" s="38">
        <v>5.3377000000000001E-2</v>
      </c>
      <c r="U433" s="38">
        <v>4.8799999999999999E-4</v>
      </c>
      <c r="V433" s="8">
        <f t="shared" si="6"/>
        <v>2023</v>
      </c>
    </row>
    <row r="434" spans="1:22" hidden="1" x14ac:dyDescent="0.25">
      <c r="A434" s="36">
        <v>45139</v>
      </c>
      <c r="B434" s="37" t="s">
        <v>21</v>
      </c>
      <c r="C434" s="37" t="s">
        <v>108</v>
      </c>
      <c r="D434" s="37" t="s">
        <v>61</v>
      </c>
      <c r="E434" s="37" t="s">
        <v>5</v>
      </c>
      <c r="F434" s="37" t="s">
        <v>131</v>
      </c>
      <c r="G434" s="37" t="s">
        <v>61</v>
      </c>
      <c r="H434" s="37" t="s">
        <v>132</v>
      </c>
      <c r="I434" s="37" t="s">
        <v>127</v>
      </c>
      <c r="J434" s="37" t="s">
        <v>37</v>
      </c>
      <c r="K434" s="38">
        <v>0.16600000000000001</v>
      </c>
      <c r="L434" s="39"/>
      <c r="M434" s="37" t="s">
        <v>117</v>
      </c>
      <c r="N434" s="40">
        <v>0.16600000000000001</v>
      </c>
      <c r="O434" s="38">
        <v>0.16600000000000001</v>
      </c>
      <c r="P434" s="39"/>
      <c r="Q434" s="39"/>
      <c r="R434" s="40">
        <f>N434</f>
        <v>0.16600000000000001</v>
      </c>
      <c r="S434" s="39"/>
      <c r="T434" s="39"/>
      <c r="U434" s="39"/>
      <c r="V434" s="8">
        <f t="shared" si="6"/>
        <v>2023</v>
      </c>
    </row>
    <row r="435" spans="1:22" hidden="1" x14ac:dyDescent="0.25">
      <c r="A435" s="36">
        <v>45139</v>
      </c>
      <c r="B435" s="37" t="s">
        <v>16</v>
      </c>
      <c r="C435" s="37" t="s">
        <v>108</v>
      </c>
      <c r="D435" s="37" t="s">
        <v>61</v>
      </c>
      <c r="E435" s="37" t="s">
        <v>5</v>
      </c>
      <c r="F435" s="37" t="s">
        <v>131</v>
      </c>
      <c r="G435" s="37" t="s">
        <v>61</v>
      </c>
      <c r="H435" s="37" t="s">
        <v>132</v>
      </c>
      <c r="I435" s="37" t="s">
        <v>127</v>
      </c>
      <c r="J435" s="37" t="s">
        <v>34</v>
      </c>
      <c r="K435" s="38">
        <v>50.921098999999998</v>
      </c>
      <c r="L435" s="39"/>
      <c r="M435" s="37" t="s">
        <v>117</v>
      </c>
      <c r="N435" s="40">
        <v>11.04</v>
      </c>
      <c r="O435" s="38">
        <v>10.963009</v>
      </c>
      <c r="P435" s="38">
        <v>3.1816999999999998E-2</v>
      </c>
      <c r="Q435" s="38">
        <v>4.5157999999999997E-2</v>
      </c>
      <c r="R435" s="40">
        <v>11.04</v>
      </c>
      <c r="S435" s="38">
        <v>10.963009</v>
      </c>
      <c r="T435" s="38">
        <v>3.1816999999999998E-2</v>
      </c>
      <c r="U435" s="38">
        <v>4.5157999999999997E-2</v>
      </c>
      <c r="V435" s="8">
        <f t="shared" si="6"/>
        <v>2023</v>
      </c>
    </row>
    <row r="436" spans="1:22" hidden="1" x14ac:dyDescent="0.25">
      <c r="A436" s="36">
        <v>45139</v>
      </c>
      <c r="B436" s="37" t="s">
        <v>19</v>
      </c>
      <c r="C436" s="37" t="s">
        <v>108</v>
      </c>
      <c r="D436" s="37" t="s">
        <v>61</v>
      </c>
      <c r="E436" s="37" t="s">
        <v>5</v>
      </c>
      <c r="F436" s="37" t="s">
        <v>131</v>
      </c>
      <c r="G436" s="37" t="s">
        <v>61</v>
      </c>
      <c r="H436" s="37" t="s">
        <v>132</v>
      </c>
      <c r="I436" s="37" t="s">
        <v>127</v>
      </c>
      <c r="J436" s="37" t="s">
        <v>34</v>
      </c>
      <c r="K436" s="38">
        <v>216.16922099999999</v>
      </c>
      <c r="L436" s="39"/>
      <c r="M436" s="37" t="s">
        <v>117</v>
      </c>
      <c r="N436" s="40">
        <v>39.179000000000002</v>
      </c>
      <c r="O436" s="38">
        <v>39.137056000000001</v>
      </c>
      <c r="P436" s="38">
        <v>2.0136000000000001E-2</v>
      </c>
      <c r="Q436" s="38">
        <v>2.198E-2</v>
      </c>
      <c r="R436" s="40">
        <v>39.179000000000002</v>
      </c>
      <c r="S436" s="38">
        <v>39.137056000000001</v>
      </c>
      <c r="T436" s="38">
        <v>2.0136000000000001E-2</v>
      </c>
      <c r="U436" s="38">
        <v>2.198E-2</v>
      </c>
      <c r="V436" s="8">
        <f t="shared" ref="V436:V499" si="7">YEAR(A436)</f>
        <v>2023</v>
      </c>
    </row>
    <row r="437" spans="1:22" hidden="1" x14ac:dyDescent="0.25">
      <c r="A437" s="36">
        <v>45170</v>
      </c>
      <c r="B437" s="37" t="s">
        <v>11</v>
      </c>
      <c r="C437" s="37" t="s">
        <v>108</v>
      </c>
      <c r="D437" s="37" t="s">
        <v>61</v>
      </c>
      <c r="E437" s="37" t="s">
        <v>5</v>
      </c>
      <c r="F437" s="37" t="s">
        <v>131</v>
      </c>
      <c r="G437" s="37" t="s">
        <v>61</v>
      </c>
      <c r="H437" s="37" t="s">
        <v>132</v>
      </c>
      <c r="I437" s="37" t="s">
        <v>127</v>
      </c>
      <c r="J437" s="37" t="s">
        <v>34</v>
      </c>
      <c r="K437" s="38">
        <v>17.681083999999998</v>
      </c>
      <c r="L437" s="39"/>
      <c r="M437" s="37" t="s">
        <v>117</v>
      </c>
      <c r="N437" s="40">
        <v>4.1379999999999999</v>
      </c>
      <c r="O437" s="38">
        <v>4.081842</v>
      </c>
      <c r="P437" s="38">
        <v>5.5814000000000002E-2</v>
      </c>
      <c r="Q437" s="38">
        <v>5.1000000000000004E-4</v>
      </c>
      <c r="R437" s="40">
        <v>4.1379999999999999</v>
      </c>
      <c r="S437" s="38">
        <v>4.081842</v>
      </c>
      <c r="T437" s="38">
        <v>5.5814000000000002E-2</v>
      </c>
      <c r="U437" s="38">
        <v>5.1000000000000004E-4</v>
      </c>
      <c r="V437" s="8">
        <f t="shared" si="7"/>
        <v>2023</v>
      </c>
    </row>
    <row r="438" spans="1:22" hidden="1" x14ac:dyDescent="0.25">
      <c r="A438" s="36">
        <v>45170</v>
      </c>
      <c r="B438" s="37" t="s">
        <v>12</v>
      </c>
      <c r="C438" s="37" t="s">
        <v>108</v>
      </c>
      <c r="D438" s="37" t="s">
        <v>61</v>
      </c>
      <c r="E438" s="37" t="s">
        <v>5</v>
      </c>
      <c r="F438" s="37" t="s">
        <v>131</v>
      </c>
      <c r="G438" s="37" t="s">
        <v>61</v>
      </c>
      <c r="H438" s="37" t="s">
        <v>132</v>
      </c>
      <c r="I438" s="37" t="s">
        <v>127</v>
      </c>
      <c r="J438" s="37" t="s">
        <v>35</v>
      </c>
      <c r="K438" s="38">
        <v>160</v>
      </c>
      <c r="L438" s="39"/>
      <c r="M438" s="37" t="s">
        <v>117</v>
      </c>
      <c r="N438" s="40">
        <v>1.522</v>
      </c>
      <c r="O438" s="38">
        <v>1.5013669999999999</v>
      </c>
      <c r="P438" s="38">
        <v>2.0528999999999999E-2</v>
      </c>
      <c r="Q438" s="38">
        <v>1.8799999999999999E-4</v>
      </c>
      <c r="R438" s="40">
        <v>1.522</v>
      </c>
      <c r="S438" s="38">
        <v>1.5013669999999999</v>
      </c>
      <c r="T438" s="38">
        <v>2.0528999999999999E-2</v>
      </c>
      <c r="U438" s="38">
        <v>1.8799999999999999E-4</v>
      </c>
      <c r="V438" s="8">
        <f t="shared" si="7"/>
        <v>2023</v>
      </c>
    </row>
    <row r="439" spans="1:22" hidden="1" x14ac:dyDescent="0.25">
      <c r="A439" s="36">
        <v>45170</v>
      </c>
      <c r="B439" s="37" t="s">
        <v>21</v>
      </c>
      <c r="C439" s="37" t="s">
        <v>108</v>
      </c>
      <c r="D439" s="37" t="s">
        <v>61</v>
      </c>
      <c r="E439" s="37" t="s">
        <v>5</v>
      </c>
      <c r="F439" s="37" t="s">
        <v>131</v>
      </c>
      <c r="G439" s="37" t="s">
        <v>61</v>
      </c>
      <c r="H439" s="37" t="s">
        <v>132</v>
      </c>
      <c r="I439" s="37" t="s">
        <v>127</v>
      </c>
      <c r="J439" s="37" t="s">
        <v>37</v>
      </c>
      <c r="K439" s="38">
        <v>0.16600000000000001</v>
      </c>
      <c r="L439" s="39"/>
      <c r="M439" s="37" t="s">
        <v>117</v>
      </c>
      <c r="N439" s="40">
        <v>0.16600000000000001</v>
      </c>
      <c r="O439" s="38">
        <v>0.16600000000000001</v>
      </c>
      <c r="P439" s="39"/>
      <c r="Q439" s="39"/>
      <c r="R439" s="40">
        <f>N439</f>
        <v>0.16600000000000001</v>
      </c>
      <c r="S439" s="39"/>
      <c r="T439" s="39"/>
      <c r="U439" s="39"/>
      <c r="V439" s="8">
        <f t="shared" si="7"/>
        <v>2023</v>
      </c>
    </row>
    <row r="440" spans="1:22" hidden="1" x14ac:dyDescent="0.25">
      <c r="A440" s="36">
        <v>45170</v>
      </c>
      <c r="B440" s="37" t="s">
        <v>16</v>
      </c>
      <c r="C440" s="37" t="s">
        <v>108</v>
      </c>
      <c r="D440" s="37" t="s">
        <v>61</v>
      </c>
      <c r="E440" s="37" t="s">
        <v>5</v>
      </c>
      <c r="F440" s="37" t="s">
        <v>131</v>
      </c>
      <c r="G440" s="37" t="s">
        <v>61</v>
      </c>
      <c r="H440" s="37" t="s">
        <v>132</v>
      </c>
      <c r="I440" s="37" t="s">
        <v>127</v>
      </c>
      <c r="J440" s="37" t="s">
        <v>34</v>
      </c>
      <c r="K440" s="38">
        <v>33.703173</v>
      </c>
      <c r="L440" s="39"/>
      <c r="M440" s="37" t="s">
        <v>117</v>
      </c>
      <c r="N440" s="40">
        <v>7.3070000000000004</v>
      </c>
      <c r="O440" s="38">
        <v>7.2560919999999998</v>
      </c>
      <c r="P440" s="38">
        <v>2.1059000000000001E-2</v>
      </c>
      <c r="Q440" s="38">
        <v>2.9888999999999999E-2</v>
      </c>
      <c r="R440" s="40">
        <v>7.3070000000000004</v>
      </c>
      <c r="S440" s="38">
        <v>7.2560919999999998</v>
      </c>
      <c r="T440" s="38">
        <v>2.1059000000000001E-2</v>
      </c>
      <c r="U440" s="38">
        <v>2.9888999999999999E-2</v>
      </c>
      <c r="V440" s="8">
        <f t="shared" si="7"/>
        <v>2023</v>
      </c>
    </row>
    <row r="441" spans="1:22" hidden="1" x14ac:dyDescent="0.25">
      <c r="A441" s="36">
        <v>45170</v>
      </c>
      <c r="B441" s="37" t="s">
        <v>19</v>
      </c>
      <c r="C441" s="37" t="s">
        <v>108</v>
      </c>
      <c r="D441" s="37" t="s">
        <v>61</v>
      </c>
      <c r="E441" s="37" t="s">
        <v>5</v>
      </c>
      <c r="F441" s="37" t="s">
        <v>131</v>
      </c>
      <c r="G441" s="37" t="s">
        <v>61</v>
      </c>
      <c r="H441" s="37" t="s">
        <v>132</v>
      </c>
      <c r="I441" s="37" t="s">
        <v>127</v>
      </c>
      <c r="J441" s="37" t="s">
        <v>34</v>
      </c>
      <c r="K441" s="38">
        <v>101.695661</v>
      </c>
      <c r="L441" s="39"/>
      <c r="M441" s="37" t="s">
        <v>117</v>
      </c>
      <c r="N441" s="40">
        <v>18.431999999999999</v>
      </c>
      <c r="O441" s="38">
        <v>18.411819999999999</v>
      </c>
      <c r="P441" s="38">
        <v>9.4730000000000005E-3</v>
      </c>
      <c r="Q441" s="38">
        <v>1.0340999999999999E-2</v>
      </c>
      <c r="R441" s="40">
        <v>18.431999999999999</v>
      </c>
      <c r="S441" s="38">
        <v>18.411819999999999</v>
      </c>
      <c r="T441" s="38">
        <v>9.4730000000000005E-3</v>
      </c>
      <c r="U441" s="38">
        <v>1.0340999999999999E-2</v>
      </c>
      <c r="V441" s="8">
        <f t="shared" si="7"/>
        <v>2023</v>
      </c>
    </row>
    <row r="442" spans="1:22" hidden="1" x14ac:dyDescent="0.25">
      <c r="A442" s="36">
        <v>45170</v>
      </c>
      <c r="B442" s="37" t="s">
        <v>20</v>
      </c>
      <c r="C442" s="37" t="s">
        <v>108</v>
      </c>
      <c r="D442" s="37" t="s">
        <v>61</v>
      </c>
      <c r="E442" s="37" t="s">
        <v>5</v>
      </c>
      <c r="F442" s="37" t="s">
        <v>131</v>
      </c>
      <c r="G442" s="37" t="s">
        <v>61</v>
      </c>
      <c r="H442" s="37" t="s">
        <v>132</v>
      </c>
      <c r="I442" s="37" t="s">
        <v>127</v>
      </c>
      <c r="J442" s="37" t="s">
        <v>34</v>
      </c>
      <c r="K442" s="38">
        <v>0.32020100000000001</v>
      </c>
      <c r="L442" s="39"/>
      <c r="M442" s="37" t="s">
        <v>117</v>
      </c>
      <c r="N442" s="40">
        <v>6.9000000000000006E-2</v>
      </c>
      <c r="O442" s="38">
        <v>6.8690000000000001E-2</v>
      </c>
      <c r="P442" s="38">
        <v>1.7899999999999999E-4</v>
      </c>
      <c r="Q442" s="38">
        <v>9.7999999999999997E-5</v>
      </c>
      <c r="R442" s="40">
        <v>6.9000000000000006E-2</v>
      </c>
      <c r="S442" s="38">
        <v>6.8690000000000001E-2</v>
      </c>
      <c r="T442" s="38">
        <v>1.7899999999999999E-4</v>
      </c>
      <c r="U442" s="38">
        <v>9.7999999999999997E-5</v>
      </c>
      <c r="V442" s="8">
        <f t="shared" si="7"/>
        <v>2023</v>
      </c>
    </row>
    <row r="443" spans="1:22" hidden="1" x14ac:dyDescent="0.25">
      <c r="A443" s="36">
        <v>45200</v>
      </c>
      <c r="B443" s="37" t="s">
        <v>11</v>
      </c>
      <c r="C443" s="37" t="s">
        <v>108</v>
      </c>
      <c r="D443" s="37" t="s">
        <v>61</v>
      </c>
      <c r="E443" s="37" t="s">
        <v>5</v>
      </c>
      <c r="F443" s="37" t="s">
        <v>131</v>
      </c>
      <c r="G443" s="37" t="s">
        <v>61</v>
      </c>
      <c r="H443" s="37" t="s">
        <v>132</v>
      </c>
      <c r="I443" s="37" t="s">
        <v>127</v>
      </c>
      <c r="J443" s="37" t="s">
        <v>34</v>
      </c>
      <c r="K443" s="38">
        <v>21.542470000000002</v>
      </c>
      <c r="L443" s="39"/>
      <c r="M443" s="37" t="s">
        <v>117</v>
      </c>
      <c r="N443" s="40">
        <v>5.0419999999999998</v>
      </c>
      <c r="O443" s="38">
        <v>4.9732779999999996</v>
      </c>
      <c r="P443" s="38">
        <v>6.8003999999999995E-2</v>
      </c>
      <c r="Q443" s="38">
        <v>6.2200000000000005E-4</v>
      </c>
      <c r="R443" s="40">
        <v>5.0419999999999998</v>
      </c>
      <c r="S443" s="38">
        <v>4.9732779999999996</v>
      </c>
      <c r="T443" s="38">
        <v>6.8003999999999995E-2</v>
      </c>
      <c r="U443" s="38">
        <v>6.2200000000000005E-4</v>
      </c>
      <c r="V443" s="8">
        <f t="shared" si="7"/>
        <v>2023</v>
      </c>
    </row>
    <row r="444" spans="1:22" hidden="1" x14ac:dyDescent="0.25">
      <c r="A444" s="36">
        <v>45200</v>
      </c>
      <c r="B444" s="37" t="s">
        <v>12</v>
      </c>
      <c r="C444" s="37" t="s">
        <v>108</v>
      </c>
      <c r="D444" s="37" t="s">
        <v>61</v>
      </c>
      <c r="E444" s="37" t="s">
        <v>5</v>
      </c>
      <c r="F444" s="37" t="s">
        <v>131</v>
      </c>
      <c r="G444" s="37" t="s">
        <v>61</v>
      </c>
      <c r="H444" s="37" t="s">
        <v>132</v>
      </c>
      <c r="I444" s="37" t="s">
        <v>127</v>
      </c>
      <c r="J444" s="37" t="s">
        <v>35</v>
      </c>
      <c r="K444" s="38">
        <v>310</v>
      </c>
      <c r="L444" s="39"/>
      <c r="M444" s="37" t="s">
        <v>117</v>
      </c>
      <c r="N444" s="40">
        <v>2.9489999999999998</v>
      </c>
      <c r="O444" s="38">
        <v>2.9088989999999999</v>
      </c>
      <c r="P444" s="38">
        <v>3.9775999999999999E-2</v>
      </c>
      <c r="Q444" s="38">
        <v>3.6400000000000001E-4</v>
      </c>
      <c r="R444" s="40">
        <v>2.9489999999999998</v>
      </c>
      <c r="S444" s="38">
        <v>2.9088989999999999</v>
      </c>
      <c r="T444" s="38">
        <v>3.9775999999999999E-2</v>
      </c>
      <c r="U444" s="38">
        <v>3.6400000000000001E-4</v>
      </c>
      <c r="V444" s="8">
        <f t="shared" si="7"/>
        <v>2023</v>
      </c>
    </row>
    <row r="445" spans="1:22" hidden="1" x14ac:dyDescent="0.25">
      <c r="A445" s="36">
        <v>45200</v>
      </c>
      <c r="B445" s="37" t="s">
        <v>21</v>
      </c>
      <c r="C445" s="37" t="s">
        <v>108</v>
      </c>
      <c r="D445" s="37" t="s">
        <v>61</v>
      </c>
      <c r="E445" s="37" t="s">
        <v>5</v>
      </c>
      <c r="F445" s="37" t="s">
        <v>131</v>
      </c>
      <c r="G445" s="37" t="s">
        <v>61</v>
      </c>
      <c r="H445" s="37" t="s">
        <v>132</v>
      </c>
      <c r="I445" s="37" t="s">
        <v>127</v>
      </c>
      <c r="J445" s="37" t="s">
        <v>37</v>
      </c>
      <c r="K445" s="38">
        <v>0.16600000000000001</v>
      </c>
      <c r="L445" s="39"/>
      <c r="M445" s="37" t="s">
        <v>117</v>
      </c>
      <c r="N445" s="40">
        <v>0.16600000000000001</v>
      </c>
      <c r="O445" s="38">
        <v>0.16600000000000001</v>
      </c>
      <c r="P445" s="39"/>
      <c r="Q445" s="39"/>
      <c r="R445" s="40">
        <f>N445</f>
        <v>0.16600000000000001</v>
      </c>
      <c r="S445" s="39"/>
      <c r="T445" s="39"/>
      <c r="U445" s="39"/>
      <c r="V445" s="8">
        <f t="shared" si="7"/>
        <v>2023</v>
      </c>
    </row>
    <row r="446" spans="1:22" hidden="1" x14ac:dyDescent="0.25">
      <c r="A446" s="36">
        <v>45200</v>
      </c>
      <c r="B446" s="37" t="s">
        <v>16</v>
      </c>
      <c r="C446" s="37" t="s">
        <v>108</v>
      </c>
      <c r="D446" s="37" t="s">
        <v>61</v>
      </c>
      <c r="E446" s="37" t="s">
        <v>5</v>
      </c>
      <c r="F446" s="37" t="s">
        <v>131</v>
      </c>
      <c r="G446" s="37" t="s">
        <v>61</v>
      </c>
      <c r="H446" s="37" t="s">
        <v>132</v>
      </c>
      <c r="I446" s="37" t="s">
        <v>127</v>
      </c>
      <c r="J446" s="37" t="s">
        <v>34</v>
      </c>
      <c r="K446" s="38">
        <v>41.909162999999999</v>
      </c>
      <c r="L446" s="39"/>
      <c r="M446" s="37" t="s">
        <v>117</v>
      </c>
      <c r="N446" s="40">
        <v>9.0860000000000003</v>
      </c>
      <c r="O446" s="38">
        <v>9.0227930000000001</v>
      </c>
      <c r="P446" s="38">
        <v>2.6186000000000001E-2</v>
      </c>
      <c r="Q446" s="38">
        <v>3.7165999999999998E-2</v>
      </c>
      <c r="R446" s="40">
        <v>9.0860000000000003</v>
      </c>
      <c r="S446" s="38">
        <v>9.0227930000000001</v>
      </c>
      <c r="T446" s="38">
        <v>2.6186000000000001E-2</v>
      </c>
      <c r="U446" s="38">
        <v>3.7165999999999998E-2</v>
      </c>
      <c r="V446" s="8">
        <f t="shared" si="7"/>
        <v>2023</v>
      </c>
    </row>
    <row r="447" spans="1:22" hidden="1" x14ac:dyDescent="0.25">
      <c r="A447" s="36">
        <v>45200</v>
      </c>
      <c r="B447" s="37" t="s">
        <v>19</v>
      </c>
      <c r="C447" s="37" t="s">
        <v>108</v>
      </c>
      <c r="D447" s="37" t="s">
        <v>61</v>
      </c>
      <c r="E447" s="37" t="s">
        <v>5</v>
      </c>
      <c r="F447" s="37" t="s">
        <v>131</v>
      </c>
      <c r="G447" s="37" t="s">
        <v>61</v>
      </c>
      <c r="H447" s="37" t="s">
        <v>132</v>
      </c>
      <c r="I447" s="37" t="s">
        <v>127</v>
      </c>
      <c r="J447" s="37" t="s">
        <v>34</v>
      </c>
      <c r="K447" s="38">
        <v>5.7441930000000001</v>
      </c>
      <c r="L447" s="39"/>
      <c r="M447" s="37" t="s">
        <v>117</v>
      </c>
      <c r="N447" s="40">
        <v>1.0409999999999999</v>
      </c>
      <c r="O447" s="38">
        <v>1.039976</v>
      </c>
      <c r="P447" s="38">
        <v>5.3499999999999999E-4</v>
      </c>
      <c r="Q447" s="38">
        <v>5.8399999999999999E-4</v>
      </c>
      <c r="R447" s="40">
        <v>1.0409999999999999</v>
      </c>
      <c r="S447" s="38">
        <v>1.039976</v>
      </c>
      <c r="T447" s="38">
        <v>5.3499999999999999E-4</v>
      </c>
      <c r="U447" s="38">
        <v>5.8399999999999999E-4</v>
      </c>
      <c r="V447" s="8">
        <f t="shared" si="7"/>
        <v>2023</v>
      </c>
    </row>
    <row r="448" spans="1:22" hidden="1" x14ac:dyDescent="0.25">
      <c r="A448" s="36">
        <v>45200</v>
      </c>
      <c r="B448" s="37" t="s">
        <v>20</v>
      </c>
      <c r="C448" s="37" t="s">
        <v>108</v>
      </c>
      <c r="D448" s="37" t="s">
        <v>61</v>
      </c>
      <c r="E448" s="37" t="s">
        <v>5</v>
      </c>
      <c r="F448" s="37" t="s">
        <v>131</v>
      </c>
      <c r="G448" s="37" t="s">
        <v>61</v>
      </c>
      <c r="H448" s="37" t="s">
        <v>132</v>
      </c>
      <c r="I448" s="37" t="s">
        <v>127</v>
      </c>
      <c r="J448" s="37" t="s">
        <v>34</v>
      </c>
      <c r="K448" s="38">
        <v>0.32020100000000001</v>
      </c>
      <c r="L448" s="42">
        <v>125.14</v>
      </c>
      <c r="M448" s="37" t="s">
        <v>117</v>
      </c>
      <c r="N448" s="40">
        <v>6.9000000000000006E-2</v>
      </c>
      <c r="O448" s="38">
        <v>6.8690000000000001E-2</v>
      </c>
      <c r="P448" s="38">
        <v>1.7899999999999999E-4</v>
      </c>
      <c r="Q448" s="38">
        <v>9.7999999999999997E-5</v>
      </c>
      <c r="R448" s="40">
        <v>6.9000000000000006E-2</v>
      </c>
      <c r="S448" s="38">
        <v>6.8690000000000001E-2</v>
      </c>
      <c r="T448" s="38">
        <v>1.7899999999999999E-4</v>
      </c>
      <c r="U448" s="38">
        <v>9.7999999999999997E-5</v>
      </c>
      <c r="V448" s="8">
        <f t="shared" si="7"/>
        <v>2023</v>
      </c>
    </row>
    <row r="449" spans="1:22" hidden="1" x14ac:dyDescent="0.25">
      <c r="A449" s="36">
        <v>45231</v>
      </c>
      <c r="B449" s="37" t="s">
        <v>11</v>
      </c>
      <c r="C449" s="37" t="s">
        <v>108</v>
      </c>
      <c r="D449" s="37" t="s">
        <v>61</v>
      </c>
      <c r="E449" s="37" t="s">
        <v>5</v>
      </c>
      <c r="F449" s="37" t="s">
        <v>131</v>
      </c>
      <c r="G449" s="37" t="s">
        <v>61</v>
      </c>
      <c r="H449" s="37" t="s">
        <v>132</v>
      </c>
      <c r="I449" s="37" t="s">
        <v>127</v>
      </c>
      <c r="J449" s="37" t="s">
        <v>34</v>
      </c>
      <c r="K449" s="38">
        <v>44.954664000000001</v>
      </c>
      <c r="L449" s="39"/>
      <c r="M449" s="37" t="s">
        <v>117</v>
      </c>
      <c r="N449" s="40">
        <v>10.521000000000001</v>
      </c>
      <c r="O449" s="38">
        <v>10.378199</v>
      </c>
      <c r="P449" s="38">
        <v>0.14191000000000001</v>
      </c>
      <c r="Q449" s="38">
        <v>1.2979999999999999E-3</v>
      </c>
      <c r="R449" s="40">
        <v>10.521000000000001</v>
      </c>
      <c r="S449" s="38">
        <v>10.378199</v>
      </c>
      <c r="T449" s="38">
        <v>0.14191000000000001</v>
      </c>
      <c r="U449" s="38">
        <v>1.2979999999999999E-3</v>
      </c>
      <c r="V449" s="8">
        <f t="shared" si="7"/>
        <v>2023</v>
      </c>
    </row>
    <row r="450" spans="1:22" hidden="1" x14ac:dyDescent="0.25">
      <c r="A450" s="36">
        <v>45231</v>
      </c>
      <c r="B450" s="37" t="s">
        <v>12</v>
      </c>
      <c r="C450" s="37" t="s">
        <v>108</v>
      </c>
      <c r="D450" s="37" t="s">
        <v>61</v>
      </c>
      <c r="E450" s="37" t="s">
        <v>5</v>
      </c>
      <c r="F450" s="37" t="s">
        <v>131</v>
      </c>
      <c r="G450" s="37" t="s">
        <v>61</v>
      </c>
      <c r="H450" s="37" t="s">
        <v>132</v>
      </c>
      <c r="I450" s="37" t="s">
        <v>127</v>
      </c>
      <c r="J450" s="37" t="s">
        <v>35</v>
      </c>
      <c r="K450" s="38">
        <v>50</v>
      </c>
      <c r="L450" s="39"/>
      <c r="M450" s="37" t="s">
        <v>117</v>
      </c>
      <c r="N450" s="40">
        <v>0.47599999999999998</v>
      </c>
      <c r="O450" s="38">
        <v>0.46917700000000001</v>
      </c>
      <c r="P450" s="38">
        <v>6.4149999999999997E-3</v>
      </c>
      <c r="Q450" s="38">
        <v>5.8999999999999998E-5</v>
      </c>
      <c r="R450" s="40">
        <v>0.47599999999999998</v>
      </c>
      <c r="S450" s="38">
        <v>0.46917700000000001</v>
      </c>
      <c r="T450" s="38">
        <v>6.4149999999999997E-3</v>
      </c>
      <c r="U450" s="38">
        <v>5.8999999999999998E-5</v>
      </c>
      <c r="V450" s="8">
        <f t="shared" si="7"/>
        <v>2023</v>
      </c>
    </row>
    <row r="451" spans="1:22" hidden="1" x14ac:dyDescent="0.25">
      <c r="A451" s="36">
        <v>45231</v>
      </c>
      <c r="B451" s="37" t="s">
        <v>21</v>
      </c>
      <c r="C451" s="37" t="s">
        <v>108</v>
      </c>
      <c r="D451" s="37" t="s">
        <v>61</v>
      </c>
      <c r="E451" s="37" t="s">
        <v>5</v>
      </c>
      <c r="F451" s="37" t="s">
        <v>131</v>
      </c>
      <c r="G451" s="37" t="s">
        <v>61</v>
      </c>
      <c r="H451" s="37" t="s">
        <v>132</v>
      </c>
      <c r="I451" s="37" t="s">
        <v>127</v>
      </c>
      <c r="J451" s="37" t="s">
        <v>37</v>
      </c>
      <c r="K451" s="38">
        <v>0.16600000000000001</v>
      </c>
      <c r="L451" s="39"/>
      <c r="M451" s="37" t="s">
        <v>117</v>
      </c>
      <c r="N451" s="40">
        <v>0.16600000000000001</v>
      </c>
      <c r="O451" s="38">
        <v>0.16600000000000001</v>
      </c>
      <c r="P451" s="39"/>
      <c r="Q451" s="39"/>
      <c r="R451" s="40">
        <f>N451</f>
        <v>0.16600000000000001</v>
      </c>
      <c r="S451" s="39"/>
      <c r="T451" s="39"/>
      <c r="U451" s="39"/>
      <c r="V451" s="8">
        <f t="shared" si="7"/>
        <v>2023</v>
      </c>
    </row>
    <row r="452" spans="1:22" hidden="1" x14ac:dyDescent="0.25">
      <c r="A452" s="36">
        <v>45231</v>
      </c>
      <c r="B452" s="37" t="s">
        <v>16</v>
      </c>
      <c r="C452" s="37" t="s">
        <v>108</v>
      </c>
      <c r="D452" s="37" t="s">
        <v>61</v>
      </c>
      <c r="E452" s="37" t="s">
        <v>5</v>
      </c>
      <c r="F452" s="37" t="s">
        <v>131</v>
      </c>
      <c r="G452" s="37" t="s">
        <v>61</v>
      </c>
      <c r="H452" s="37" t="s">
        <v>132</v>
      </c>
      <c r="I452" s="37" t="s">
        <v>127</v>
      </c>
      <c r="J452" s="37" t="s">
        <v>34</v>
      </c>
      <c r="K452" s="38">
        <v>58.504313000000003</v>
      </c>
      <c r="L452" s="39"/>
      <c r="M452" s="37" t="s">
        <v>117</v>
      </c>
      <c r="N452" s="40">
        <v>12.683999999999999</v>
      </c>
      <c r="O452" s="38">
        <v>12.59563</v>
      </c>
      <c r="P452" s="38">
        <v>3.6555999999999998E-2</v>
      </c>
      <c r="Q452" s="38">
        <v>5.1882999999999999E-2</v>
      </c>
      <c r="R452" s="40">
        <v>12.683999999999999</v>
      </c>
      <c r="S452" s="38">
        <v>12.59563</v>
      </c>
      <c r="T452" s="38">
        <v>3.6555999999999998E-2</v>
      </c>
      <c r="U452" s="38">
        <v>5.1882999999999999E-2</v>
      </c>
      <c r="V452" s="8">
        <f t="shared" si="7"/>
        <v>2023</v>
      </c>
    </row>
    <row r="453" spans="1:22" hidden="1" x14ac:dyDescent="0.25">
      <c r="A453" s="36">
        <v>45231</v>
      </c>
      <c r="B453" s="37" t="s">
        <v>19</v>
      </c>
      <c r="C453" s="37" t="s">
        <v>108</v>
      </c>
      <c r="D453" s="37" t="s">
        <v>61</v>
      </c>
      <c r="E453" s="37" t="s">
        <v>5</v>
      </c>
      <c r="F453" s="37" t="s">
        <v>131</v>
      </c>
      <c r="G453" s="37" t="s">
        <v>61</v>
      </c>
      <c r="H453" s="37" t="s">
        <v>132</v>
      </c>
      <c r="I453" s="37" t="s">
        <v>127</v>
      </c>
      <c r="J453" s="37" t="s">
        <v>34</v>
      </c>
      <c r="K453" s="38">
        <v>0</v>
      </c>
      <c r="L453" s="39"/>
      <c r="M453" s="37" t="s">
        <v>117</v>
      </c>
      <c r="N453" s="40">
        <v>0</v>
      </c>
      <c r="O453" s="38">
        <v>0</v>
      </c>
      <c r="P453" s="38">
        <v>0</v>
      </c>
      <c r="Q453" s="38">
        <v>0</v>
      </c>
      <c r="R453" s="40">
        <v>0</v>
      </c>
      <c r="S453" s="38">
        <v>0</v>
      </c>
      <c r="T453" s="38">
        <v>0</v>
      </c>
      <c r="U453" s="38">
        <v>0</v>
      </c>
      <c r="V453" s="8">
        <f t="shared" si="7"/>
        <v>2023</v>
      </c>
    </row>
    <row r="454" spans="1:22" hidden="1" x14ac:dyDescent="0.25">
      <c r="A454" s="36">
        <v>45261</v>
      </c>
      <c r="B454" s="37" t="s">
        <v>11</v>
      </c>
      <c r="C454" s="37" t="s">
        <v>108</v>
      </c>
      <c r="D454" s="37" t="s">
        <v>61</v>
      </c>
      <c r="E454" s="37" t="s">
        <v>5</v>
      </c>
      <c r="F454" s="37" t="s">
        <v>131</v>
      </c>
      <c r="G454" s="37" t="s">
        <v>61</v>
      </c>
      <c r="H454" s="37" t="s">
        <v>132</v>
      </c>
      <c r="I454" s="37" t="s">
        <v>127</v>
      </c>
      <c r="J454" s="37" t="s">
        <v>34</v>
      </c>
      <c r="K454" s="38">
        <v>28.452318999999999</v>
      </c>
      <c r="L454" s="39"/>
      <c r="M454" s="37" t="s">
        <v>117</v>
      </c>
      <c r="N454" s="40">
        <v>6.6589999999999998</v>
      </c>
      <c r="O454" s="38">
        <v>6.5684810000000002</v>
      </c>
      <c r="P454" s="38">
        <v>8.9816000000000007E-2</v>
      </c>
      <c r="Q454" s="38">
        <v>8.2100000000000001E-4</v>
      </c>
      <c r="R454" s="40">
        <v>6.6589999999999998</v>
      </c>
      <c r="S454" s="38">
        <v>6.5684810000000002</v>
      </c>
      <c r="T454" s="38">
        <v>8.9816000000000007E-2</v>
      </c>
      <c r="U454" s="38">
        <v>8.2100000000000001E-4</v>
      </c>
      <c r="V454" s="8">
        <f t="shared" si="7"/>
        <v>2023</v>
      </c>
    </row>
    <row r="455" spans="1:22" hidden="1" x14ac:dyDescent="0.25">
      <c r="A455" s="36">
        <v>45261</v>
      </c>
      <c r="B455" s="37" t="s">
        <v>12</v>
      </c>
      <c r="C455" s="37" t="s">
        <v>108</v>
      </c>
      <c r="D455" s="37" t="s">
        <v>61</v>
      </c>
      <c r="E455" s="37" t="s">
        <v>5</v>
      </c>
      <c r="F455" s="37" t="s">
        <v>131</v>
      </c>
      <c r="G455" s="37" t="s">
        <v>61</v>
      </c>
      <c r="H455" s="37" t="s">
        <v>132</v>
      </c>
      <c r="I455" s="37" t="s">
        <v>127</v>
      </c>
      <c r="J455" s="37" t="s">
        <v>35</v>
      </c>
      <c r="K455" s="38">
        <v>110</v>
      </c>
      <c r="L455" s="39"/>
      <c r="M455" s="37" t="s">
        <v>117</v>
      </c>
      <c r="N455" s="40">
        <v>1.046</v>
      </c>
      <c r="O455" s="38">
        <v>1.0321899999999999</v>
      </c>
      <c r="P455" s="38">
        <v>1.4114E-2</v>
      </c>
      <c r="Q455" s="38">
        <v>1.2899999999999999E-4</v>
      </c>
      <c r="R455" s="40">
        <v>1.046</v>
      </c>
      <c r="S455" s="38">
        <v>1.0321899999999999</v>
      </c>
      <c r="T455" s="38">
        <v>1.4114E-2</v>
      </c>
      <c r="U455" s="38">
        <v>1.2899999999999999E-4</v>
      </c>
      <c r="V455" s="8">
        <f t="shared" si="7"/>
        <v>2023</v>
      </c>
    </row>
    <row r="456" spans="1:22" hidden="1" x14ac:dyDescent="0.25">
      <c r="A456" s="36">
        <v>45261</v>
      </c>
      <c r="B456" s="37" t="s">
        <v>21</v>
      </c>
      <c r="C456" s="37" t="s">
        <v>108</v>
      </c>
      <c r="D456" s="37" t="s">
        <v>61</v>
      </c>
      <c r="E456" s="37" t="s">
        <v>5</v>
      </c>
      <c r="F456" s="37" t="s">
        <v>131</v>
      </c>
      <c r="G456" s="37" t="s">
        <v>61</v>
      </c>
      <c r="H456" s="37" t="s">
        <v>132</v>
      </c>
      <c r="I456" s="37" t="s">
        <v>127</v>
      </c>
      <c r="J456" s="37" t="s">
        <v>37</v>
      </c>
      <c r="K456" s="38">
        <v>0.16600000000000001</v>
      </c>
      <c r="L456" s="39"/>
      <c r="M456" s="37" t="s">
        <v>117</v>
      </c>
      <c r="N456" s="40">
        <v>0.16600000000000001</v>
      </c>
      <c r="O456" s="38">
        <v>0.16600000000000001</v>
      </c>
      <c r="P456" s="39"/>
      <c r="Q456" s="39"/>
      <c r="R456" s="40">
        <f>N456</f>
        <v>0.16600000000000001</v>
      </c>
      <c r="S456" s="39"/>
      <c r="T456" s="39"/>
      <c r="U456" s="39"/>
      <c r="V456" s="8">
        <f t="shared" si="7"/>
        <v>2023</v>
      </c>
    </row>
    <row r="457" spans="1:22" hidden="1" x14ac:dyDescent="0.25">
      <c r="A457" s="36">
        <v>45261</v>
      </c>
      <c r="B457" s="37" t="s">
        <v>15</v>
      </c>
      <c r="C457" s="37" t="s">
        <v>108</v>
      </c>
      <c r="D457" s="37" t="s">
        <v>61</v>
      </c>
      <c r="E457" s="37" t="s">
        <v>5</v>
      </c>
      <c r="F457" s="37" t="s">
        <v>131</v>
      </c>
      <c r="G457" s="37" t="s">
        <v>61</v>
      </c>
      <c r="H457" s="37" t="s">
        <v>132</v>
      </c>
      <c r="I457" s="37" t="s">
        <v>127</v>
      </c>
      <c r="J457" s="37" t="s">
        <v>34</v>
      </c>
      <c r="K457" s="38">
        <v>15.019892</v>
      </c>
      <c r="L457" s="42">
        <v>3686.18</v>
      </c>
      <c r="M457" s="37" t="s">
        <v>117</v>
      </c>
      <c r="N457" s="40">
        <v>3.2559999999999998</v>
      </c>
      <c r="O457" s="38">
        <v>3.2336930000000002</v>
      </c>
      <c r="P457" s="38">
        <v>9.3849999999999992E-3</v>
      </c>
      <c r="Q457" s="38">
        <v>1.332E-2</v>
      </c>
      <c r="R457" s="40">
        <v>3.2559999999999998</v>
      </c>
      <c r="S457" s="38">
        <v>3.2336930000000002</v>
      </c>
      <c r="T457" s="38">
        <v>9.3849999999999992E-3</v>
      </c>
      <c r="U457" s="38">
        <v>1.332E-2</v>
      </c>
      <c r="V457" s="8">
        <f t="shared" si="7"/>
        <v>2023</v>
      </c>
    </row>
    <row r="458" spans="1:22" hidden="1" x14ac:dyDescent="0.25">
      <c r="A458" s="36">
        <v>45261</v>
      </c>
      <c r="B458" s="37" t="s">
        <v>16</v>
      </c>
      <c r="C458" s="37" t="s">
        <v>108</v>
      </c>
      <c r="D458" s="37" t="s">
        <v>61</v>
      </c>
      <c r="E458" s="37" t="s">
        <v>5</v>
      </c>
      <c r="F458" s="37" t="s">
        <v>131</v>
      </c>
      <c r="G458" s="37" t="s">
        <v>61</v>
      </c>
      <c r="H458" s="37" t="s">
        <v>132</v>
      </c>
      <c r="I458" s="37" t="s">
        <v>127</v>
      </c>
      <c r="J458" s="37" t="s">
        <v>34</v>
      </c>
      <c r="K458" s="38">
        <v>31.871479000000001</v>
      </c>
      <c r="L458" s="39"/>
      <c r="M458" s="37" t="s">
        <v>117</v>
      </c>
      <c r="N458" s="40">
        <v>6.91</v>
      </c>
      <c r="O458" s="38">
        <v>6.861739</v>
      </c>
      <c r="P458" s="38">
        <v>1.9914000000000001E-2</v>
      </c>
      <c r="Q458" s="38">
        <v>2.8264000000000001E-2</v>
      </c>
      <c r="R458" s="40">
        <v>6.91</v>
      </c>
      <c r="S458" s="38">
        <v>6.861739</v>
      </c>
      <c r="T458" s="38">
        <v>1.9914000000000001E-2</v>
      </c>
      <c r="U458" s="38">
        <v>2.8264000000000001E-2</v>
      </c>
      <c r="V458" s="8">
        <f t="shared" si="7"/>
        <v>2023</v>
      </c>
    </row>
    <row r="459" spans="1:22" hidden="1" x14ac:dyDescent="0.25">
      <c r="A459" s="36">
        <v>45261</v>
      </c>
      <c r="B459" s="37" t="s">
        <v>19</v>
      </c>
      <c r="C459" s="37" t="s">
        <v>108</v>
      </c>
      <c r="D459" s="37" t="s">
        <v>61</v>
      </c>
      <c r="E459" s="37" t="s">
        <v>5</v>
      </c>
      <c r="F459" s="37" t="s">
        <v>131</v>
      </c>
      <c r="G459" s="37" t="s">
        <v>61</v>
      </c>
      <c r="H459" s="37" t="s">
        <v>132</v>
      </c>
      <c r="I459" s="37" t="s">
        <v>127</v>
      </c>
      <c r="J459" s="37" t="s">
        <v>34</v>
      </c>
      <c r="K459" s="38">
        <v>0</v>
      </c>
      <c r="L459" s="39"/>
      <c r="M459" s="37" t="s">
        <v>117</v>
      </c>
      <c r="N459" s="40">
        <v>0</v>
      </c>
      <c r="O459" s="38">
        <v>0</v>
      </c>
      <c r="P459" s="38">
        <v>0</v>
      </c>
      <c r="Q459" s="38">
        <v>0</v>
      </c>
      <c r="R459" s="40">
        <v>0</v>
      </c>
      <c r="S459" s="38">
        <v>0</v>
      </c>
      <c r="T459" s="38">
        <v>0</v>
      </c>
      <c r="U459" s="38">
        <v>0</v>
      </c>
      <c r="V459" s="8">
        <f t="shared" si="7"/>
        <v>2023</v>
      </c>
    </row>
    <row r="460" spans="1:22" hidden="1" x14ac:dyDescent="0.25">
      <c r="A460" s="36">
        <v>45261</v>
      </c>
      <c r="B460" s="37" t="s">
        <v>20</v>
      </c>
      <c r="C460" s="37" t="s">
        <v>108</v>
      </c>
      <c r="D460" s="37" t="s">
        <v>61</v>
      </c>
      <c r="E460" s="37" t="s">
        <v>5</v>
      </c>
      <c r="F460" s="37" t="s">
        <v>131</v>
      </c>
      <c r="G460" s="37" t="s">
        <v>61</v>
      </c>
      <c r="H460" s="37" t="s">
        <v>132</v>
      </c>
      <c r="I460" s="37" t="s">
        <v>127</v>
      </c>
      <c r="J460" s="37" t="s">
        <v>34</v>
      </c>
      <c r="K460" s="38">
        <v>0.96060299999999998</v>
      </c>
      <c r="L460" s="39"/>
      <c r="M460" s="37" t="s">
        <v>117</v>
      </c>
      <c r="N460" s="40">
        <v>0.20699999999999999</v>
      </c>
      <c r="O460" s="38">
        <v>0.20607</v>
      </c>
      <c r="P460" s="38">
        <v>5.3700000000000004E-4</v>
      </c>
      <c r="Q460" s="38">
        <v>2.9300000000000002E-4</v>
      </c>
      <c r="R460" s="40">
        <v>0.20699999999999999</v>
      </c>
      <c r="S460" s="38">
        <v>0.20607</v>
      </c>
      <c r="T460" s="38">
        <v>5.3700000000000004E-4</v>
      </c>
      <c r="U460" s="38">
        <v>2.9300000000000002E-4</v>
      </c>
      <c r="V460" s="8">
        <f t="shared" si="7"/>
        <v>2023</v>
      </c>
    </row>
    <row r="461" spans="1:22" hidden="1" x14ac:dyDescent="0.25">
      <c r="A461" s="36">
        <v>44562</v>
      </c>
      <c r="B461" s="37" t="s">
        <v>23</v>
      </c>
      <c r="C461" s="37" t="s">
        <v>108</v>
      </c>
      <c r="D461" s="37" t="s">
        <v>61</v>
      </c>
      <c r="E461" s="37" t="s">
        <v>6</v>
      </c>
      <c r="F461" s="37" t="s">
        <v>131</v>
      </c>
      <c r="G461" s="37" t="s">
        <v>61</v>
      </c>
      <c r="H461" s="37" t="s">
        <v>132</v>
      </c>
      <c r="I461" s="37" t="s">
        <v>127</v>
      </c>
      <c r="J461" s="37" t="s">
        <v>34</v>
      </c>
      <c r="K461" s="38">
        <v>324.68116700000002</v>
      </c>
      <c r="L461" s="39"/>
      <c r="M461" s="37" t="s">
        <v>117</v>
      </c>
      <c r="N461" s="40">
        <v>134.74299999999999</v>
      </c>
      <c r="O461" s="38">
        <v>134.742684</v>
      </c>
      <c r="P461" s="39"/>
      <c r="Q461" s="39"/>
      <c r="R461" s="40">
        <v>121.208</v>
      </c>
      <c r="S461" s="38">
        <v>120.713116</v>
      </c>
      <c r="T461" s="38">
        <v>0.28143899999999999</v>
      </c>
      <c r="U461" s="38">
        <v>0.21366399999999999</v>
      </c>
      <c r="V461" s="8">
        <f t="shared" si="7"/>
        <v>2022</v>
      </c>
    </row>
    <row r="462" spans="1:22" hidden="1" x14ac:dyDescent="0.25">
      <c r="A462" s="36">
        <v>44593</v>
      </c>
      <c r="B462" s="37" t="s">
        <v>23</v>
      </c>
      <c r="C462" s="37" t="s">
        <v>108</v>
      </c>
      <c r="D462" s="37" t="s">
        <v>61</v>
      </c>
      <c r="E462" s="37" t="s">
        <v>6</v>
      </c>
      <c r="F462" s="37" t="s">
        <v>131</v>
      </c>
      <c r="G462" s="37" t="s">
        <v>61</v>
      </c>
      <c r="H462" s="37" t="s">
        <v>132</v>
      </c>
      <c r="I462" s="37" t="s">
        <v>127</v>
      </c>
      <c r="J462" s="37" t="s">
        <v>34</v>
      </c>
      <c r="K462" s="38">
        <v>324.68116700000002</v>
      </c>
      <c r="L462" s="39"/>
      <c r="M462" s="37" t="s">
        <v>117</v>
      </c>
      <c r="N462" s="40">
        <v>134.74299999999999</v>
      </c>
      <c r="O462" s="38">
        <v>134.742684</v>
      </c>
      <c r="P462" s="39"/>
      <c r="Q462" s="39"/>
      <c r="R462" s="40">
        <v>121.208</v>
      </c>
      <c r="S462" s="38">
        <v>120.713116</v>
      </c>
      <c r="T462" s="38">
        <v>0.28143899999999999</v>
      </c>
      <c r="U462" s="38">
        <v>0.21366399999999999</v>
      </c>
      <c r="V462" s="8">
        <f t="shared" si="7"/>
        <v>2022</v>
      </c>
    </row>
    <row r="463" spans="1:22" hidden="1" x14ac:dyDescent="0.25">
      <c r="A463" s="36">
        <v>44621</v>
      </c>
      <c r="B463" s="37" t="s">
        <v>23</v>
      </c>
      <c r="C463" s="37" t="s">
        <v>108</v>
      </c>
      <c r="D463" s="37" t="s">
        <v>61</v>
      </c>
      <c r="E463" s="37" t="s">
        <v>6</v>
      </c>
      <c r="F463" s="37" t="s">
        <v>131</v>
      </c>
      <c r="G463" s="37" t="s">
        <v>61</v>
      </c>
      <c r="H463" s="37" t="s">
        <v>132</v>
      </c>
      <c r="I463" s="37" t="s">
        <v>127</v>
      </c>
      <c r="J463" s="37" t="s">
        <v>34</v>
      </c>
      <c r="K463" s="38">
        <v>324.68116700000002</v>
      </c>
      <c r="L463" s="39"/>
      <c r="M463" s="37" t="s">
        <v>117</v>
      </c>
      <c r="N463" s="40">
        <v>134.74299999999999</v>
      </c>
      <c r="O463" s="38">
        <v>134.742684</v>
      </c>
      <c r="P463" s="39"/>
      <c r="Q463" s="39"/>
      <c r="R463" s="40">
        <v>121.208</v>
      </c>
      <c r="S463" s="38">
        <v>120.713116</v>
      </c>
      <c r="T463" s="38">
        <v>0.28143899999999999</v>
      </c>
      <c r="U463" s="38">
        <v>0.21366399999999999</v>
      </c>
      <c r="V463" s="8">
        <f t="shared" si="7"/>
        <v>2022</v>
      </c>
    </row>
    <row r="464" spans="1:22" hidden="1" x14ac:dyDescent="0.25">
      <c r="A464" s="36">
        <v>44652</v>
      </c>
      <c r="B464" s="37" t="s">
        <v>23</v>
      </c>
      <c r="C464" s="37" t="s">
        <v>108</v>
      </c>
      <c r="D464" s="37" t="s">
        <v>61</v>
      </c>
      <c r="E464" s="37" t="s">
        <v>6</v>
      </c>
      <c r="F464" s="37" t="s">
        <v>131</v>
      </c>
      <c r="G464" s="37" t="s">
        <v>61</v>
      </c>
      <c r="H464" s="37" t="s">
        <v>132</v>
      </c>
      <c r="I464" s="37" t="s">
        <v>127</v>
      </c>
      <c r="J464" s="37" t="s">
        <v>34</v>
      </c>
      <c r="K464" s="38">
        <v>324.68116700000002</v>
      </c>
      <c r="L464" s="39"/>
      <c r="M464" s="37" t="s">
        <v>117</v>
      </c>
      <c r="N464" s="40">
        <v>134.74299999999999</v>
      </c>
      <c r="O464" s="38">
        <v>134.742684</v>
      </c>
      <c r="P464" s="39"/>
      <c r="Q464" s="39"/>
      <c r="R464" s="40">
        <v>121.208</v>
      </c>
      <c r="S464" s="38">
        <v>120.713116</v>
      </c>
      <c r="T464" s="38">
        <v>0.28143899999999999</v>
      </c>
      <c r="U464" s="38">
        <v>0.21366399999999999</v>
      </c>
      <c r="V464" s="8">
        <f t="shared" si="7"/>
        <v>2022</v>
      </c>
    </row>
    <row r="465" spans="1:22" hidden="1" x14ac:dyDescent="0.25">
      <c r="A465" s="36">
        <v>44682</v>
      </c>
      <c r="B465" s="37" t="s">
        <v>23</v>
      </c>
      <c r="C465" s="37" t="s">
        <v>108</v>
      </c>
      <c r="D465" s="37" t="s">
        <v>61</v>
      </c>
      <c r="E465" s="37" t="s">
        <v>6</v>
      </c>
      <c r="F465" s="37" t="s">
        <v>131</v>
      </c>
      <c r="G465" s="37" t="s">
        <v>61</v>
      </c>
      <c r="H465" s="37" t="s">
        <v>132</v>
      </c>
      <c r="I465" s="37" t="s">
        <v>127</v>
      </c>
      <c r="J465" s="37" t="s">
        <v>34</v>
      </c>
      <c r="K465" s="38">
        <v>324.68116700000002</v>
      </c>
      <c r="L465" s="39"/>
      <c r="M465" s="37" t="s">
        <v>117</v>
      </c>
      <c r="N465" s="40">
        <v>134.74299999999999</v>
      </c>
      <c r="O465" s="38">
        <v>134.742684</v>
      </c>
      <c r="P465" s="39"/>
      <c r="Q465" s="39"/>
      <c r="R465" s="40">
        <v>121.208</v>
      </c>
      <c r="S465" s="38">
        <v>120.713116</v>
      </c>
      <c r="T465" s="38">
        <v>0.28143899999999999</v>
      </c>
      <c r="U465" s="38">
        <v>0.21366399999999999</v>
      </c>
      <c r="V465" s="8">
        <f t="shared" si="7"/>
        <v>2022</v>
      </c>
    </row>
    <row r="466" spans="1:22" hidden="1" x14ac:dyDescent="0.25">
      <c r="A466" s="36">
        <v>44713</v>
      </c>
      <c r="B466" s="37" t="s">
        <v>23</v>
      </c>
      <c r="C466" s="37" t="s">
        <v>108</v>
      </c>
      <c r="D466" s="37" t="s">
        <v>61</v>
      </c>
      <c r="E466" s="37" t="s">
        <v>6</v>
      </c>
      <c r="F466" s="37" t="s">
        <v>131</v>
      </c>
      <c r="G466" s="37" t="s">
        <v>61</v>
      </c>
      <c r="H466" s="37" t="s">
        <v>132</v>
      </c>
      <c r="I466" s="37" t="s">
        <v>127</v>
      </c>
      <c r="J466" s="37" t="s">
        <v>34</v>
      </c>
      <c r="K466" s="38">
        <v>324.68116700000002</v>
      </c>
      <c r="L466" s="39"/>
      <c r="M466" s="37" t="s">
        <v>117</v>
      </c>
      <c r="N466" s="40">
        <v>134.74299999999999</v>
      </c>
      <c r="O466" s="38">
        <v>134.742684</v>
      </c>
      <c r="P466" s="39"/>
      <c r="Q466" s="39"/>
      <c r="R466" s="40">
        <v>121.208</v>
      </c>
      <c r="S466" s="38">
        <v>120.713116</v>
      </c>
      <c r="T466" s="38">
        <v>0.28143899999999999</v>
      </c>
      <c r="U466" s="38">
        <v>0.21366399999999999</v>
      </c>
      <c r="V466" s="8">
        <f t="shared" si="7"/>
        <v>2022</v>
      </c>
    </row>
    <row r="467" spans="1:22" hidden="1" x14ac:dyDescent="0.25">
      <c r="A467" s="36">
        <v>44743</v>
      </c>
      <c r="B467" s="37" t="s">
        <v>23</v>
      </c>
      <c r="C467" s="37" t="s">
        <v>108</v>
      </c>
      <c r="D467" s="37" t="s">
        <v>61</v>
      </c>
      <c r="E467" s="37" t="s">
        <v>6</v>
      </c>
      <c r="F467" s="37" t="s">
        <v>131</v>
      </c>
      <c r="G467" s="37" t="s">
        <v>61</v>
      </c>
      <c r="H467" s="37" t="s">
        <v>132</v>
      </c>
      <c r="I467" s="37" t="s">
        <v>127</v>
      </c>
      <c r="J467" s="37" t="s">
        <v>34</v>
      </c>
      <c r="K467" s="38">
        <v>324.68116700000002</v>
      </c>
      <c r="L467" s="39"/>
      <c r="M467" s="37" t="s">
        <v>117</v>
      </c>
      <c r="N467" s="40">
        <v>134.74299999999999</v>
      </c>
      <c r="O467" s="38">
        <v>134.742684</v>
      </c>
      <c r="P467" s="39"/>
      <c r="Q467" s="39"/>
      <c r="R467" s="40">
        <v>121.208</v>
      </c>
      <c r="S467" s="38">
        <v>120.713116</v>
      </c>
      <c r="T467" s="38">
        <v>0.28143899999999999</v>
      </c>
      <c r="U467" s="38">
        <v>0.21366399999999999</v>
      </c>
      <c r="V467" s="8">
        <f t="shared" si="7"/>
        <v>2022</v>
      </c>
    </row>
    <row r="468" spans="1:22" hidden="1" x14ac:dyDescent="0.25">
      <c r="A468" s="36">
        <v>44774</v>
      </c>
      <c r="B468" s="37" t="s">
        <v>23</v>
      </c>
      <c r="C468" s="37" t="s">
        <v>108</v>
      </c>
      <c r="D468" s="37" t="s">
        <v>61</v>
      </c>
      <c r="E468" s="37" t="s">
        <v>6</v>
      </c>
      <c r="F468" s="37" t="s">
        <v>131</v>
      </c>
      <c r="G468" s="37" t="s">
        <v>61</v>
      </c>
      <c r="H468" s="37" t="s">
        <v>132</v>
      </c>
      <c r="I468" s="37" t="s">
        <v>127</v>
      </c>
      <c r="J468" s="37" t="s">
        <v>34</v>
      </c>
      <c r="K468" s="38">
        <v>324.68116700000002</v>
      </c>
      <c r="L468" s="39"/>
      <c r="M468" s="37" t="s">
        <v>117</v>
      </c>
      <c r="N468" s="40">
        <v>134.74299999999999</v>
      </c>
      <c r="O468" s="38">
        <v>134.742684</v>
      </c>
      <c r="P468" s="39"/>
      <c r="Q468" s="39"/>
      <c r="R468" s="40">
        <v>121.208</v>
      </c>
      <c r="S468" s="38">
        <v>120.713116</v>
      </c>
      <c r="T468" s="38">
        <v>0.28143899999999999</v>
      </c>
      <c r="U468" s="38">
        <v>0.21366399999999999</v>
      </c>
      <c r="V468" s="8">
        <f t="shared" si="7"/>
        <v>2022</v>
      </c>
    </row>
    <row r="469" spans="1:22" hidden="1" x14ac:dyDescent="0.25">
      <c r="A469" s="36">
        <v>44805</v>
      </c>
      <c r="B469" s="37" t="s">
        <v>23</v>
      </c>
      <c r="C469" s="37" t="s">
        <v>108</v>
      </c>
      <c r="D469" s="37" t="s">
        <v>61</v>
      </c>
      <c r="E469" s="37" t="s">
        <v>6</v>
      </c>
      <c r="F469" s="37" t="s">
        <v>131</v>
      </c>
      <c r="G469" s="37" t="s">
        <v>61</v>
      </c>
      <c r="H469" s="37" t="s">
        <v>132</v>
      </c>
      <c r="I469" s="37" t="s">
        <v>127</v>
      </c>
      <c r="J469" s="37" t="s">
        <v>34</v>
      </c>
      <c r="K469" s="38">
        <v>324.68116700000002</v>
      </c>
      <c r="L469" s="39"/>
      <c r="M469" s="37" t="s">
        <v>117</v>
      </c>
      <c r="N469" s="40">
        <v>134.74299999999999</v>
      </c>
      <c r="O469" s="38">
        <v>134.742684</v>
      </c>
      <c r="P469" s="39"/>
      <c r="Q469" s="39"/>
      <c r="R469" s="40">
        <v>121.208</v>
      </c>
      <c r="S469" s="38">
        <v>120.713116</v>
      </c>
      <c r="T469" s="38">
        <v>0.28143899999999999</v>
      </c>
      <c r="U469" s="38">
        <v>0.21366399999999999</v>
      </c>
      <c r="V469" s="8">
        <f t="shared" si="7"/>
        <v>2022</v>
      </c>
    </row>
    <row r="470" spans="1:22" hidden="1" x14ac:dyDescent="0.25">
      <c r="A470" s="36">
        <v>44835</v>
      </c>
      <c r="B470" s="37" t="s">
        <v>23</v>
      </c>
      <c r="C470" s="37" t="s">
        <v>108</v>
      </c>
      <c r="D470" s="37" t="s">
        <v>61</v>
      </c>
      <c r="E470" s="37" t="s">
        <v>6</v>
      </c>
      <c r="F470" s="37" t="s">
        <v>131</v>
      </c>
      <c r="G470" s="37" t="s">
        <v>61</v>
      </c>
      <c r="H470" s="37" t="s">
        <v>132</v>
      </c>
      <c r="I470" s="37" t="s">
        <v>127</v>
      </c>
      <c r="J470" s="37" t="s">
        <v>34</v>
      </c>
      <c r="K470" s="38">
        <v>324.68116700000002</v>
      </c>
      <c r="L470" s="39"/>
      <c r="M470" s="37" t="s">
        <v>117</v>
      </c>
      <c r="N470" s="40">
        <v>134.74299999999999</v>
      </c>
      <c r="O470" s="38">
        <v>134.742684</v>
      </c>
      <c r="P470" s="39"/>
      <c r="Q470" s="39"/>
      <c r="R470" s="40">
        <v>121.208</v>
      </c>
      <c r="S470" s="38">
        <v>120.713116</v>
      </c>
      <c r="T470" s="38">
        <v>0.28143899999999999</v>
      </c>
      <c r="U470" s="38">
        <v>0.21366399999999999</v>
      </c>
      <c r="V470" s="8">
        <f t="shared" si="7"/>
        <v>2022</v>
      </c>
    </row>
    <row r="471" spans="1:22" hidden="1" x14ac:dyDescent="0.25">
      <c r="A471" s="36">
        <v>44866</v>
      </c>
      <c r="B471" s="37" t="s">
        <v>23</v>
      </c>
      <c r="C471" s="37" t="s">
        <v>108</v>
      </c>
      <c r="D471" s="37" t="s">
        <v>61</v>
      </c>
      <c r="E471" s="37" t="s">
        <v>6</v>
      </c>
      <c r="F471" s="37" t="s">
        <v>131</v>
      </c>
      <c r="G471" s="37" t="s">
        <v>61</v>
      </c>
      <c r="H471" s="37" t="s">
        <v>132</v>
      </c>
      <c r="I471" s="37" t="s">
        <v>127</v>
      </c>
      <c r="J471" s="37" t="s">
        <v>34</v>
      </c>
      <c r="K471" s="38">
        <v>324.68116700000002</v>
      </c>
      <c r="L471" s="39"/>
      <c r="M471" s="37" t="s">
        <v>117</v>
      </c>
      <c r="N471" s="40">
        <v>134.74299999999999</v>
      </c>
      <c r="O471" s="38">
        <v>134.742684</v>
      </c>
      <c r="P471" s="39"/>
      <c r="Q471" s="39"/>
      <c r="R471" s="40">
        <v>121.208</v>
      </c>
      <c r="S471" s="38">
        <v>120.713116</v>
      </c>
      <c r="T471" s="38">
        <v>0.28143899999999999</v>
      </c>
      <c r="U471" s="38">
        <v>0.21366399999999999</v>
      </c>
      <c r="V471" s="8">
        <f t="shared" si="7"/>
        <v>2022</v>
      </c>
    </row>
    <row r="472" spans="1:22" hidden="1" x14ac:dyDescent="0.25">
      <c r="A472" s="36">
        <v>44896</v>
      </c>
      <c r="B472" s="37" t="s">
        <v>23</v>
      </c>
      <c r="C472" s="37" t="s">
        <v>108</v>
      </c>
      <c r="D472" s="37" t="s">
        <v>61</v>
      </c>
      <c r="E472" s="37" t="s">
        <v>6</v>
      </c>
      <c r="F472" s="37" t="s">
        <v>131</v>
      </c>
      <c r="G472" s="37" t="s">
        <v>61</v>
      </c>
      <c r="H472" s="37" t="s">
        <v>132</v>
      </c>
      <c r="I472" s="37" t="s">
        <v>127</v>
      </c>
      <c r="J472" s="37" t="s">
        <v>34</v>
      </c>
      <c r="K472" s="38">
        <v>324.68116700000002</v>
      </c>
      <c r="L472" s="39"/>
      <c r="M472" s="37" t="s">
        <v>117</v>
      </c>
      <c r="N472" s="40">
        <v>134.74299999999999</v>
      </c>
      <c r="O472" s="38">
        <v>134.742684</v>
      </c>
      <c r="P472" s="39"/>
      <c r="Q472" s="39"/>
      <c r="R472" s="40">
        <v>121.208</v>
      </c>
      <c r="S472" s="38">
        <v>120.713116</v>
      </c>
      <c r="T472" s="38">
        <v>0.28143899999999999</v>
      </c>
      <c r="U472" s="38">
        <v>0.21366399999999999</v>
      </c>
      <c r="V472" s="8">
        <f t="shared" si="7"/>
        <v>2022</v>
      </c>
    </row>
    <row r="473" spans="1:22" hidden="1" x14ac:dyDescent="0.25">
      <c r="A473" s="36">
        <v>44927</v>
      </c>
      <c r="B473" s="37" t="s">
        <v>23</v>
      </c>
      <c r="C473" s="37" t="s">
        <v>108</v>
      </c>
      <c r="D473" s="37" t="s">
        <v>61</v>
      </c>
      <c r="E473" s="37" t="s">
        <v>6</v>
      </c>
      <c r="F473" s="37" t="s">
        <v>131</v>
      </c>
      <c r="G473" s="37" t="s">
        <v>61</v>
      </c>
      <c r="H473" s="37" t="s">
        <v>132</v>
      </c>
      <c r="I473" s="37" t="s">
        <v>127</v>
      </c>
      <c r="J473" s="37" t="s">
        <v>34</v>
      </c>
      <c r="K473" s="38">
        <v>5.032</v>
      </c>
      <c r="L473" s="42">
        <v>909.63</v>
      </c>
      <c r="M473" s="37" t="s">
        <v>117</v>
      </c>
      <c r="N473" s="40">
        <v>1.71</v>
      </c>
      <c r="O473" s="38">
        <v>1.7095750000000001</v>
      </c>
      <c r="P473" s="39"/>
      <c r="Q473" s="39"/>
      <c r="R473" s="40">
        <v>1.879</v>
      </c>
      <c r="S473" s="38">
        <v>1.870846</v>
      </c>
      <c r="T473" s="38">
        <v>4.3620000000000004E-3</v>
      </c>
      <c r="U473" s="38">
        <v>3.3110000000000001E-3</v>
      </c>
      <c r="V473" s="8">
        <f t="shared" si="7"/>
        <v>2023</v>
      </c>
    </row>
    <row r="474" spans="1:22" hidden="1" x14ac:dyDescent="0.25">
      <c r="A474" s="36">
        <v>44958</v>
      </c>
      <c r="B474" s="37" t="s">
        <v>23</v>
      </c>
      <c r="C474" s="37" t="s">
        <v>108</v>
      </c>
      <c r="D474" s="37" t="s">
        <v>61</v>
      </c>
      <c r="E474" s="37" t="s">
        <v>6</v>
      </c>
      <c r="F474" s="37" t="s">
        <v>131</v>
      </c>
      <c r="G474" s="37" t="s">
        <v>61</v>
      </c>
      <c r="H474" s="37" t="s">
        <v>132</v>
      </c>
      <c r="I474" s="37" t="s">
        <v>127</v>
      </c>
      <c r="J474" s="37" t="s">
        <v>34</v>
      </c>
      <c r="K474" s="38">
        <v>277.71899999999999</v>
      </c>
      <c r="L474" s="42">
        <v>784.93</v>
      </c>
      <c r="M474" s="37" t="s">
        <v>117</v>
      </c>
      <c r="N474" s="40">
        <v>94.352000000000004</v>
      </c>
      <c r="O474" s="38">
        <v>94.352442999999994</v>
      </c>
      <c r="P474" s="39"/>
      <c r="Q474" s="39"/>
      <c r="R474" s="40">
        <v>103.67700000000001</v>
      </c>
      <c r="S474" s="38">
        <v>103.253066</v>
      </c>
      <c r="T474" s="38">
        <v>0.240731</v>
      </c>
      <c r="U474" s="38">
        <v>0.182759</v>
      </c>
      <c r="V474" s="8">
        <f t="shared" si="7"/>
        <v>2023</v>
      </c>
    </row>
    <row r="475" spans="1:22" hidden="1" x14ac:dyDescent="0.25">
      <c r="A475" s="36">
        <v>44986</v>
      </c>
      <c r="B475" s="37" t="s">
        <v>23</v>
      </c>
      <c r="C475" s="37" t="s">
        <v>108</v>
      </c>
      <c r="D475" s="37" t="s">
        <v>61</v>
      </c>
      <c r="E475" s="37" t="s">
        <v>6</v>
      </c>
      <c r="F475" s="37" t="s">
        <v>131</v>
      </c>
      <c r="G475" s="37" t="s">
        <v>61</v>
      </c>
      <c r="H475" s="37" t="s">
        <v>132</v>
      </c>
      <c r="I475" s="37" t="s">
        <v>127</v>
      </c>
      <c r="J475" s="37" t="s">
        <v>34</v>
      </c>
      <c r="K475" s="38">
        <v>540.03599999999994</v>
      </c>
      <c r="L475" s="42">
        <v>874.2</v>
      </c>
      <c r="M475" s="37" t="s">
        <v>117</v>
      </c>
      <c r="N475" s="40">
        <v>183.47200000000001</v>
      </c>
      <c r="O475" s="38">
        <v>183.47220100000001</v>
      </c>
      <c r="P475" s="39"/>
      <c r="Q475" s="39"/>
      <c r="R475" s="40">
        <v>201.60300000000001</v>
      </c>
      <c r="S475" s="38">
        <v>200.77982700000001</v>
      </c>
      <c r="T475" s="38">
        <v>0.468111</v>
      </c>
      <c r="U475" s="38">
        <v>0.35538199999999998</v>
      </c>
      <c r="V475" s="8">
        <f t="shared" si="7"/>
        <v>2023</v>
      </c>
    </row>
    <row r="476" spans="1:22" hidden="1" x14ac:dyDescent="0.25">
      <c r="A476" s="36">
        <v>45017</v>
      </c>
      <c r="B476" s="37" t="s">
        <v>23</v>
      </c>
      <c r="C476" s="37" t="s">
        <v>108</v>
      </c>
      <c r="D476" s="37" t="s">
        <v>61</v>
      </c>
      <c r="E476" s="37" t="s">
        <v>6</v>
      </c>
      <c r="F476" s="37" t="s">
        <v>131</v>
      </c>
      <c r="G476" s="37" t="s">
        <v>61</v>
      </c>
      <c r="H476" s="37" t="s">
        <v>132</v>
      </c>
      <c r="I476" s="37" t="s">
        <v>127</v>
      </c>
      <c r="J476" s="37" t="s">
        <v>34</v>
      </c>
      <c r="K476" s="38">
        <v>571.40499999999997</v>
      </c>
      <c r="L476" s="42">
        <v>1310.3499999999999</v>
      </c>
      <c r="M476" s="37" t="s">
        <v>117</v>
      </c>
      <c r="N476" s="40">
        <v>194.13</v>
      </c>
      <c r="O476" s="38">
        <v>194.129526</v>
      </c>
      <c r="P476" s="39"/>
      <c r="Q476" s="39"/>
      <c r="R476" s="40">
        <v>213.31399999999999</v>
      </c>
      <c r="S476" s="38">
        <v>212.442498</v>
      </c>
      <c r="T476" s="38">
        <v>0.49530200000000002</v>
      </c>
      <c r="U476" s="38">
        <v>0.37602600000000003</v>
      </c>
      <c r="V476" s="8">
        <f t="shared" si="7"/>
        <v>2023</v>
      </c>
    </row>
    <row r="477" spans="1:22" hidden="1" x14ac:dyDescent="0.25">
      <c r="A477" s="36">
        <v>45047</v>
      </c>
      <c r="B477" s="37" t="s">
        <v>23</v>
      </c>
      <c r="C477" s="37" t="s">
        <v>108</v>
      </c>
      <c r="D477" s="37" t="s">
        <v>61</v>
      </c>
      <c r="E477" s="37" t="s">
        <v>6</v>
      </c>
      <c r="F477" s="37" t="s">
        <v>131</v>
      </c>
      <c r="G477" s="37" t="s">
        <v>61</v>
      </c>
      <c r="H477" s="37" t="s">
        <v>132</v>
      </c>
      <c r="I477" s="37" t="s">
        <v>127</v>
      </c>
      <c r="J477" s="37" t="s">
        <v>34</v>
      </c>
      <c r="K477" s="38">
        <v>488.02300000000002</v>
      </c>
      <c r="L477" s="42">
        <v>1718.83</v>
      </c>
      <c r="M477" s="37" t="s">
        <v>117</v>
      </c>
      <c r="N477" s="40">
        <v>165.80099999999999</v>
      </c>
      <c r="O477" s="38">
        <v>165.80126899999999</v>
      </c>
      <c r="P477" s="39"/>
      <c r="Q477" s="39"/>
      <c r="R477" s="40">
        <v>182.18600000000001</v>
      </c>
      <c r="S477" s="38">
        <v>181.44192899999999</v>
      </c>
      <c r="T477" s="38">
        <v>0.42302600000000001</v>
      </c>
      <c r="U477" s="38">
        <v>0.321154</v>
      </c>
      <c r="V477" s="8">
        <f t="shared" si="7"/>
        <v>2023</v>
      </c>
    </row>
    <row r="478" spans="1:22" hidden="1" x14ac:dyDescent="0.25">
      <c r="A478" s="36">
        <v>45078</v>
      </c>
      <c r="B478" s="37" t="s">
        <v>23</v>
      </c>
      <c r="C478" s="37" t="s">
        <v>108</v>
      </c>
      <c r="D478" s="37" t="s">
        <v>61</v>
      </c>
      <c r="E478" s="37" t="s">
        <v>6</v>
      </c>
      <c r="F478" s="37" t="s">
        <v>131</v>
      </c>
      <c r="G478" s="37" t="s">
        <v>61</v>
      </c>
      <c r="H478" s="37" t="s">
        <v>132</v>
      </c>
      <c r="I478" s="37" t="s">
        <v>127</v>
      </c>
      <c r="J478" s="37" t="s">
        <v>34</v>
      </c>
      <c r="K478" s="38">
        <v>681.31399999999996</v>
      </c>
      <c r="L478" s="42">
        <v>1828.9</v>
      </c>
      <c r="M478" s="37" t="s">
        <v>117</v>
      </c>
      <c r="N478" s="40">
        <v>231.47</v>
      </c>
      <c r="O478" s="38">
        <v>231.47008500000001</v>
      </c>
      <c r="P478" s="39"/>
      <c r="Q478" s="39"/>
      <c r="R478" s="40">
        <v>254.34399999999999</v>
      </c>
      <c r="S478" s="38">
        <v>253.305533</v>
      </c>
      <c r="T478" s="38">
        <v>0.59057300000000001</v>
      </c>
      <c r="U478" s="38">
        <v>0.44835399999999997</v>
      </c>
      <c r="V478" s="8">
        <f t="shared" si="7"/>
        <v>2023</v>
      </c>
    </row>
    <row r="479" spans="1:22" hidden="1" x14ac:dyDescent="0.25">
      <c r="A479" s="36">
        <v>45108</v>
      </c>
      <c r="B479" s="37" t="s">
        <v>23</v>
      </c>
      <c r="C479" s="37" t="s">
        <v>108</v>
      </c>
      <c r="D479" s="37" t="s">
        <v>61</v>
      </c>
      <c r="E479" s="37" t="s">
        <v>6</v>
      </c>
      <c r="F479" s="37" t="s">
        <v>131</v>
      </c>
      <c r="G479" s="37" t="s">
        <v>61</v>
      </c>
      <c r="H479" s="37" t="s">
        <v>132</v>
      </c>
      <c r="I479" s="37" t="s">
        <v>127</v>
      </c>
      <c r="J479" s="37" t="s">
        <v>34</v>
      </c>
      <c r="K479" s="38">
        <v>673.49300000000005</v>
      </c>
      <c r="L479" s="42">
        <v>2286.4499999999998</v>
      </c>
      <c r="M479" s="37" t="s">
        <v>117</v>
      </c>
      <c r="N479" s="40">
        <v>228.81299999999999</v>
      </c>
      <c r="O479" s="38">
        <v>228.812973</v>
      </c>
      <c r="P479" s="39"/>
      <c r="Q479" s="39"/>
      <c r="R479" s="40">
        <v>251.42500000000001</v>
      </c>
      <c r="S479" s="38">
        <v>250.39776599999999</v>
      </c>
      <c r="T479" s="38">
        <v>0.58379400000000004</v>
      </c>
      <c r="U479" s="38">
        <v>0.44320700000000002</v>
      </c>
      <c r="V479" s="8">
        <f t="shared" si="7"/>
        <v>2023</v>
      </c>
    </row>
    <row r="480" spans="1:22" hidden="1" x14ac:dyDescent="0.25">
      <c r="A480" s="36">
        <v>45139</v>
      </c>
      <c r="B480" s="37" t="s">
        <v>23</v>
      </c>
      <c r="C480" s="37" t="s">
        <v>108</v>
      </c>
      <c r="D480" s="37" t="s">
        <v>61</v>
      </c>
      <c r="E480" s="37" t="s">
        <v>6</v>
      </c>
      <c r="F480" s="37" t="s">
        <v>131</v>
      </c>
      <c r="G480" s="37" t="s">
        <v>61</v>
      </c>
      <c r="H480" s="37" t="s">
        <v>132</v>
      </c>
      <c r="I480" s="37" t="s">
        <v>127</v>
      </c>
      <c r="J480" s="37" t="s">
        <v>34</v>
      </c>
      <c r="K480" s="38">
        <v>653.99099999999999</v>
      </c>
      <c r="L480" s="42">
        <v>2430.9</v>
      </c>
      <c r="M480" s="37" t="s">
        <v>117</v>
      </c>
      <c r="N480" s="40">
        <v>222.18700000000001</v>
      </c>
      <c r="O480" s="38">
        <v>222.18735100000001</v>
      </c>
      <c r="P480" s="39"/>
      <c r="Q480" s="39"/>
      <c r="R480" s="40">
        <v>244.14400000000001</v>
      </c>
      <c r="S480" s="38">
        <v>243.14712299999999</v>
      </c>
      <c r="T480" s="38">
        <v>0.56688899999999998</v>
      </c>
      <c r="U480" s="38">
        <v>0.43037300000000001</v>
      </c>
      <c r="V480" s="8">
        <f t="shared" si="7"/>
        <v>2023</v>
      </c>
    </row>
    <row r="481" spans="1:22" hidden="1" x14ac:dyDescent="0.25">
      <c r="A481" s="36">
        <v>45170</v>
      </c>
      <c r="B481" s="37" t="s">
        <v>23</v>
      </c>
      <c r="C481" s="37" t="s">
        <v>108</v>
      </c>
      <c r="D481" s="37" t="s">
        <v>61</v>
      </c>
      <c r="E481" s="37" t="s">
        <v>6</v>
      </c>
      <c r="F481" s="37" t="s">
        <v>131</v>
      </c>
      <c r="G481" s="37" t="s">
        <v>61</v>
      </c>
      <c r="H481" s="37" t="s">
        <v>132</v>
      </c>
      <c r="I481" s="37" t="s">
        <v>127</v>
      </c>
      <c r="J481" s="37" t="s">
        <v>34</v>
      </c>
      <c r="K481" s="38">
        <v>465.31299999999999</v>
      </c>
      <c r="L481" s="42">
        <v>1932.89</v>
      </c>
      <c r="M481" s="37" t="s">
        <v>117</v>
      </c>
      <c r="N481" s="40">
        <v>158.08600000000001</v>
      </c>
      <c r="O481" s="38">
        <v>158.085758</v>
      </c>
      <c r="P481" s="39"/>
      <c r="Q481" s="39"/>
      <c r="R481" s="40">
        <v>173.708</v>
      </c>
      <c r="S481" s="38">
        <v>172.99858399999999</v>
      </c>
      <c r="T481" s="38">
        <v>0.40333999999999998</v>
      </c>
      <c r="U481" s="38">
        <v>0.30620900000000001</v>
      </c>
      <c r="V481" s="8">
        <f t="shared" si="7"/>
        <v>2023</v>
      </c>
    </row>
    <row r="482" spans="1:22" hidden="1" x14ac:dyDescent="0.25">
      <c r="A482" s="36">
        <v>45200</v>
      </c>
      <c r="B482" s="37" t="s">
        <v>23</v>
      </c>
      <c r="C482" s="37" t="s">
        <v>108</v>
      </c>
      <c r="D482" s="37" t="s">
        <v>61</v>
      </c>
      <c r="E482" s="37" t="s">
        <v>6</v>
      </c>
      <c r="F482" s="37" t="s">
        <v>131</v>
      </c>
      <c r="G482" s="37" t="s">
        <v>61</v>
      </c>
      <c r="H482" s="37" t="s">
        <v>132</v>
      </c>
      <c r="I482" s="37" t="s">
        <v>127</v>
      </c>
      <c r="J482" s="37" t="s">
        <v>34</v>
      </c>
      <c r="K482" s="38">
        <v>132.01400000000001</v>
      </c>
      <c r="L482" s="42">
        <v>15885.83</v>
      </c>
      <c r="M482" s="37" t="s">
        <v>117</v>
      </c>
      <c r="N482" s="40">
        <v>44.850999999999999</v>
      </c>
      <c r="O482" s="38">
        <v>44.850527</v>
      </c>
      <c r="P482" s="39"/>
      <c r="Q482" s="39"/>
      <c r="R482" s="40">
        <v>49.283000000000001</v>
      </c>
      <c r="S482" s="38">
        <v>49.081446999999997</v>
      </c>
      <c r="T482" s="38">
        <v>0.11443200000000001</v>
      </c>
      <c r="U482" s="38">
        <v>8.6874999999999994E-2</v>
      </c>
      <c r="V482" s="8">
        <f t="shared" si="7"/>
        <v>2023</v>
      </c>
    </row>
    <row r="483" spans="1:22" hidden="1" x14ac:dyDescent="0.25">
      <c r="A483" s="36">
        <v>45231</v>
      </c>
      <c r="B483" s="37" t="s">
        <v>23</v>
      </c>
      <c r="C483" s="37" t="s">
        <v>108</v>
      </c>
      <c r="D483" s="37" t="s">
        <v>61</v>
      </c>
      <c r="E483" s="37" t="s">
        <v>6</v>
      </c>
      <c r="F483" s="37" t="s">
        <v>131</v>
      </c>
      <c r="G483" s="37" t="s">
        <v>61</v>
      </c>
      <c r="H483" s="37" t="s">
        <v>132</v>
      </c>
      <c r="I483" s="37" t="s">
        <v>127</v>
      </c>
      <c r="J483" s="37" t="s">
        <v>34</v>
      </c>
      <c r="K483" s="38">
        <v>6.0584800000000003</v>
      </c>
      <c r="L483" s="42">
        <v>1651.13</v>
      </c>
      <c r="M483" s="37" t="s">
        <v>117</v>
      </c>
      <c r="N483" s="40">
        <v>2.0579999999999998</v>
      </c>
      <c r="O483" s="38">
        <v>2.0583119999999999</v>
      </c>
      <c r="P483" s="39"/>
      <c r="Q483" s="39"/>
      <c r="R483" s="40">
        <v>2.262</v>
      </c>
      <c r="S483" s="38">
        <v>2.252481</v>
      </c>
      <c r="T483" s="38">
        <v>5.2519999999999997E-3</v>
      </c>
      <c r="U483" s="38">
        <v>3.9870000000000001E-3</v>
      </c>
      <c r="V483" s="8">
        <f t="shared" si="7"/>
        <v>2023</v>
      </c>
    </row>
    <row r="484" spans="1:22" hidden="1" x14ac:dyDescent="0.25">
      <c r="A484" s="36">
        <v>45261</v>
      </c>
      <c r="B484" s="37" t="s">
        <v>23</v>
      </c>
      <c r="C484" s="37" t="s">
        <v>108</v>
      </c>
      <c r="D484" s="37" t="s">
        <v>61</v>
      </c>
      <c r="E484" s="37" t="s">
        <v>6</v>
      </c>
      <c r="F484" s="37" t="s">
        <v>131</v>
      </c>
      <c r="G484" s="37" t="s">
        <v>61</v>
      </c>
      <c r="H484" s="37" t="s">
        <v>132</v>
      </c>
      <c r="I484" s="37" t="s">
        <v>127</v>
      </c>
      <c r="J484" s="37" t="s">
        <v>34</v>
      </c>
      <c r="K484" s="38">
        <v>6.1539999999999999</v>
      </c>
      <c r="L484" s="42">
        <v>1559.41</v>
      </c>
      <c r="M484" s="37" t="s">
        <v>117</v>
      </c>
      <c r="N484" s="40">
        <v>2.0910000000000002</v>
      </c>
      <c r="O484" s="38">
        <v>2.0907640000000001</v>
      </c>
      <c r="P484" s="39"/>
      <c r="Q484" s="39"/>
      <c r="R484" s="40">
        <v>2.2970000000000002</v>
      </c>
      <c r="S484" s="38">
        <v>2.2879939999999999</v>
      </c>
      <c r="T484" s="38">
        <v>5.3340000000000002E-3</v>
      </c>
      <c r="U484" s="38">
        <v>4.0499999999999998E-3</v>
      </c>
      <c r="V484" s="8">
        <f t="shared" si="7"/>
        <v>2023</v>
      </c>
    </row>
    <row r="485" spans="1:22" hidden="1" x14ac:dyDescent="0.25">
      <c r="A485" s="36">
        <v>44927</v>
      </c>
      <c r="B485" s="37" t="s">
        <v>30</v>
      </c>
      <c r="C485" s="37" t="s">
        <v>108</v>
      </c>
      <c r="D485" s="37" t="s">
        <v>61</v>
      </c>
      <c r="E485" s="37" t="s">
        <v>7</v>
      </c>
      <c r="F485" s="37" t="s">
        <v>131</v>
      </c>
      <c r="G485" s="37" t="s">
        <v>61</v>
      </c>
      <c r="H485" s="37" t="s">
        <v>132</v>
      </c>
      <c r="I485" s="37" t="s">
        <v>127</v>
      </c>
      <c r="J485" s="37" t="s">
        <v>52</v>
      </c>
      <c r="K485" s="38">
        <v>35.1</v>
      </c>
      <c r="L485" s="39"/>
      <c r="M485" s="37" t="s">
        <v>117</v>
      </c>
      <c r="N485" s="40">
        <v>16.568999999999999</v>
      </c>
      <c r="O485" s="38">
        <v>16.568594999999998</v>
      </c>
      <c r="P485" s="39"/>
      <c r="Q485" s="39"/>
      <c r="R485" s="40">
        <v>16.568999999999999</v>
      </c>
      <c r="S485" s="38">
        <v>16.568594999999998</v>
      </c>
      <c r="T485" s="39"/>
      <c r="U485" s="39"/>
      <c r="V485" s="8">
        <f t="shared" si="7"/>
        <v>2023</v>
      </c>
    </row>
    <row r="486" spans="1:22" hidden="1" x14ac:dyDescent="0.25">
      <c r="A486" s="36">
        <v>44958</v>
      </c>
      <c r="B486" s="37" t="s">
        <v>30</v>
      </c>
      <c r="C486" s="37" t="s">
        <v>108</v>
      </c>
      <c r="D486" s="37" t="s">
        <v>61</v>
      </c>
      <c r="E486" s="37" t="s">
        <v>7</v>
      </c>
      <c r="F486" s="37" t="s">
        <v>131</v>
      </c>
      <c r="G486" s="37" t="s">
        <v>61</v>
      </c>
      <c r="H486" s="37" t="s">
        <v>132</v>
      </c>
      <c r="I486" s="37" t="s">
        <v>127</v>
      </c>
      <c r="J486" s="37" t="s">
        <v>52</v>
      </c>
      <c r="K486" s="38">
        <v>35.1</v>
      </c>
      <c r="L486" s="39"/>
      <c r="M486" s="37" t="s">
        <v>117</v>
      </c>
      <c r="N486" s="40">
        <v>16.568999999999999</v>
      </c>
      <c r="O486" s="38">
        <v>16.568594999999998</v>
      </c>
      <c r="P486" s="39"/>
      <c r="Q486" s="39"/>
      <c r="R486" s="40">
        <v>16.568999999999999</v>
      </c>
      <c r="S486" s="38">
        <v>16.568594999999998</v>
      </c>
      <c r="T486" s="39"/>
      <c r="U486" s="39"/>
      <c r="V486" s="8">
        <f t="shared" si="7"/>
        <v>2023</v>
      </c>
    </row>
    <row r="487" spans="1:22" hidden="1" x14ac:dyDescent="0.25">
      <c r="A487" s="36">
        <v>44986</v>
      </c>
      <c r="B487" s="37" t="s">
        <v>30</v>
      </c>
      <c r="C487" s="37" t="s">
        <v>108</v>
      </c>
      <c r="D487" s="37" t="s">
        <v>61</v>
      </c>
      <c r="E487" s="37" t="s">
        <v>7</v>
      </c>
      <c r="F487" s="37" t="s">
        <v>131</v>
      </c>
      <c r="G487" s="37" t="s">
        <v>61</v>
      </c>
      <c r="H487" s="37" t="s">
        <v>132</v>
      </c>
      <c r="I487" s="37" t="s">
        <v>127</v>
      </c>
      <c r="J487" s="37" t="s">
        <v>52</v>
      </c>
      <c r="K487" s="38">
        <v>35.1</v>
      </c>
      <c r="L487" s="39"/>
      <c r="M487" s="37" t="s">
        <v>117</v>
      </c>
      <c r="N487" s="40">
        <v>16.568999999999999</v>
      </c>
      <c r="O487" s="38">
        <v>16.568594999999998</v>
      </c>
      <c r="P487" s="39"/>
      <c r="Q487" s="39"/>
      <c r="R487" s="40">
        <v>16.568999999999999</v>
      </c>
      <c r="S487" s="38">
        <v>16.568594999999998</v>
      </c>
      <c r="T487" s="39"/>
      <c r="U487" s="39"/>
      <c r="V487" s="8">
        <f t="shared" si="7"/>
        <v>2023</v>
      </c>
    </row>
    <row r="488" spans="1:22" hidden="1" x14ac:dyDescent="0.25">
      <c r="A488" s="36">
        <v>45017</v>
      </c>
      <c r="B488" s="37" t="s">
        <v>30</v>
      </c>
      <c r="C488" s="37" t="s">
        <v>108</v>
      </c>
      <c r="D488" s="37" t="s">
        <v>61</v>
      </c>
      <c r="E488" s="37" t="s">
        <v>7</v>
      </c>
      <c r="F488" s="37" t="s">
        <v>131</v>
      </c>
      <c r="G488" s="37" t="s">
        <v>61</v>
      </c>
      <c r="H488" s="37" t="s">
        <v>132</v>
      </c>
      <c r="I488" s="37" t="s">
        <v>127</v>
      </c>
      <c r="J488" s="37" t="s">
        <v>52</v>
      </c>
      <c r="K488" s="38">
        <v>35.1</v>
      </c>
      <c r="L488" s="39"/>
      <c r="M488" s="37" t="s">
        <v>117</v>
      </c>
      <c r="N488" s="40">
        <v>16.568999999999999</v>
      </c>
      <c r="O488" s="38">
        <v>16.568594999999998</v>
      </c>
      <c r="P488" s="39"/>
      <c r="Q488" s="39"/>
      <c r="R488" s="40">
        <v>16.568999999999999</v>
      </c>
      <c r="S488" s="38">
        <v>16.568594999999998</v>
      </c>
      <c r="T488" s="39"/>
      <c r="U488" s="39"/>
      <c r="V488" s="8">
        <f t="shared" si="7"/>
        <v>2023</v>
      </c>
    </row>
    <row r="489" spans="1:22" hidden="1" x14ac:dyDescent="0.25">
      <c r="A489" s="36">
        <v>45047</v>
      </c>
      <c r="B489" s="37" t="s">
        <v>30</v>
      </c>
      <c r="C489" s="37" t="s">
        <v>108</v>
      </c>
      <c r="D489" s="37" t="s">
        <v>61</v>
      </c>
      <c r="E489" s="37" t="s">
        <v>7</v>
      </c>
      <c r="F489" s="37" t="s">
        <v>131</v>
      </c>
      <c r="G489" s="37" t="s">
        <v>61</v>
      </c>
      <c r="H489" s="37" t="s">
        <v>132</v>
      </c>
      <c r="I489" s="37" t="s">
        <v>127</v>
      </c>
      <c r="J489" s="37" t="s">
        <v>52</v>
      </c>
      <c r="K489" s="38">
        <v>35.1</v>
      </c>
      <c r="L489" s="39"/>
      <c r="M489" s="37" t="s">
        <v>117</v>
      </c>
      <c r="N489" s="40">
        <v>16.568999999999999</v>
      </c>
      <c r="O489" s="38">
        <v>16.568594999999998</v>
      </c>
      <c r="P489" s="39"/>
      <c r="Q489" s="39"/>
      <c r="R489" s="40">
        <v>16.568999999999999</v>
      </c>
      <c r="S489" s="38">
        <v>16.568594999999998</v>
      </c>
      <c r="T489" s="39"/>
      <c r="U489" s="39"/>
      <c r="V489" s="8">
        <f t="shared" si="7"/>
        <v>2023</v>
      </c>
    </row>
    <row r="490" spans="1:22" hidden="1" x14ac:dyDescent="0.25">
      <c r="A490" s="36">
        <v>45078</v>
      </c>
      <c r="B490" s="37" t="s">
        <v>30</v>
      </c>
      <c r="C490" s="37" t="s">
        <v>108</v>
      </c>
      <c r="D490" s="37" t="s">
        <v>61</v>
      </c>
      <c r="E490" s="37" t="s">
        <v>7</v>
      </c>
      <c r="F490" s="37" t="s">
        <v>131</v>
      </c>
      <c r="G490" s="37" t="s">
        <v>61</v>
      </c>
      <c r="H490" s="37" t="s">
        <v>132</v>
      </c>
      <c r="I490" s="37" t="s">
        <v>127</v>
      </c>
      <c r="J490" s="37" t="s">
        <v>52</v>
      </c>
      <c r="K490" s="38">
        <v>35.1</v>
      </c>
      <c r="L490" s="39"/>
      <c r="M490" s="37" t="s">
        <v>117</v>
      </c>
      <c r="N490" s="40">
        <v>16.568999999999999</v>
      </c>
      <c r="O490" s="38">
        <v>16.568594999999998</v>
      </c>
      <c r="P490" s="39"/>
      <c r="Q490" s="39"/>
      <c r="R490" s="40">
        <v>16.568999999999999</v>
      </c>
      <c r="S490" s="38">
        <v>16.568594999999998</v>
      </c>
      <c r="T490" s="39"/>
      <c r="U490" s="39"/>
      <c r="V490" s="8">
        <f t="shared" si="7"/>
        <v>2023</v>
      </c>
    </row>
    <row r="491" spans="1:22" hidden="1" x14ac:dyDescent="0.25">
      <c r="A491" s="36">
        <v>45108</v>
      </c>
      <c r="B491" s="37" t="s">
        <v>30</v>
      </c>
      <c r="C491" s="37" t="s">
        <v>108</v>
      </c>
      <c r="D491" s="37" t="s">
        <v>61</v>
      </c>
      <c r="E491" s="37" t="s">
        <v>7</v>
      </c>
      <c r="F491" s="37" t="s">
        <v>131</v>
      </c>
      <c r="G491" s="37" t="s">
        <v>61</v>
      </c>
      <c r="H491" s="37" t="s">
        <v>132</v>
      </c>
      <c r="I491" s="37" t="s">
        <v>127</v>
      </c>
      <c r="J491" s="37" t="s">
        <v>52</v>
      </c>
      <c r="K491" s="38">
        <v>35.1</v>
      </c>
      <c r="L491" s="39"/>
      <c r="M491" s="37" t="s">
        <v>117</v>
      </c>
      <c r="N491" s="40">
        <v>16.568999999999999</v>
      </c>
      <c r="O491" s="38">
        <v>16.568594999999998</v>
      </c>
      <c r="P491" s="39"/>
      <c r="Q491" s="39"/>
      <c r="R491" s="40">
        <v>16.568999999999999</v>
      </c>
      <c r="S491" s="38">
        <v>16.568594999999998</v>
      </c>
      <c r="T491" s="39"/>
      <c r="U491" s="39"/>
      <c r="V491" s="8">
        <f t="shared" si="7"/>
        <v>2023</v>
      </c>
    </row>
    <row r="492" spans="1:22" hidden="1" x14ac:dyDescent="0.25">
      <c r="A492" s="36">
        <v>45139</v>
      </c>
      <c r="B492" s="37" t="s">
        <v>30</v>
      </c>
      <c r="C492" s="37" t="s">
        <v>108</v>
      </c>
      <c r="D492" s="37" t="s">
        <v>61</v>
      </c>
      <c r="E492" s="37" t="s">
        <v>7</v>
      </c>
      <c r="F492" s="37" t="s">
        <v>131</v>
      </c>
      <c r="G492" s="37" t="s">
        <v>61</v>
      </c>
      <c r="H492" s="37" t="s">
        <v>132</v>
      </c>
      <c r="I492" s="37" t="s">
        <v>127</v>
      </c>
      <c r="J492" s="37" t="s">
        <v>52</v>
      </c>
      <c r="K492" s="38">
        <v>35.1</v>
      </c>
      <c r="L492" s="39"/>
      <c r="M492" s="37" t="s">
        <v>117</v>
      </c>
      <c r="N492" s="40">
        <v>16.568999999999999</v>
      </c>
      <c r="O492" s="38">
        <v>16.568594999999998</v>
      </c>
      <c r="P492" s="39"/>
      <c r="Q492" s="39"/>
      <c r="R492" s="40">
        <v>16.568999999999999</v>
      </c>
      <c r="S492" s="38">
        <v>16.568594999999998</v>
      </c>
      <c r="T492" s="39"/>
      <c r="U492" s="39"/>
      <c r="V492" s="8">
        <f t="shared" si="7"/>
        <v>2023</v>
      </c>
    </row>
    <row r="493" spans="1:22" hidden="1" x14ac:dyDescent="0.25">
      <c r="A493" s="36">
        <v>45170</v>
      </c>
      <c r="B493" s="37" t="s">
        <v>30</v>
      </c>
      <c r="C493" s="37" t="s">
        <v>108</v>
      </c>
      <c r="D493" s="37" t="s">
        <v>61</v>
      </c>
      <c r="E493" s="37" t="s">
        <v>7</v>
      </c>
      <c r="F493" s="37" t="s">
        <v>131</v>
      </c>
      <c r="G493" s="37" t="s">
        <v>61</v>
      </c>
      <c r="H493" s="37" t="s">
        <v>132</v>
      </c>
      <c r="I493" s="37" t="s">
        <v>127</v>
      </c>
      <c r="J493" s="37" t="s">
        <v>52</v>
      </c>
      <c r="K493" s="38">
        <v>35.1</v>
      </c>
      <c r="L493" s="39"/>
      <c r="M493" s="37" t="s">
        <v>117</v>
      </c>
      <c r="N493" s="40">
        <v>16.568999999999999</v>
      </c>
      <c r="O493" s="38">
        <v>16.568594999999998</v>
      </c>
      <c r="P493" s="39"/>
      <c r="Q493" s="39"/>
      <c r="R493" s="40">
        <v>16.568999999999999</v>
      </c>
      <c r="S493" s="38">
        <v>16.568594999999998</v>
      </c>
      <c r="T493" s="39"/>
      <c r="U493" s="39"/>
      <c r="V493" s="8">
        <f t="shared" si="7"/>
        <v>2023</v>
      </c>
    </row>
    <row r="494" spans="1:22" hidden="1" x14ac:dyDescent="0.25">
      <c r="A494" s="36">
        <v>45200</v>
      </c>
      <c r="B494" s="37" t="s">
        <v>30</v>
      </c>
      <c r="C494" s="37" t="s">
        <v>108</v>
      </c>
      <c r="D494" s="37" t="s">
        <v>61</v>
      </c>
      <c r="E494" s="37" t="s">
        <v>7</v>
      </c>
      <c r="F494" s="37" t="s">
        <v>131</v>
      </c>
      <c r="G494" s="37" t="s">
        <v>61</v>
      </c>
      <c r="H494" s="37" t="s">
        <v>132</v>
      </c>
      <c r="I494" s="37" t="s">
        <v>127</v>
      </c>
      <c r="J494" s="37" t="s">
        <v>52</v>
      </c>
      <c r="K494" s="38">
        <v>35.1</v>
      </c>
      <c r="L494" s="39"/>
      <c r="M494" s="37" t="s">
        <v>117</v>
      </c>
      <c r="N494" s="40">
        <v>16.568999999999999</v>
      </c>
      <c r="O494" s="38">
        <v>16.568594999999998</v>
      </c>
      <c r="P494" s="39"/>
      <c r="Q494" s="39"/>
      <c r="R494" s="40">
        <v>16.568999999999999</v>
      </c>
      <c r="S494" s="38">
        <v>16.568594999999998</v>
      </c>
      <c r="T494" s="39"/>
      <c r="U494" s="39"/>
      <c r="V494" s="8">
        <f t="shared" si="7"/>
        <v>2023</v>
      </c>
    </row>
    <row r="495" spans="1:22" hidden="1" x14ac:dyDescent="0.25">
      <c r="A495" s="36">
        <v>45231</v>
      </c>
      <c r="B495" s="37" t="s">
        <v>30</v>
      </c>
      <c r="C495" s="37" t="s">
        <v>108</v>
      </c>
      <c r="D495" s="37" t="s">
        <v>61</v>
      </c>
      <c r="E495" s="37" t="s">
        <v>7</v>
      </c>
      <c r="F495" s="37" t="s">
        <v>131</v>
      </c>
      <c r="G495" s="37" t="s">
        <v>61</v>
      </c>
      <c r="H495" s="37" t="s">
        <v>132</v>
      </c>
      <c r="I495" s="37" t="s">
        <v>127</v>
      </c>
      <c r="J495" s="37" t="s">
        <v>52</v>
      </c>
      <c r="K495" s="38">
        <v>35.1</v>
      </c>
      <c r="L495" s="39"/>
      <c r="M495" s="37" t="s">
        <v>117</v>
      </c>
      <c r="N495" s="40">
        <v>16.568999999999999</v>
      </c>
      <c r="O495" s="38">
        <v>16.568594999999998</v>
      </c>
      <c r="P495" s="39"/>
      <c r="Q495" s="39"/>
      <c r="R495" s="40">
        <v>16.568999999999999</v>
      </c>
      <c r="S495" s="38">
        <v>16.568594999999998</v>
      </c>
      <c r="T495" s="39"/>
      <c r="U495" s="39"/>
      <c r="V495" s="8">
        <f t="shared" si="7"/>
        <v>2023</v>
      </c>
    </row>
    <row r="496" spans="1:22" hidden="1" x14ac:dyDescent="0.25">
      <c r="A496" s="36">
        <v>45261</v>
      </c>
      <c r="B496" s="37" t="s">
        <v>30</v>
      </c>
      <c r="C496" s="37" t="s">
        <v>108</v>
      </c>
      <c r="D496" s="37" t="s">
        <v>61</v>
      </c>
      <c r="E496" s="37" t="s">
        <v>7</v>
      </c>
      <c r="F496" s="37" t="s">
        <v>131</v>
      </c>
      <c r="G496" s="37" t="s">
        <v>61</v>
      </c>
      <c r="H496" s="37" t="s">
        <v>132</v>
      </c>
      <c r="I496" s="37" t="s">
        <v>127</v>
      </c>
      <c r="J496" s="37" t="s">
        <v>52</v>
      </c>
      <c r="K496" s="38">
        <v>35.1</v>
      </c>
      <c r="L496" s="39"/>
      <c r="M496" s="37" t="s">
        <v>117</v>
      </c>
      <c r="N496" s="40">
        <v>16.568999999999999</v>
      </c>
      <c r="O496" s="38">
        <v>16.568594999999998</v>
      </c>
      <c r="P496" s="39"/>
      <c r="Q496" s="39"/>
      <c r="R496" s="40">
        <v>16.568999999999999</v>
      </c>
      <c r="S496" s="38">
        <v>16.568594999999998</v>
      </c>
      <c r="T496" s="39"/>
      <c r="U496" s="39"/>
      <c r="V496" s="8">
        <f t="shared" si="7"/>
        <v>2023</v>
      </c>
    </row>
    <row r="497" spans="1:22" hidden="1" x14ac:dyDescent="0.25">
      <c r="A497" s="36">
        <v>44562</v>
      </c>
      <c r="B497" s="37" t="s">
        <v>11</v>
      </c>
      <c r="C497" s="37" t="s">
        <v>113</v>
      </c>
      <c r="D497" s="37" t="s">
        <v>62</v>
      </c>
      <c r="E497" s="37" t="s">
        <v>5</v>
      </c>
      <c r="F497" s="37" t="s">
        <v>133</v>
      </c>
      <c r="G497" s="37" t="s">
        <v>62</v>
      </c>
      <c r="H497" s="37" t="s">
        <v>130</v>
      </c>
      <c r="I497" s="37" t="s">
        <v>127</v>
      </c>
      <c r="J497" s="37" t="s">
        <v>34</v>
      </c>
      <c r="K497" s="38">
        <v>0</v>
      </c>
      <c r="L497" s="39"/>
      <c r="M497" s="37"/>
      <c r="N497" s="40">
        <v>0</v>
      </c>
      <c r="O497" s="38">
        <v>0</v>
      </c>
      <c r="P497" s="38">
        <v>0</v>
      </c>
      <c r="Q497" s="38">
        <v>0</v>
      </c>
      <c r="R497" s="40">
        <v>0</v>
      </c>
      <c r="S497" s="38">
        <v>0</v>
      </c>
      <c r="T497" s="38">
        <v>0</v>
      </c>
      <c r="U497" s="38">
        <v>0</v>
      </c>
      <c r="V497" s="8">
        <f t="shared" si="7"/>
        <v>2022</v>
      </c>
    </row>
    <row r="498" spans="1:22" hidden="1" x14ac:dyDescent="0.25">
      <c r="A498" s="36">
        <v>44562</v>
      </c>
      <c r="B498" s="37" t="s">
        <v>19</v>
      </c>
      <c r="C498" s="37" t="s">
        <v>113</v>
      </c>
      <c r="D498" s="37" t="s">
        <v>62</v>
      </c>
      <c r="E498" s="37" t="s">
        <v>5</v>
      </c>
      <c r="F498" s="37" t="s">
        <v>133</v>
      </c>
      <c r="G498" s="37" t="s">
        <v>62</v>
      </c>
      <c r="H498" s="37" t="s">
        <v>130</v>
      </c>
      <c r="I498" s="37" t="s">
        <v>127</v>
      </c>
      <c r="J498" s="37" t="s">
        <v>34</v>
      </c>
      <c r="K498" s="38">
        <v>11.564643</v>
      </c>
      <c r="L498" s="39"/>
      <c r="M498" s="37"/>
      <c r="N498" s="40">
        <v>2.0960000000000001</v>
      </c>
      <c r="O498" s="38">
        <v>2.0937579999999998</v>
      </c>
      <c r="P498" s="38">
        <v>1.077E-3</v>
      </c>
      <c r="Q498" s="38">
        <v>1.176E-3</v>
      </c>
      <c r="R498" s="40">
        <v>2.0960000000000001</v>
      </c>
      <c r="S498" s="38">
        <v>2.0937579999999998</v>
      </c>
      <c r="T498" s="38">
        <v>1.077E-3</v>
      </c>
      <c r="U498" s="38">
        <v>1.176E-3</v>
      </c>
      <c r="V498" s="8">
        <f t="shared" si="7"/>
        <v>2022</v>
      </c>
    </row>
    <row r="499" spans="1:22" hidden="1" x14ac:dyDescent="0.25">
      <c r="A499" s="36">
        <v>44562</v>
      </c>
      <c r="B499" s="37" t="s">
        <v>20</v>
      </c>
      <c r="C499" s="37" t="s">
        <v>113</v>
      </c>
      <c r="D499" s="37" t="s">
        <v>62</v>
      </c>
      <c r="E499" s="37" t="s">
        <v>5</v>
      </c>
      <c r="F499" s="37" t="s">
        <v>133</v>
      </c>
      <c r="G499" s="37" t="s">
        <v>62</v>
      </c>
      <c r="H499" s="37" t="s">
        <v>130</v>
      </c>
      <c r="I499" s="37" t="s">
        <v>127</v>
      </c>
      <c r="J499" s="37" t="s">
        <v>34</v>
      </c>
      <c r="K499" s="38">
        <v>0</v>
      </c>
      <c r="L499" s="39"/>
      <c r="M499" s="37"/>
      <c r="N499" s="40">
        <v>0</v>
      </c>
      <c r="O499" s="38">
        <v>0</v>
      </c>
      <c r="P499" s="38">
        <v>0</v>
      </c>
      <c r="Q499" s="38">
        <v>0</v>
      </c>
      <c r="R499" s="39" t="s">
        <v>117</v>
      </c>
      <c r="S499" s="39"/>
      <c r="T499" s="39"/>
      <c r="U499" s="39"/>
      <c r="V499" s="8">
        <f t="shared" si="7"/>
        <v>2022</v>
      </c>
    </row>
    <row r="500" spans="1:22" hidden="1" x14ac:dyDescent="0.25">
      <c r="A500" s="36">
        <v>44593</v>
      </c>
      <c r="B500" s="37" t="s">
        <v>11</v>
      </c>
      <c r="C500" s="37" t="s">
        <v>113</v>
      </c>
      <c r="D500" s="37" t="s">
        <v>62</v>
      </c>
      <c r="E500" s="37" t="s">
        <v>5</v>
      </c>
      <c r="F500" s="37" t="s">
        <v>133</v>
      </c>
      <c r="G500" s="37" t="s">
        <v>62</v>
      </c>
      <c r="H500" s="37" t="s">
        <v>130</v>
      </c>
      <c r="I500" s="37" t="s">
        <v>127</v>
      </c>
      <c r="J500" s="37" t="s">
        <v>34</v>
      </c>
      <c r="K500" s="38">
        <v>0</v>
      </c>
      <c r="L500" s="39"/>
      <c r="M500" s="37"/>
      <c r="N500" s="40">
        <v>0</v>
      </c>
      <c r="O500" s="38">
        <v>0</v>
      </c>
      <c r="P500" s="38">
        <v>0</v>
      </c>
      <c r="Q500" s="38">
        <v>0</v>
      </c>
      <c r="R500" s="40">
        <v>0</v>
      </c>
      <c r="S500" s="38">
        <v>0</v>
      </c>
      <c r="T500" s="38">
        <v>0</v>
      </c>
      <c r="U500" s="38">
        <v>0</v>
      </c>
      <c r="V500" s="8">
        <f t="shared" ref="V500:V563" si="8">YEAR(A500)</f>
        <v>2022</v>
      </c>
    </row>
    <row r="501" spans="1:22" hidden="1" x14ac:dyDescent="0.25">
      <c r="A501" s="36">
        <v>44593</v>
      </c>
      <c r="B501" s="37" t="s">
        <v>19</v>
      </c>
      <c r="C501" s="37" t="s">
        <v>113</v>
      </c>
      <c r="D501" s="37" t="s">
        <v>62</v>
      </c>
      <c r="E501" s="37" t="s">
        <v>5</v>
      </c>
      <c r="F501" s="37" t="s">
        <v>133</v>
      </c>
      <c r="G501" s="37" t="s">
        <v>62</v>
      </c>
      <c r="H501" s="37" t="s">
        <v>130</v>
      </c>
      <c r="I501" s="37" t="s">
        <v>127</v>
      </c>
      <c r="J501" s="37" t="s">
        <v>34</v>
      </c>
      <c r="K501" s="38">
        <v>11.564643</v>
      </c>
      <c r="L501" s="39"/>
      <c r="M501" s="37"/>
      <c r="N501" s="40">
        <v>2.0960000000000001</v>
      </c>
      <c r="O501" s="38">
        <v>2.0937579999999998</v>
      </c>
      <c r="P501" s="38">
        <v>1.077E-3</v>
      </c>
      <c r="Q501" s="38">
        <v>1.176E-3</v>
      </c>
      <c r="R501" s="40">
        <v>2.0960000000000001</v>
      </c>
      <c r="S501" s="38">
        <v>2.0937579999999998</v>
      </c>
      <c r="T501" s="38">
        <v>1.077E-3</v>
      </c>
      <c r="U501" s="38">
        <v>1.176E-3</v>
      </c>
      <c r="V501" s="8">
        <f t="shared" si="8"/>
        <v>2022</v>
      </c>
    </row>
    <row r="502" spans="1:22" hidden="1" x14ac:dyDescent="0.25">
      <c r="A502" s="36">
        <v>44593</v>
      </c>
      <c r="B502" s="37" t="s">
        <v>20</v>
      </c>
      <c r="C502" s="37" t="s">
        <v>113</v>
      </c>
      <c r="D502" s="37" t="s">
        <v>62</v>
      </c>
      <c r="E502" s="37" t="s">
        <v>5</v>
      </c>
      <c r="F502" s="37" t="s">
        <v>133</v>
      </c>
      <c r="G502" s="37" t="s">
        <v>62</v>
      </c>
      <c r="H502" s="37" t="s">
        <v>130</v>
      </c>
      <c r="I502" s="37" t="s">
        <v>127</v>
      </c>
      <c r="J502" s="37" t="s">
        <v>34</v>
      </c>
      <c r="K502" s="38">
        <v>0</v>
      </c>
      <c r="L502" s="39"/>
      <c r="M502" s="37"/>
      <c r="N502" s="40">
        <v>0</v>
      </c>
      <c r="O502" s="38">
        <v>0</v>
      </c>
      <c r="P502" s="38">
        <v>0</v>
      </c>
      <c r="Q502" s="38">
        <v>0</v>
      </c>
      <c r="R502" s="39" t="s">
        <v>117</v>
      </c>
      <c r="S502" s="39"/>
      <c r="T502" s="39"/>
      <c r="U502" s="39"/>
      <c r="V502" s="8">
        <f t="shared" si="8"/>
        <v>2022</v>
      </c>
    </row>
    <row r="503" spans="1:22" hidden="1" x14ac:dyDescent="0.25">
      <c r="A503" s="36">
        <v>44621</v>
      </c>
      <c r="B503" s="37" t="s">
        <v>11</v>
      </c>
      <c r="C503" s="37" t="s">
        <v>113</v>
      </c>
      <c r="D503" s="37" t="s">
        <v>62</v>
      </c>
      <c r="E503" s="37" t="s">
        <v>5</v>
      </c>
      <c r="F503" s="37" t="s">
        <v>133</v>
      </c>
      <c r="G503" s="37" t="s">
        <v>62</v>
      </c>
      <c r="H503" s="37" t="s">
        <v>130</v>
      </c>
      <c r="I503" s="37" t="s">
        <v>127</v>
      </c>
      <c r="J503" s="37" t="s">
        <v>34</v>
      </c>
      <c r="K503" s="38">
        <v>0</v>
      </c>
      <c r="L503" s="39"/>
      <c r="M503" s="37"/>
      <c r="N503" s="40">
        <v>0</v>
      </c>
      <c r="O503" s="38">
        <v>0</v>
      </c>
      <c r="P503" s="38">
        <v>0</v>
      </c>
      <c r="Q503" s="38">
        <v>0</v>
      </c>
      <c r="R503" s="40">
        <v>0</v>
      </c>
      <c r="S503" s="38">
        <v>0</v>
      </c>
      <c r="T503" s="38">
        <v>0</v>
      </c>
      <c r="U503" s="38">
        <v>0</v>
      </c>
      <c r="V503" s="8">
        <f t="shared" si="8"/>
        <v>2022</v>
      </c>
    </row>
    <row r="504" spans="1:22" hidden="1" x14ac:dyDescent="0.25">
      <c r="A504" s="36">
        <v>44621</v>
      </c>
      <c r="B504" s="37" t="s">
        <v>19</v>
      </c>
      <c r="C504" s="37" t="s">
        <v>113</v>
      </c>
      <c r="D504" s="37" t="s">
        <v>62</v>
      </c>
      <c r="E504" s="37" t="s">
        <v>5</v>
      </c>
      <c r="F504" s="37" t="s">
        <v>133</v>
      </c>
      <c r="G504" s="37" t="s">
        <v>62</v>
      </c>
      <c r="H504" s="37" t="s">
        <v>130</v>
      </c>
      <c r="I504" s="37" t="s">
        <v>127</v>
      </c>
      <c r="J504" s="37" t="s">
        <v>34</v>
      </c>
      <c r="K504" s="38">
        <v>11.564643</v>
      </c>
      <c r="L504" s="39"/>
      <c r="M504" s="37"/>
      <c r="N504" s="40">
        <v>2.0960000000000001</v>
      </c>
      <c r="O504" s="38">
        <v>2.0937579999999998</v>
      </c>
      <c r="P504" s="38">
        <v>1.077E-3</v>
      </c>
      <c r="Q504" s="38">
        <v>1.176E-3</v>
      </c>
      <c r="R504" s="40">
        <v>2.0960000000000001</v>
      </c>
      <c r="S504" s="38">
        <v>2.0937579999999998</v>
      </c>
      <c r="T504" s="38">
        <v>1.077E-3</v>
      </c>
      <c r="U504" s="38">
        <v>1.176E-3</v>
      </c>
      <c r="V504" s="8">
        <f t="shared" si="8"/>
        <v>2022</v>
      </c>
    </row>
    <row r="505" spans="1:22" hidden="1" x14ac:dyDescent="0.25">
      <c r="A505" s="36">
        <v>44621</v>
      </c>
      <c r="B505" s="37" t="s">
        <v>20</v>
      </c>
      <c r="C505" s="37" t="s">
        <v>113</v>
      </c>
      <c r="D505" s="37" t="s">
        <v>62</v>
      </c>
      <c r="E505" s="37" t="s">
        <v>5</v>
      </c>
      <c r="F505" s="37" t="s">
        <v>133</v>
      </c>
      <c r="G505" s="37" t="s">
        <v>62</v>
      </c>
      <c r="H505" s="37" t="s">
        <v>130</v>
      </c>
      <c r="I505" s="37" t="s">
        <v>127</v>
      </c>
      <c r="J505" s="37" t="s">
        <v>34</v>
      </c>
      <c r="K505" s="38">
        <v>0</v>
      </c>
      <c r="L505" s="39"/>
      <c r="M505" s="37"/>
      <c r="N505" s="40">
        <v>0</v>
      </c>
      <c r="O505" s="38">
        <v>0</v>
      </c>
      <c r="P505" s="38">
        <v>0</v>
      </c>
      <c r="Q505" s="38">
        <v>0</v>
      </c>
      <c r="R505" s="39" t="s">
        <v>117</v>
      </c>
      <c r="S505" s="39"/>
      <c r="T505" s="39"/>
      <c r="U505" s="39"/>
      <c r="V505" s="8">
        <f t="shared" si="8"/>
        <v>2022</v>
      </c>
    </row>
    <row r="506" spans="1:22" hidden="1" x14ac:dyDescent="0.25">
      <c r="A506" s="36">
        <v>44652</v>
      </c>
      <c r="B506" s="37" t="s">
        <v>11</v>
      </c>
      <c r="C506" s="37" t="s">
        <v>113</v>
      </c>
      <c r="D506" s="37" t="s">
        <v>62</v>
      </c>
      <c r="E506" s="37" t="s">
        <v>5</v>
      </c>
      <c r="F506" s="37" t="s">
        <v>133</v>
      </c>
      <c r="G506" s="37" t="s">
        <v>62</v>
      </c>
      <c r="H506" s="37" t="s">
        <v>130</v>
      </c>
      <c r="I506" s="37" t="s">
        <v>127</v>
      </c>
      <c r="J506" s="37" t="s">
        <v>34</v>
      </c>
      <c r="K506" s="38">
        <v>0</v>
      </c>
      <c r="L506" s="39"/>
      <c r="M506" s="37"/>
      <c r="N506" s="40">
        <v>0</v>
      </c>
      <c r="O506" s="38">
        <v>0</v>
      </c>
      <c r="P506" s="38">
        <v>0</v>
      </c>
      <c r="Q506" s="38">
        <v>0</v>
      </c>
      <c r="R506" s="40">
        <v>0</v>
      </c>
      <c r="S506" s="38">
        <v>0</v>
      </c>
      <c r="T506" s="38">
        <v>0</v>
      </c>
      <c r="U506" s="38">
        <v>0</v>
      </c>
      <c r="V506" s="8">
        <f t="shared" si="8"/>
        <v>2022</v>
      </c>
    </row>
    <row r="507" spans="1:22" hidden="1" x14ac:dyDescent="0.25">
      <c r="A507" s="36">
        <v>44652</v>
      </c>
      <c r="B507" s="37" t="s">
        <v>19</v>
      </c>
      <c r="C507" s="37" t="s">
        <v>113</v>
      </c>
      <c r="D507" s="37" t="s">
        <v>62</v>
      </c>
      <c r="E507" s="37" t="s">
        <v>5</v>
      </c>
      <c r="F507" s="37" t="s">
        <v>133</v>
      </c>
      <c r="G507" s="37" t="s">
        <v>62</v>
      </c>
      <c r="H507" s="37" t="s">
        <v>130</v>
      </c>
      <c r="I507" s="37" t="s">
        <v>127</v>
      </c>
      <c r="J507" s="37" t="s">
        <v>34</v>
      </c>
      <c r="K507" s="38">
        <v>11.564643</v>
      </c>
      <c r="L507" s="39"/>
      <c r="M507" s="37"/>
      <c r="N507" s="40">
        <v>2.0960000000000001</v>
      </c>
      <c r="O507" s="38">
        <v>2.0937579999999998</v>
      </c>
      <c r="P507" s="38">
        <v>1.077E-3</v>
      </c>
      <c r="Q507" s="38">
        <v>1.176E-3</v>
      </c>
      <c r="R507" s="40">
        <v>2.0960000000000001</v>
      </c>
      <c r="S507" s="38">
        <v>2.0937579999999998</v>
      </c>
      <c r="T507" s="38">
        <v>1.077E-3</v>
      </c>
      <c r="U507" s="38">
        <v>1.176E-3</v>
      </c>
      <c r="V507" s="8">
        <f t="shared" si="8"/>
        <v>2022</v>
      </c>
    </row>
    <row r="508" spans="1:22" hidden="1" x14ac:dyDescent="0.25">
      <c r="A508" s="36">
        <v>44652</v>
      </c>
      <c r="B508" s="37" t="s">
        <v>20</v>
      </c>
      <c r="C508" s="37" t="s">
        <v>113</v>
      </c>
      <c r="D508" s="37" t="s">
        <v>62</v>
      </c>
      <c r="E508" s="37" t="s">
        <v>5</v>
      </c>
      <c r="F508" s="37" t="s">
        <v>133</v>
      </c>
      <c r="G508" s="37" t="s">
        <v>62</v>
      </c>
      <c r="H508" s="37" t="s">
        <v>130</v>
      </c>
      <c r="I508" s="37" t="s">
        <v>127</v>
      </c>
      <c r="J508" s="37" t="s">
        <v>34</v>
      </c>
      <c r="K508" s="38">
        <v>0</v>
      </c>
      <c r="L508" s="39"/>
      <c r="M508" s="37"/>
      <c r="N508" s="40">
        <v>0</v>
      </c>
      <c r="O508" s="38">
        <v>0</v>
      </c>
      <c r="P508" s="38">
        <v>0</v>
      </c>
      <c r="Q508" s="38">
        <v>0</v>
      </c>
      <c r="R508" s="39" t="s">
        <v>117</v>
      </c>
      <c r="S508" s="39"/>
      <c r="T508" s="39"/>
      <c r="U508" s="39"/>
      <c r="V508" s="8">
        <f t="shared" si="8"/>
        <v>2022</v>
      </c>
    </row>
    <row r="509" spans="1:22" hidden="1" x14ac:dyDescent="0.25">
      <c r="A509" s="36">
        <v>44682</v>
      </c>
      <c r="B509" s="37" t="s">
        <v>11</v>
      </c>
      <c r="C509" s="37" t="s">
        <v>113</v>
      </c>
      <c r="D509" s="37" t="s">
        <v>62</v>
      </c>
      <c r="E509" s="37" t="s">
        <v>5</v>
      </c>
      <c r="F509" s="37" t="s">
        <v>133</v>
      </c>
      <c r="G509" s="37" t="s">
        <v>62</v>
      </c>
      <c r="H509" s="37" t="s">
        <v>130</v>
      </c>
      <c r="I509" s="37" t="s">
        <v>127</v>
      </c>
      <c r="J509" s="37" t="s">
        <v>34</v>
      </c>
      <c r="K509" s="38">
        <v>0</v>
      </c>
      <c r="L509" s="39"/>
      <c r="M509" s="37"/>
      <c r="N509" s="40">
        <v>0</v>
      </c>
      <c r="O509" s="38">
        <v>0</v>
      </c>
      <c r="P509" s="38">
        <v>0</v>
      </c>
      <c r="Q509" s="38">
        <v>0</v>
      </c>
      <c r="R509" s="40">
        <v>0</v>
      </c>
      <c r="S509" s="38">
        <v>0</v>
      </c>
      <c r="T509" s="38">
        <v>0</v>
      </c>
      <c r="U509" s="38">
        <v>0</v>
      </c>
      <c r="V509" s="8">
        <f t="shared" si="8"/>
        <v>2022</v>
      </c>
    </row>
    <row r="510" spans="1:22" hidden="1" x14ac:dyDescent="0.25">
      <c r="A510" s="36">
        <v>44682</v>
      </c>
      <c r="B510" s="37" t="s">
        <v>19</v>
      </c>
      <c r="C510" s="37" t="s">
        <v>113</v>
      </c>
      <c r="D510" s="37" t="s">
        <v>62</v>
      </c>
      <c r="E510" s="37" t="s">
        <v>5</v>
      </c>
      <c r="F510" s="37" t="s">
        <v>133</v>
      </c>
      <c r="G510" s="37" t="s">
        <v>62</v>
      </c>
      <c r="H510" s="37" t="s">
        <v>130</v>
      </c>
      <c r="I510" s="37" t="s">
        <v>127</v>
      </c>
      <c r="J510" s="37" t="s">
        <v>34</v>
      </c>
      <c r="K510" s="38">
        <v>11.564643</v>
      </c>
      <c r="L510" s="39"/>
      <c r="M510" s="37"/>
      <c r="N510" s="40">
        <v>2.0960000000000001</v>
      </c>
      <c r="O510" s="38">
        <v>2.0937579999999998</v>
      </c>
      <c r="P510" s="38">
        <v>1.077E-3</v>
      </c>
      <c r="Q510" s="38">
        <v>1.176E-3</v>
      </c>
      <c r="R510" s="40">
        <v>2.0960000000000001</v>
      </c>
      <c r="S510" s="38">
        <v>2.0937579999999998</v>
      </c>
      <c r="T510" s="38">
        <v>1.077E-3</v>
      </c>
      <c r="U510" s="38">
        <v>1.176E-3</v>
      </c>
      <c r="V510" s="8">
        <f t="shared" si="8"/>
        <v>2022</v>
      </c>
    </row>
    <row r="511" spans="1:22" hidden="1" x14ac:dyDescent="0.25">
      <c r="A511" s="36">
        <v>44682</v>
      </c>
      <c r="B511" s="37" t="s">
        <v>20</v>
      </c>
      <c r="C511" s="37" t="s">
        <v>113</v>
      </c>
      <c r="D511" s="37" t="s">
        <v>62</v>
      </c>
      <c r="E511" s="37" t="s">
        <v>5</v>
      </c>
      <c r="F511" s="37" t="s">
        <v>133</v>
      </c>
      <c r="G511" s="37" t="s">
        <v>62</v>
      </c>
      <c r="H511" s="37" t="s">
        <v>130</v>
      </c>
      <c r="I511" s="37" t="s">
        <v>127</v>
      </c>
      <c r="J511" s="37" t="s">
        <v>34</v>
      </c>
      <c r="K511" s="38">
        <v>0</v>
      </c>
      <c r="L511" s="39"/>
      <c r="M511" s="37"/>
      <c r="N511" s="40">
        <v>0</v>
      </c>
      <c r="O511" s="38">
        <v>0</v>
      </c>
      <c r="P511" s="38">
        <v>0</v>
      </c>
      <c r="Q511" s="38">
        <v>0</v>
      </c>
      <c r="R511" s="39" t="s">
        <v>117</v>
      </c>
      <c r="S511" s="39"/>
      <c r="T511" s="39"/>
      <c r="U511" s="39"/>
      <c r="V511" s="8">
        <f t="shared" si="8"/>
        <v>2022</v>
      </c>
    </row>
    <row r="512" spans="1:22" hidden="1" x14ac:dyDescent="0.25">
      <c r="A512" s="36">
        <v>44713</v>
      </c>
      <c r="B512" s="37" t="s">
        <v>11</v>
      </c>
      <c r="C512" s="37" t="s">
        <v>113</v>
      </c>
      <c r="D512" s="37" t="s">
        <v>62</v>
      </c>
      <c r="E512" s="37" t="s">
        <v>5</v>
      </c>
      <c r="F512" s="37" t="s">
        <v>133</v>
      </c>
      <c r="G512" s="37" t="s">
        <v>62</v>
      </c>
      <c r="H512" s="37" t="s">
        <v>130</v>
      </c>
      <c r="I512" s="37" t="s">
        <v>127</v>
      </c>
      <c r="J512" s="37" t="s">
        <v>34</v>
      </c>
      <c r="K512" s="38">
        <v>0</v>
      </c>
      <c r="L512" s="39"/>
      <c r="M512" s="37"/>
      <c r="N512" s="40">
        <v>0</v>
      </c>
      <c r="O512" s="38">
        <v>0</v>
      </c>
      <c r="P512" s="38">
        <v>0</v>
      </c>
      <c r="Q512" s="38">
        <v>0</v>
      </c>
      <c r="R512" s="40">
        <v>0</v>
      </c>
      <c r="S512" s="38">
        <v>0</v>
      </c>
      <c r="T512" s="38">
        <v>0</v>
      </c>
      <c r="U512" s="38">
        <v>0</v>
      </c>
      <c r="V512" s="8">
        <f t="shared" si="8"/>
        <v>2022</v>
      </c>
    </row>
    <row r="513" spans="1:22" hidden="1" x14ac:dyDescent="0.25">
      <c r="A513" s="36">
        <v>44713</v>
      </c>
      <c r="B513" s="37" t="s">
        <v>19</v>
      </c>
      <c r="C513" s="37" t="s">
        <v>113</v>
      </c>
      <c r="D513" s="37" t="s">
        <v>62</v>
      </c>
      <c r="E513" s="37" t="s">
        <v>5</v>
      </c>
      <c r="F513" s="37" t="s">
        <v>133</v>
      </c>
      <c r="G513" s="37" t="s">
        <v>62</v>
      </c>
      <c r="H513" s="37" t="s">
        <v>130</v>
      </c>
      <c r="I513" s="37" t="s">
        <v>127</v>
      </c>
      <c r="J513" s="37" t="s">
        <v>34</v>
      </c>
      <c r="K513" s="38">
        <v>11.564643</v>
      </c>
      <c r="L513" s="39"/>
      <c r="M513" s="37"/>
      <c r="N513" s="40">
        <v>2.0960000000000001</v>
      </c>
      <c r="O513" s="38">
        <v>2.0937579999999998</v>
      </c>
      <c r="P513" s="38">
        <v>1.077E-3</v>
      </c>
      <c r="Q513" s="38">
        <v>1.176E-3</v>
      </c>
      <c r="R513" s="40">
        <v>2.0960000000000001</v>
      </c>
      <c r="S513" s="38">
        <v>2.0937579999999998</v>
      </c>
      <c r="T513" s="38">
        <v>1.077E-3</v>
      </c>
      <c r="U513" s="38">
        <v>1.176E-3</v>
      </c>
      <c r="V513" s="8">
        <f t="shared" si="8"/>
        <v>2022</v>
      </c>
    </row>
    <row r="514" spans="1:22" hidden="1" x14ac:dyDescent="0.25">
      <c r="A514" s="36">
        <v>44713</v>
      </c>
      <c r="B514" s="37" t="s">
        <v>20</v>
      </c>
      <c r="C514" s="37" t="s">
        <v>113</v>
      </c>
      <c r="D514" s="37" t="s">
        <v>62</v>
      </c>
      <c r="E514" s="37" t="s">
        <v>5</v>
      </c>
      <c r="F514" s="37" t="s">
        <v>133</v>
      </c>
      <c r="G514" s="37" t="s">
        <v>62</v>
      </c>
      <c r="H514" s="37" t="s">
        <v>130</v>
      </c>
      <c r="I514" s="37" t="s">
        <v>127</v>
      </c>
      <c r="J514" s="37" t="s">
        <v>34</v>
      </c>
      <c r="K514" s="38">
        <v>0</v>
      </c>
      <c r="L514" s="39"/>
      <c r="M514" s="37"/>
      <c r="N514" s="40">
        <v>0</v>
      </c>
      <c r="O514" s="38">
        <v>0</v>
      </c>
      <c r="P514" s="38">
        <v>0</v>
      </c>
      <c r="Q514" s="38">
        <v>0</v>
      </c>
      <c r="R514" s="39" t="s">
        <v>117</v>
      </c>
      <c r="S514" s="39"/>
      <c r="T514" s="39"/>
      <c r="U514" s="39"/>
      <c r="V514" s="8">
        <f t="shared" si="8"/>
        <v>2022</v>
      </c>
    </row>
    <row r="515" spans="1:22" hidden="1" x14ac:dyDescent="0.25">
      <c r="A515" s="36">
        <v>44743</v>
      </c>
      <c r="B515" s="37" t="s">
        <v>11</v>
      </c>
      <c r="C515" s="37" t="s">
        <v>113</v>
      </c>
      <c r="D515" s="37" t="s">
        <v>62</v>
      </c>
      <c r="E515" s="37" t="s">
        <v>5</v>
      </c>
      <c r="F515" s="37" t="s">
        <v>133</v>
      </c>
      <c r="G515" s="37" t="s">
        <v>62</v>
      </c>
      <c r="H515" s="37" t="s">
        <v>130</v>
      </c>
      <c r="I515" s="37" t="s">
        <v>127</v>
      </c>
      <c r="J515" s="37" t="s">
        <v>34</v>
      </c>
      <c r="K515" s="38">
        <v>0</v>
      </c>
      <c r="L515" s="39"/>
      <c r="M515" s="37"/>
      <c r="N515" s="40">
        <v>0</v>
      </c>
      <c r="O515" s="38">
        <v>0</v>
      </c>
      <c r="P515" s="38">
        <v>0</v>
      </c>
      <c r="Q515" s="38">
        <v>0</v>
      </c>
      <c r="R515" s="40">
        <v>0</v>
      </c>
      <c r="S515" s="38">
        <v>0</v>
      </c>
      <c r="T515" s="38">
        <v>0</v>
      </c>
      <c r="U515" s="38">
        <v>0</v>
      </c>
      <c r="V515" s="8">
        <f t="shared" si="8"/>
        <v>2022</v>
      </c>
    </row>
    <row r="516" spans="1:22" hidden="1" x14ac:dyDescent="0.25">
      <c r="A516" s="36">
        <v>44743</v>
      </c>
      <c r="B516" s="37" t="s">
        <v>19</v>
      </c>
      <c r="C516" s="37" t="s">
        <v>113</v>
      </c>
      <c r="D516" s="37" t="s">
        <v>62</v>
      </c>
      <c r="E516" s="37" t="s">
        <v>5</v>
      </c>
      <c r="F516" s="37" t="s">
        <v>133</v>
      </c>
      <c r="G516" s="37" t="s">
        <v>62</v>
      </c>
      <c r="H516" s="37" t="s">
        <v>130</v>
      </c>
      <c r="I516" s="37" t="s">
        <v>127</v>
      </c>
      <c r="J516" s="37" t="s">
        <v>34</v>
      </c>
      <c r="K516" s="38">
        <v>11.564643</v>
      </c>
      <c r="L516" s="39"/>
      <c r="M516" s="37"/>
      <c r="N516" s="40">
        <v>2.0960000000000001</v>
      </c>
      <c r="O516" s="38">
        <v>2.0937579999999998</v>
      </c>
      <c r="P516" s="38">
        <v>1.077E-3</v>
      </c>
      <c r="Q516" s="38">
        <v>1.176E-3</v>
      </c>
      <c r="R516" s="40">
        <v>2.0960000000000001</v>
      </c>
      <c r="S516" s="38">
        <v>2.0937579999999998</v>
      </c>
      <c r="T516" s="38">
        <v>1.077E-3</v>
      </c>
      <c r="U516" s="38">
        <v>1.176E-3</v>
      </c>
      <c r="V516" s="8">
        <f t="shared" si="8"/>
        <v>2022</v>
      </c>
    </row>
    <row r="517" spans="1:22" hidden="1" x14ac:dyDescent="0.25">
      <c r="A517" s="36">
        <v>44743</v>
      </c>
      <c r="B517" s="37" t="s">
        <v>20</v>
      </c>
      <c r="C517" s="37" t="s">
        <v>113</v>
      </c>
      <c r="D517" s="37" t="s">
        <v>62</v>
      </c>
      <c r="E517" s="37" t="s">
        <v>5</v>
      </c>
      <c r="F517" s="37" t="s">
        <v>133</v>
      </c>
      <c r="G517" s="37" t="s">
        <v>62</v>
      </c>
      <c r="H517" s="37" t="s">
        <v>130</v>
      </c>
      <c r="I517" s="37" t="s">
        <v>127</v>
      </c>
      <c r="J517" s="37" t="s">
        <v>34</v>
      </c>
      <c r="K517" s="38">
        <v>0</v>
      </c>
      <c r="L517" s="39"/>
      <c r="M517" s="37"/>
      <c r="N517" s="40">
        <v>0</v>
      </c>
      <c r="O517" s="38">
        <v>0</v>
      </c>
      <c r="P517" s="38">
        <v>0</v>
      </c>
      <c r="Q517" s="38">
        <v>0</v>
      </c>
      <c r="R517" s="39" t="s">
        <v>117</v>
      </c>
      <c r="S517" s="39"/>
      <c r="T517" s="39"/>
      <c r="U517" s="39"/>
      <c r="V517" s="8">
        <f t="shared" si="8"/>
        <v>2022</v>
      </c>
    </row>
    <row r="518" spans="1:22" hidden="1" x14ac:dyDescent="0.25">
      <c r="A518" s="36">
        <v>44774</v>
      </c>
      <c r="B518" s="37" t="s">
        <v>11</v>
      </c>
      <c r="C518" s="37" t="s">
        <v>113</v>
      </c>
      <c r="D518" s="37" t="s">
        <v>62</v>
      </c>
      <c r="E518" s="37" t="s">
        <v>5</v>
      </c>
      <c r="F518" s="37" t="s">
        <v>133</v>
      </c>
      <c r="G518" s="37" t="s">
        <v>62</v>
      </c>
      <c r="H518" s="37" t="s">
        <v>130</v>
      </c>
      <c r="I518" s="37" t="s">
        <v>127</v>
      </c>
      <c r="J518" s="37" t="s">
        <v>34</v>
      </c>
      <c r="K518" s="38">
        <v>0</v>
      </c>
      <c r="L518" s="39"/>
      <c r="M518" s="37"/>
      <c r="N518" s="40">
        <v>0</v>
      </c>
      <c r="O518" s="38">
        <v>0</v>
      </c>
      <c r="P518" s="38">
        <v>0</v>
      </c>
      <c r="Q518" s="38">
        <v>0</v>
      </c>
      <c r="R518" s="40">
        <v>0</v>
      </c>
      <c r="S518" s="38">
        <v>0</v>
      </c>
      <c r="T518" s="38">
        <v>0</v>
      </c>
      <c r="U518" s="38">
        <v>0</v>
      </c>
      <c r="V518" s="8">
        <f t="shared" si="8"/>
        <v>2022</v>
      </c>
    </row>
    <row r="519" spans="1:22" hidden="1" x14ac:dyDescent="0.25">
      <c r="A519" s="36">
        <v>44774</v>
      </c>
      <c r="B519" s="37" t="s">
        <v>19</v>
      </c>
      <c r="C519" s="37" t="s">
        <v>113</v>
      </c>
      <c r="D519" s="37" t="s">
        <v>62</v>
      </c>
      <c r="E519" s="37" t="s">
        <v>5</v>
      </c>
      <c r="F519" s="37" t="s">
        <v>133</v>
      </c>
      <c r="G519" s="37" t="s">
        <v>62</v>
      </c>
      <c r="H519" s="37" t="s">
        <v>130</v>
      </c>
      <c r="I519" s="37" t="s">
        <v>127</v>
      </c>
      <c r="J519" s="37" t="s">
        <v>34</v>
      </c>
      <c r="K519" s="38">
        <v>11.564643</v>
      </c>
      <c r="L519" s="39"/>
      <c r="M519" s="37"/>
      <c r="N519" s="40">
        <v>2.0960000000000001</v>
      </c>
      <c r="O519" s="38">
        <v>2.0937579999999998</v>
      </c>
      <c r="P519" s="38">
        <v>1.077E-3</v>
      </c>
      <c r="Q519" s="38">
        <v>1.176E-3</v>
      </c>
      <c r="R519" s="40">
        <v>2.0960000000000001</v>
      </c>
      <c r="S519" s="38">
        <v>2.0937579999999998</v>
      </c>
      <c r="T519" s="38">
        <v>1.077E-3</v>
      </c>
      <c r="U519" s="38">
        <v>1.176E-3</v>
      </c>
      <c r="V519" s="8">
        <f t="shared" si="8"/>
        <v>2022</v>
      </c>
    </row>
    <row r="520" spans="1:22" hidden="1" x14ac:dyDescent="0.25">
      <c r="A520" s="36">
        <v>44774</v>
      </c>
      <c r="B520" s="37" t="s">
        <v>20</v>
      </c>
      <c r="C520" s="37" t="s">
        <v>113</v>
      </c>
      <c r="D520" s="37" t="s">
        <v>62</v>
      </c>
      <c r="E520" s="37" t="s">
        <v>5</v>
      </c>
      <c r="F520" s="37" t="s">
        <v>133</v>
      </c>
      <c r="G520" s="37" t="s">
        <v>62</v>
      </c>
      <c r="H520" s="37" t="s">
        <v>130</v>
      </c>
      <c r="I520" s="37" t="s">
        <v>127</v>
      </c>
      <c r="J520" s="37" t="s">
        <v>34</v>
      </c>
      <c r="K520" s="38">
        <v>0</v>
      </c>
      <c r="L520" s="39"/>
      <c r="M520" s="37"/>
      <c r="N520" s="40">
        <v>0</v>
      </c>
      <c r="O520" s="38">
        <v>0</v>
      </c>
      <c r="P520" s="38">
        <v>0</v>
      </c>
      <c r="Q520" s="38">
        <v>0</v>
      </c>
      <c r="R520" s="39" t="s">
        <v>117</v>
      </c>
      <c r="S520" s="39"/>
      <c r="T520" s="39"/>
      <c r="U520" s="39"/>
      <c r="V520" s="8">
        <f t="shared" si="8"/>
        <v>2022</v>
      </c>
    </row>
    <row r="521" spans="1:22" hidden="1" x14ac:dyDescent="0.25">
      <c r="A521" s="36">
        <v>44805</v>
      </c>
      <c r="B521" s="37" t="s">
        <v>11</v>
      </c>
      <c r="C521" s="37" t="s">
        <v>113</v>
      </c>
      <c r="D521" s="37" t="s">
        <v>62</v>
      </c>
      <c r="E521" s="37" t="s">
        <v>5</v>
      </c>
      <c r="F521" s="37" t="s">
        <v>133</v>
      </c>
      <c r="G521" s="37" t="s">
        <v>62</v>
      </c>
      <c r="H521" s="37" t="s">
        <v>130</v>
      </c>
      <c r="I521" s="37" t="s">
        <v>127</v>
      </c>
      <c r="J521" s="37" t="s">
        <v>34</v>
      </c>
      <c r="K521" s="38">
        <v>0</v>
      </c>
      <c r="L521" s="39"/>
      <c r="M521" s="37"/>
      <c r="N521" s="40">
        <v>0</v>
      </c>
      <c r="O521" s="38">
        <v>0</v>
      </c>
      <c r="P521" s="38">
        <v>0</v>
      </c>
      <c r="Q521" s="38">
        <v>0</v>
      </c>
      <c r="R521" s="40">
        <v>0</v>
      </c>
      <c r="S521" s="38">
        <v>0</v>
      </c>
      <c r="T521" s="38">
        <v>0</v>
      </c>
      <c r="U521" s="38">
        <v>0</v>
      </c>
      <c r="V521" s="8">
        <f t="shared" si="8"/>
        <v>2022</v>
      </c>
    </row>
    <row r="522" spans="1:22" hidden="1" x14ac:dyDescent="0.25">
      <c r="A522" s="36">
        <v>44805</v>
      </c>
      <c r="B522" s="37" t="s">
        <v>19</v>
      </c>
      <c r="C522" s="37" t="s">
        <v>113</v>
      </c>
      <c r="D522" s="37" t="s">
        <v>62</v>
      </c>
      <c r="E522" s="37" t="s">
        <v>5</v>
      </c>
      <c r="F522" s="37" t="s">
        <v>133</v>
      </c>
      <c r="G522" s="37" t="s">
        <v>62</v>
      </c>
      <c r="H522" s="37" t="s">
        <v>130</v>
      </c>
      <c r="I522" s="37" t="s">
        <v>127</v>
      </c>
      <c r="J522" s="37" t="s">
        <v>34</v>
      </c>
      <c r="K522" s="38">
        <v>11.564643</v>
      </c>
      <c r="L522" s="39"/>
      <c r="M522" s="37"/>
      <c r="N522" s="40">
        <v>2.0960000000000001</v>
      </c>
      <c r="O522" s="38">
        <v>2.0937579999999998</v>
      </c>
      <c r="P522" s="38">
        <v>1.077E-3</v>
      </c>
      <c r="Q522" s="38">
        <v>1.176E-3</v>
      </c>
      <c r="R522" s="40">
        <v>2.0960000000000001</v>
      </c>
      <c r="S522" s="38">
        <v>2.0937579999999998</v>
      </c>
      <c r="T522" s="38">
        <v>1.077E-3</v>
      </c>
      <c r="U522" s="38">
        <v>1.176E-3</v>
      </c>
      <c r="V522" s="8">
        <f t="shared" si="8"/>
        <v>2022</v>
      </c>
    </row>
    <row r="523" spans="1:22" hidden="1" x14ac:dyDescent="0.25">
      <c r="A523" s="36">
        <v>44805</v>
      </c>
      <c r="B523" s="37" t="s">
        <v>20</v>
      </c>
      <c r="C523" s="37" t="s">
        <v>113</v>
      </c>
      <c r="D523" s="37" t="s">
        <v>62</v>
      </c>
      <c r="E523" s="37" t="s">
        <v>5</v>
      </c>
      <c r="F523" s="37" t="s">
        <v>133</v>
      </c>
      <c r="G523" s="37" t="s">
        <v>62</v>
      </c>
      <c r="H523" s="37" t="s">
        <v>130</v>
      </c>
      <c r="I523" s="37" t="s">
        <v>127</v>
      </c>
      <c r="J523" s="37" t="s">
        <v>34</v>
      </c>
      <c r="K523" s="38">
        <v>0</v>
      </c>
      <c r="L523" s="39"/>
      <c r="M523" s="37"/>
      <c r="N523" s="40">
        <v>0</v>
      </c>
      <c r="O523" s="38">
        <v>0</v>
      </c>
      <c r="P523" s="38">
        <v>0</v>
      </c>
      <c r="Q523" s="38">
        <v>0</v>
      </c>
      <c r="R523" s="39" t="s">
        <v>117</v>
      </c>
      <c r="S523" s="39"/>
      <c r="T523" s="39"/>
      <c r="U523" s="39"/>
      <c r="V523" s="8">
        <f t="shared" si="8"/>
        <v>2022</v>
      </c>
    </row>
    <row r="524" spans="1:22" hidden="1" x14ac:dyDescent="0.25">
      <c r="A524" s="36">
        <v>44835</v>
      </c>
      <c r="B524" s="37" t="s">
        <v>11</v>
      </c>
      <c r="C524" s="37" t="s">
        <v>113</v>
      </c>
      <c r="D524" s="37" t="s">
        <v>62</v>
      </c>
      <c r="E524" s="37" t="s">
        <v>5</v>
      </c>
      <c r="F524" s="37" t="s">
        <v>133</v>
      </c>
      <c r="G524" s="37" t="s">
        <v>62</v>
      </c>
      <c r="H524" s="37" t="s">
        <v>130</v>
      </c>
      <c r="I524" s="37" t="s">
        <v>127</v>
      </c>
      <c r="J524" s="37" t="s">
        <v>34</v>
      </c>
      <c r="K524" s="38">
        <v>0</v>
      </c>
      <c r="L524" s="39"/>
      <c r="M524" s="37"/>
      <c r="N524" s="40">
        <v>0</v>
      </c>
      <c r="O524" s="38">
        <v>0</v>
      </c>
      <c r="P524" s="38">
        <v>0</v>
      </c>
      <c r="Q524" s="38">
        <v>0</v>
      </c>
      <c r="R524" s="40">
        <v>0</v>
      </c>
      <c r="S524" s="38">
        <v>0</v>
      </c>
      <c r="T524" s="38">
        <v>0</v>
      </c>
      <c r="U524" s="38">
        <v>0</v>
      </c>
      <c r="V524" s="8">
        <f t="shared" si="8"/>
        <v>2022</v>
      </c>
    </row>
    <row r="525" spans="1:22" hidden="1" x14ac:dyDescent="0.25">
      <c r="A525" s="36">
        <v>44835</v>
      </c>
      <c r="B525" s="37" t="s">
        <v>19</v>
      </c>
      <c r="C525" s="37" t="s">
        <v>113</v>
      </c>
      <c r="D525" s="37" t="s">
        <v>62</v>
      </c>
      <c r="E525" s="37" t="s">
        <v>5</v>
      </c>
      <c r="F525" s="37" t="s">
        <v>133</v>
      </c>
      <c r="G525" s="37" t="s">
        <v>62</v>
      </c>
      <c r="H525" s="37" t="s">
        <v>130</v>
      </c>
      <c r="I525" s="37" t="s">
        <v>127</v>
      </c>
      <c r="J525" s="37" t="s">
        <v>34</v>
      </c>
      <c r="K525" s="38">
        <v>11.564643</v>
      </c>
      <c r="L525" s="39"/>
      <c r="M525" s="37"/>
      <c r="N525" s="40">
        <v>2.0960000000000001</v>
      </c>
      <c r="O525" s="38">
        <v>2.0937579999999998</v>
      </c>
      <c r="P525" s="38">
        <v>1.077E-3</v>
      </c>
      <c r="Q525" s="38">
        <v>1.176E-3</v>
      </c>
      <c r="R525" s="40">
        <v>2.0960000000000001</v>
      </c>
      <c r="S525" s="38">
        <v>2.0937579999999998</v>
      </c>
      <c r="T525" s="38">
        <v>1.077E-3</v>
      </c>
      <c r="U525" s="38">
        <v>1.176E-3</v>
      </c>
      <c r="V525" s="8">
        <f t="shared" si="8"/>
        <v>2022</v>
      </c>
    </row>
    <row r="526" spans="1:22" hidden="1" x14ac:dyDescent="0.25">
      <c r="A526" s="36">
        <v>44835</v>
      </c>
      <c r="B526" s="37" t="s">
        <v>20</v>
      </c>
      <c r="C526" s="37" t="s">
        <v>113</v>
      </c>
      <c r="D526" s="37" t="s">
        <v>62</v>
      </c>
      <c r="E526" s="37" t="s">
        <v>5</v>
      </c>
      <c r="F526" s="37" t="s">
        <v>133</v>
      </c>
      <c r="G526" s="37" t="s">
        <v>62</v>
      </c>
      <c r="H526" s="37" t="s">
        <v>130</v>
      </c>
      <c r="I526" s="37" t="s">
        <v>127</v>
      </c>
      <c r="J526" s="37" t="s">
        <v>34</v>
      </c>
      <c r="K526" s="38">
        <v>0</v>
      </c>
      <c r="L526" s="39"/>
      <c r="M526" s="37"/>
      <c r="N526" s="40">
        <v>0</v>
      </c>
      <c r="O526" s="38">
        <v>0</v>
      </c>
      <c r="P526" s="38">
        <v>0</v>
      </c>
      <c r="Q526" s="38">
        <v>0</v>
      </c>
      <c r="R526" s="39" t="s">
        <v>117</v>
      </c>
      <c r="S526" s="39"/>
      <c r="T526" s="39"/>
      <c r="U526" s="39"/>
      <c r="V526" s="8">
        <f t="shared" si="8"/>
        <v>2022</v>
      </c>
    </row>
    <row r="527" spans="1:22" hidden="1" x14ac:dyDescent="0.25">
      <c r="A527" s="36">
        <v>44866</v>
      </c>
      <c r="B527" s="37" t="s">
        <v>11</v>
      </c>
      <c r="C527" s="37" t="s">
        <v>113</v>
      </c>
      <c r="D527" s="37" t="s">
        <v>62</v>
      </c>
      <c r="E527" s="37" t="s">
        <v>5</v>
      </c>
      <c r="F527" s="37" t="s">
        <v>133</v>
      </c>
      <c r="G527" s="37" t="s">
        <v>62</v>
      </c>
      <c r="H527" s="37" t="s">
        <v>130</v>
      </c>
      <c r="I527" s="37" t="s">
        <v>127</v>
      </c>
      <c r="J527" s="37" t="s">
        <v>34</v>
      </c>
      <c r="K527" s="38">
        <v>0</v>
      </c>
      <c r="L527" s="39"/>
      <c r="M527" s="37"/>
      <c r="N527" s="40">
        <v>0</v>
      </c>
      <c r="O527" s="38">
        <v>0</v>
      </c>
      <c r="P527" s="38">
        <v>0</v>
      </c>
      <c r="Q527" s="38">
        <v>0</v>
      </c>
      <c r="R527" s="40">
        <v>0</v>
      </c>
      <c r="S527" s="38">
        <v>0</v>
      </c>
      <c r="T527" s="38">
        <v>0</v>
      </c>
      <c r="U527" s="38">
        <v>0</v>
      </c>
      <c r="V527" s="8">
        <f t="shared" si="8"/>
        <v>2022</v>
      </c>
    </row>
    <row r="528" spans="1:22" hidden="1" x14ac:dyDescent="0.25">
      <c r="A528" s="36">
        <v>44866</v>
      </c>
      <c r="B528" s="37" t="s">
        <v>19</v>
      </c>
      <c r="C528" s="37" t="s">
        <v>113</v>
      </c>
      <c r="D528" s="37" t="s">
        <v>62</v>
      </c>
      <c r="E528" s="37" t="s">
        <v>5</v>
      </c>
      <c r="F528" s="37" t="s">
        <v>133</v>
      </c>
      <c r="G528" s="37" t="s">
        <v>62</v>
      </c>
      <c r="H528" s="37" t="s">
        <v>130</v>
      </c>
      <c r="I528" s="37" t="s">
        <v>127</v>
      </c>
      <c r="J528" s="37" t="s">
        <v>34</v>
      </c>
      <c r="K528" s="38">
        <v>11.564643</v>
      </c>
      <c r="L528" s="39"/>
      <c r="M528" s="37"/>
      <c r="N528" s="40">
        <v>2.0960000000000001</v>
      </c>
      <c r="O528" s="38">
        <v>2.0937579999999998</v>
      </c>
      <c r="P528" s="38">
        <v>1.077E-3</v>
      </c>
      <c r="Q528" s="38">
        <v>1.176E-3</v>
      </c>
      <c r="R528" s="40">
        <v>2.0960000000000001</v>
      </c>
      <c r="S528" s="38">
        <v>2.0937579999999998</v>
      </c>
      <c r="T528" s="38">
        <v>1.077E-3</v>
      </c>
      <c r="U528" s="38">
        <v>1.176E-3</v>
      </c>
      <c r="V528" s="8">
        <f t="shared" si="8"/>
        <v>2022</v>
      </c>
    </row>
    <row r="529" spans="1:22" hidden="1" x14ac:dyDescent="0.25">
      <c r="A529" s="36">
        <v>44866</v>
      </c>
      <c r="B529" s="37" t="s">
        <v>20</v>
      </c>
      <c r="C529" s="37" t="s">
        <v>113</v>
      </c>
      <c r="D529" s="37" t="s">
        <v>62</v>
      </c>
      <c r="E529" s="37" t="s">
        <v>5</v>
      </c>
      <c r="F529" s="37" t="s">
        <v>133</v>
      </c>
      <c r="G529" s="37" t="s">
        <v>62</v>
      </c>
      <c r="H529" s="37" t="s">
        <v>130</v>
      </c>
      <c r="I529" s="37" t="s">
        <v>127</v>
      </c>
      <c r="J529" s="37" t="s">
        <v>34</v>
      </c>
      <c r="K529" s="38">
        <v>0</v>
      </c>
      <c r="L529" s="39"/>
      <c r="M529" s="37"/>
      <c r="N529" s="40">
        <v>0</v>
      </c>
      <c r="O529" s="38">
        <v>0</v>
      </c>
      <c r="P529" s="38">
        <v>0</v>
      </c>
      <c r="Q529" s="38">
        <v>0</v>
      </c>
      <c r="R529" s="39" t="s">
        <v>117</v>
      </c>
      <c r="S529" s="39"/>
      <c r="T529" s="39"/>
      <c r="U529" s="39"/>
      <c r="V529" s="8">
        <f t="shared" si="8"/>
        <v>2022</v>
      </c>
    </row>
    <row r="530" spans="1:22" hidden="1" x14ac:dyDescent="0.25">
      <c r="A530" s="36">
        <v>44896</v>
      </c>
      <c r="B530" s="37" t="s">
        <v>11</v>
      </c>
      <c r="C530" s="37" t="s">
        <v>113</v>
      </c>
      <c r="D530" s="37" t="s">
        <v>62</v>
      </c>
      <c r="E530" s="37" t="s">
        <v>5</v>
      </c>
      <c r="F530" s="37" t="s">
        <v>133</v>
      </c>
      <c r="G530" s="37" t="s">
        <v>62</v>
      </c>
      <c r="H530" s="37" t="s">
        <v>130</v>
      </c>
      <c r="I530" s="37" t="s">
        <v>127</v>
      </c>
      <c r="J530" s="37" t="s">
        <v>34</v>
      </c>
      <c r="K530" s="38">
        <v>0</v>
      </c>
      <c r="L530" s="39"/>
      <c r="M530" s="37"/>
      <c r="N530" s="40">
        <v>0</v>
      </c>
      <c r="O530" s="38">
        <v>0</v>
      </c>
      <c r="P530" s="38">
        <v>0</v>
      </c>
      <c r="Q530" s="38">
        <v>0</v>
      </c>
      <c r="R530" s="40">
        <v>0</v>
      </c>
      <c r="S530" s="38">
        <v>0</v>
      </c>
      <c r="T530" s="38">
        <v>0</v>
      </c>
      <c r="U530" s="38">
        <v>0</v>
      </c>
      <c r="V530" s="8">
        <f t="shared" si="8"/>
        <v>2022</v>
      </c>
    </row>
    <row r="531" spans="1:22" hidden="1" x14ac:dyDescent="0.25">
      <c r="A531" s="36">
        <v>44896</v>
      </c>
      <c r="B531" s="37" t="s">
        <v>19</v>
      </c>
      <c r="C531" s="37" t="s">
        <v>113</v>
      </c>
      <c r="D531" s="37" t="s">
        <v>62</v>
      </c>
      <c r="E531" s="37" t="s">
        <v>5</v>
      </c>
      <c r="F531" s="37" t="s">
        <v>133</v>
      </c>
      <c r="G531" s="37" t="s">
        <v>62</v>
      </c>
      <c r="H531" s="37" t="s">
        <v>130</v>
      </c>
      <c r="I531" s="37" t="s">
        <v>127</v>
      </c>
      <c r="J531" s="37" t="s">
        <v>34</v>
      </c>
      <c r="K531" s="38">
        <v>11.564643</v>
      </c>
      <c r="L531" s="39"/>
      <c r="M531" s="37"/>
      <c r="N531" s="40">
        <v>2.0960000000000001</v>
      </c>
      <c r="O531" s="38">
        <v>2.0937579999999998</v>
      </c>
      <c r="P531" s="38">
        <v>1.077E-3</v>
      </c>
      <c r="Q531" s="38">
        <v>1.176E-3</v>
      </c>
      <c r="R531" s="40">
        <v>2.0960000000000001</v>
      </c>
      <c r="S531" s="38">
        <v>2.0937579999999998</v>
      </c>
      <c r="T531" s="38">
        <v>1.077E-3</v>
      </c>
      <c r="U531" s="38">
        <v>1.176E-3</v>
      </c>
      <c r="V531" s="8">
        <f t="shared" si="8"/>
        <v>2022</v>
      </c>
    </row>
    <row r="532" spans="1:22" hidden="1" x14ac:dyDescent="0.25">
      <c r="A532" s="36">
        <v>44896</v>
      </c>
      <c r="B532" s="37" t="s">
        <v>20</v>
      </c>
      <c r="C532" s="37" t="s">
        <v>113</v>
      </c>
      <c r="D532" s="37" t="s">
        <v>62</v>
      </c>
      <c r="E532" s="37" t="s">
        <v>5</v>
      </c>
      <c r="F532" s="37" t="s">
        <v>133</v>
      </c>
      <c r="G532" s="37" t="s">
        <v>62</v>
      </c>
      <c r="H532" s="37" t="s">
        <v>130</v>
      </c>
      <c r="I532" s="37" t="s">
        <v>127</v>
      </c>
      <c r="J532" s="37" t="s">
        <v>34</v>
      </c>
      <c r="K532" s="38">
        <v>0</v>
      </c>
      <c r="L532" s="39"/>
      <c r="M532" s="37"/>
      <c r="N532" s="40">
        <v>0</v>
      </c>
      <c r="O532" s="38">
        <v>0</v>
      </c>
      <c r="P532" s="38">
        <v>0</v>
      </c>
      <c r="Q532" s="38">
        <v>0</v>
      </c>
      <c r="R532" s="39" t="s">
        <v>117</v>
      </c>
      <c r="S532" s="39"/>
      <c r="T532" s="39"/>
      <c r="U532" s="39"/>
      <c r="V532" s="8">
        <f t="shared" si="8"/>
        <v>2022</v>
      </c>
    </row>
    <row r="533" spans="1:22" hidden="1" x14ac:dyDescent="0.25">
      <c r="A533" s="36">
        <v>44562</v>
      </c>
      <c r="B533" s="37" t="s">
        <v>23</v>
      </c>
      <c r="C533" s="37" t="s">
        <v>113</v>
      </c>
      <c r="D533" s="37" t="s">
        <v>62</v>
      </c>
      <c r="E533" s="37" t="s">
        <v>6</v>
      </c>
      <c r="F533" s="37" t="s">
        <v>133</v>
      </c>
      <c r="G533" s="37" t="s">
        <v>62</v>
      </c>
      <c r="H533" s="37" t="s">
        <v>130</v>
      </c>
      <c r="I533" s="37" t="s">
        <v>127</v>
      </c>
      <c r="J533" s="37" t="s">
        <v>34</v>
      </c>
      <c r="K533" s="38">
        <v>4.7980830000000001</v>
      </c>
      <c r="L533" s="39"/>
      <c r="M533" s="37"/>
      <c r="N533" s="40">
        <v>1.6020000000000001</v>
      </c>
      <c r="O533" s="38">
        <v>1.6018110000000001</v>
      </c>
      <c r="P533" s="39"/>
      <c r="Q533" s="39"/>
      <c r="R533" s="40">
        <v>2.2909999999999999</v>
      </c>
      <c r="S533" s="38">
        <v>2.2767740000000001</v>
      </c>
      <c r="T533" s="38">
        <v>8.3180000000000007E-3</v>
      </c>
      <c r="U533" s="38">
        <v>5.7679999999999997E-3</v>
      </c>
      <c r="V533" s="8">
        <f t="shared" si="8"/>
        <v>2022</v>
      </c>
    </row>
    <row r="534" spans="1:22" hidden="1" x14ac:dyDescent="0.25">
      <c r="A534" s="36">
        <v>44593</v>
      </c>
      <c r="B534" s="37" t="s">
        <v>23</v>
      </c>
      <c r="C534" s="37" t="s">
        <v>113</v>
      </c>
      <c r="D534" s="37" t="s">
        <v>62</v>
      </c>
      <c r="E534" s="37" t="s">
        <v>6</v>
      </c>
      <c r="F534" s="37" t="s">
        <v>133</v>
      </c>
      <c r="G534" s="37" t="s">
        <v>62</v>
      </c>
      <c r="H534" s="37" t="s">
        <v>130</v>
      </c>
      <c r="I534" s="37" t="s">
        <v>127</v>
      </c>
      <c r="J534" s="37" t="s">
        <v>34</v>
      </c>
      <c r="K534" s="38">
        <v>4.7980830000000001</v>
      </c>
      <c r="L534" s="39"/>
      <c r="M534" s="37"/>
      <c r="N534" s="40">
        <v>1.6020000000000001</v>
      </c>
      <c r="O534" s="38">
        <v>1.6018110000000001</v>
      </c>
      <c r="P534" s="39"/>
      <c r="Q534" s="39"/>
      <c r="R534" s="40">
        <v>2.2909999999999999</v>
      </c>
      <c r="S534" s="38">
        <v>2.2767740000000001</v>
      </c>
      <c r="T534" s="38">
        <v>8.3180000000000007E-3</v>
      </c>
      <c r="U534" s="38">
        <v>5.7679999999999997E-3</v>
      </c>
      <c r="V534" s="8">
        <f t="shared" si="8"/>
        <v>2022</v>
      </c>
    </row>
    <row r="535" spans="1:22" hidden="1" x14ac:dyDescent="0.25">
      <c r="A535" s="36">
        <v>44621</v>
      </c>
      <c r="B535" s="37" t="s">
        <v>23</v>
      </c>
      <c r="C535" s="37" t="s">
        <v>113</v>
      </c>
      <c r="D535" s="37" t="s">
        <v>62</v>
      </c>
      <c r="E535" s="37" t="s">
        <v>6</v>
      </c>
      <c r="F535" s="37" t="s">
        <v>133</v>
      </c>
      <c r="G535" s="37" t="s">
        <v>62</v>
      </c>
      <c r="H535" s="37" t="s">
        <v>130</v>
      </c>
      <c r="I535" s="37" t="s">
        <v>127</v>
      </c>
      <c r="J535" s="37" t="s">
        <v>34</v>
      </c>
      <c r="K535" s="38">
        <v>4.7980830000000001</v>
      </c>
      <c r="L535" s="39"/>
      <c r="M535" s="37"/>
      <c r="N535" s="40">
        <v>1.6020000000000001</v>
      </c>
      <c r="O535" s="38">
        <v>1.6018110000000001</v>
      </c>
      <c r="P535" s="39"/>
      <c r="Q535" s="39"/>
      <c r="R535" s="40">
        <v>2.2909999999999999</v>
      </c>
      <c r="S535" s="38">
        <v>2.2767740000000001</v>
      </c>
      <c r="T535" s="38">
        <v>8.3180000000000007E-3</v>
      </c>
      <c r="U535" s="38">
        <v>5.7679999999999997E-3</v>
      </c>
      <c r="V535" s="8">
        <f t="shared" si="8"/>
        <v>2022</v>
      </c>
    </row>
    <row r="536" spans="1:22" hidden="1" x14ac:dyDescent="0.25">
      <c r="A536" s="36">
        <v>44652</v>
      </c>
      <c r="B536" s="37" t="s">
        <v>23</v>
      </c>
      <c r="C536" s="37" t="s">
        <v>113</v>
      </c>
      <c r="D536" s="37" t="s">
        <v>62</v>
      </c>
      <c r="E536" s="37" t="s">
        <v>6</v>
      </c>
      <c r="F536" s="37" t="s">
        <v>133</v>
      </c>
      <c r="G536" s="37" t="s">
        <v>62</v>
      </c>
      <c r="H536" s="37" t="s">
        <v>130</v>
      </c>
      <c r="I536" s="37" t="s">
        <v>127</v>
      </c>
      <c r="J536" s="37" t="s">
        <v>34</v>
      </c>
      <c r="K536" s="38">
        <v>4.7980830000000001</v>
      </c>
      <c r="L536" s="39"/>
      <c r="M536" s="37"/>
      <c r="N536" s="40">
        <v>1.6020000000000001</v>
      </c>
      <c r="O536" s="38">
        <v>1.6018110000000001</v>
      </c>
      <c r="P536" s="39"/>
      <c r="Q536" s="39"/>
      <c r="R536" s="40">
        <v>2.2909999999999999</v>
      </c>
      <c r="S536" s="38">
        <v>2.2767740000000001</v>
      </c>
      <c r="T536" s="38">
        <v>8.3180000000000007E-3</v>
      </c>
      <c r="U536" s="38">
        <v>5.7679999999999997E-3</v>
      </c>
      <c r="V536" s="8">
        <f t="shared" si="8"/>
        <v>2022</v>
      </c>
    </row>
    <row r="537" spans="1:22" hidden="1" x14ac:dyDescent="0.25">
      <c r="A537" s="36">
        <v>44682</v>
      </c>
      <c r="B537" s="37" t="s">
        <v>23</v>
      </c>
      <c r="C537" s="37" t="s">
        <v>113</v>
      </c>
      <c r="D537" s="37" t="s">
        <v>62</v>
      </c>
      <c r="E537" s="37" t="s">
        <v>6</v>
      </c>
      <c r="F537" s="37" t="s">
        <v>133</v>
      </c>
      <c r="G537" s="37" t="s">
        <v>62</v>
      </c>
      <c r="H537" s="37" t="s">
        <v>130</v>
      </c>
      <c r="I537" s="37" t="s">
        <v>127</v>
      </c>
      <c r="J537" s="37" t="s">
        <v>34</v>
      </c>
      <c r="K537" s="38">
        <v>4.7980830000000001</v>
      </c>
      <c r="L537" s="39"/>
      <c r="M537" s="37"/>
      <c r="N537" s="40">
        <v>1.6020000000000001</v>
      </c>
      <c r="O537" s="38">
        <v>1.6018110000000001</v>
      </c>
      <c r="P537" s="39"/>
      <c r="Q537" s="39"/>
      <c r="R537" s="40">
        <v>2.2909999999999999</v>
      </c>
      <c r="S537" s="38">
        <v>2.2767740000000001</v>
      </c>
      <c r="T537" s="38">
        <v>8.3180000000000007E-3</v>
      </c>
      <c r="U537" s="38">
        <v>5.7679999999999997E-3</v>
      </c>
      <c r="V537" s="8">
        <f t="shared" si="8"/>
        <v>2022</v>
      </c>
    </row>
    <row r="538" spans="1:22" hidden="1" x14ac:dyDescent="0.25">
      <c r="A538" s="36">
        <v>44713</v>
      </c>
      <c r="B538" s="37" t="s">
        <v>23</v>
      </c>
      <c r="C538" s="37" t="s">
        <v>113</v>
      </c>
      <c r="D538" s="37" t="s">
        <v>62</v>
      </c>
      <c r="E538" s="37" t="s">
        <v>6</v>
      </c>
      <c r="F538" s="37" t="s">
        <v>133</v>
      </c>
      <c r="G538" s="37" t="s">
        <v>62</v>
      </c>
      <c r="H538" s="37" t="s">
        <v>130</v>
      </c>
      <c r="I538" s="37" t="s">
        <v>127</v>
      </c>
      <c r="J538" s="37" t="s">
        <v>34</v>
      </c>
      <c r="K538" s="38">
        <v>4.7980830000000001</v>
      </c>
      <c r="L538" s="39"/>
      <c r="M538" s="37"/>
      <c r="N538" s="40">
        <v>1.6020000000000001</v>
      </c>
      <c r="O538" s="38">
        <v>1.6018110000000001</v>
      </c>
      <c r="P538" s="39"/>
      <c r="Q538" s="39"/>
      <c r="R538" s="40">
        <v>2.2909999999999999</v>
      </c>
      <c r="S538" s="38">
        <v>2.2767740000000001</v>
      </c>
      <c r="T538" s="38">
        <v>8.3180000000000007E-3</v>
      </c>
      <c r="U538" s="38">
        <v>5.7679999999999997E-3</v>
      </c>
      <c r="V538" s="8">
        <f t="shared" si="8"/>
        <v>2022</v>
      </c>
    </row>
    <row r="539" spans="1:22" hidden="1" x14ac:dyDescent="0.25">
      <c r="A539" s="36">
        <v>44743</v>
      </c>
      <c r="B539" s="37" t="s">
        <v>23</v>
      </c>
      <c r="C539" s="37" t="s">
        <v>113</v>
      </c>
      <c r="D539" s="37" t="s">
        <v>62</v>
      </c>
      <c r="E539" s="37" t="s">
        <v>6</v>
      </c>
      <c r="F539" s="37" t="s">
        <v>133</v>
      </c>
      <c r="G539" s="37" t="s">
        <v>62</v>
      </c>
      <c r="H539" s="37" t="s">
        <v>130</v>
      </c>
      <c r="I539" s="37" t="s">
        <v>127</v>
      </c>
      <c r="J539" s="37" t="s">
        <v>34</v>
      </c>
      <c r="K539" s="38">
        <v>4.7980830000000001</v>
      </c>
      <c r="L539" s="39"/>
      <c r="M539" s="37"/>
      <c r="N539" s="40">
        <v>1.6020000000000001</v>
      </c>
      <c r="O539" s="38">
        <v>1.6018110000000001</v>
      </c>
      <c r="P539" s="39"/>
      <c r="Q539" s="39"/>
      <c r="R539" s="40">
        <v>2.2909999999999999</v>
      </c>
      <c r="S539" s="38">
        <v>2.2767740000000001</v>
      </c>
      <c r="T539" s="38">
        <v>8.3180000000000007E-3</v>
      </c>
      <c r="U539" s="38">
        <v>5.7679999999999997E-3</v>
      </c>
      <c r="V539" s="8">
        <f t="shared" si="8"/>
        <v>2022</v>
      </c>
    </row>
    <row r="540" spans="1:22" hidden="1" x14ac:dyDescent="0.25">
      <c r="A540" s="36">
        <v>44774</v>
      </c>
      <c r="B540" s="37" t="s">
        <v>23</v>
      </c>
      <c r="C540" s="37" t="s">
        <v>113</v>
      </c>
      <c r="D540" s="37" t="s">
        <v>62</v>
      </c>
      <c r="E540" s="37" t="s">
        <v>6</v>
      </c>
      <c r="F540" s="37" t="s">
        <v>133</v>
      </c>
      <c r="G540" s="37" t="s">
        <v>62</v>
      </c>
      <c r="H540" s="37" t="s">
        <v>130</v>
      </c>
      <c r="I540" s="37" t="s">
        <v>127</v>
      </c>
      <c r="J540" s="37" t="s">
        <v>34</v>
      </c>
      <c r="K540" s="38">
        <v>4.7980830000000001</v>
      </c>
      <c r="L540" s="39"/>
      <c r="M540" s="37"/>
      <c r="N540" s="40">
        <v>1.6020000000000001</v>
      </c>
      <c r="O540" s="38">
        <v>1.6018110000000001</v>
      </c>
      <c r="P540" s="39"/>
      <c r="Q540" s="39"/>
      <c r="R540" s="40">
        <v>2.2909999999999999</v>
      </c>
      <c r="S540" s="38">
        <v>2.2767740000000001</v>
      </c>
      <c r="T540" s="38">
        <v>8.3180000000000007E-3</v>
      </c>
      <c r="U540" s="38">
        <v>5.7679999999999997E-3</v>
      </c>
      <c r="V540" s="8">
        <f t="shared" si="8"/>
        <v>2022</v>
      </c>
    </row>
    <row r="541" spans="1:22" hidden="1" x14ac:dyDescent="0.25">
      <c r="A541" s="36">
        <v>44805</v>
      </c>
      <c r="B541" s="37" t="s">
        <v>23</v>
      </c>
      <c r="C541" s="37" t="s">
        <v>113</v>
      </c>
      <c r="D541" s="37" t="s">
        <v>62</v>
      </c>
      <c r="E541" s="37" t="s">
        <v>6</v>
      </c>
      <c r="F541" s="37" t="s">
        <v>133</v>
      </c>
      <c r="G541" s="37" t="s">
        <v>62</v>
      </c>
      <c r="H541" s="37" t="s">
        <v>130</v>
      </c>
      <c r="I541" s="37" t="s">
        <v>127</v>
      </c>
      <c r="J541" s="37" t="s">
        <v>34</v>
      </c>
      <c r="K541" s="38">
        <v>4.7980830000000001</v>
      </c>
      <c r="L541" s="39"/>
      <c r="M541" s="37"/>
      <c r="N541" s="40">
        <v>1.6020000000000001</v>
      </c>
      <c r="O541" s="38">
        <v>1.6018110000000001</v>
      </c>
      <c r="P541" s="39"/>
      <c r="Q541" s="39"/>
      <c r="R541" s="40">
        <v>2.2909999999999999</v>
      </c>
      <c r="S541" s="38">
        <v>2.2767740000000001</v>
      </c>
      <c r="T541" s="38">
        <v>8.3180000000000007E-3</v>
      </c>
      <c r="U541" s="38">
        <v>5.7679999999999997E-3</v>
      </c>
      <c r="V541" s="8">
        <f t="shared" si="8"/>
        <v>2022</v>
      </c>
    </row>
    <row r="542" spans="1:22" hidden="1" x14ac:dyDescent="0.25">
      <c r="A542" s="36">
        <v>44835</v>
      </c>
      <c r="B542" s="37" t="s">
        <v>23</v>
      </c>
      <c r="C542" s="37" t="s">
        <v>113</v>
      </c>
      <c r="D542" s="37" t="s">
        <v>62</v>
      </c>
      <c r="E542" s="37" t="s">
        <v>6</v>
      </c>
      <c r="F542" s="37" t="s">
        <v>133</v>
      </c>
      <c r="G542" s="37" t="s">
        <v>62</v>
      </c>
      <c r="H542" s="37" t="s">
        <v>130</v>
      </c>
      <c r="I542" s="37" t="s">
        <v>127</v>
      </c>
      <c r="J542" s="37" t="s">
        <v>34</v>
      </c>
      <c r="K542" s="38">
        <v>4.7980830000000001</v>
      </c>
      <c r="L542" s="39"/>
      <c r="M542" s="37"/>
      <c r="N542" s="40">
        <v>1.6020000000000001</v>
      </c>
      <c r="O542" s="38">
        <v>1.6018110000000001</v>
      </c>
      <c r="P542" s="39"/>
      <c r="Q542" s="39"/>
      <c r="R542" s="40">
        <v>2.2909999999999999</v>
      </c>
      <c r="S542" s="38">
        <v>2.2767740000000001</v>
      </c>
      <c r="T542" s="38">
        <v>8.3180000000000007E-3</v>
      </c>
      <c r="U542" s="38">
        <v>5.7679999999999997E-3</v>
      </c>
      <c r="V542" s="8">
        <f t="shared" si="8"/>
        <v>2022</v>
      </c>
    </row>
    <row r="543" spans="1:22" hidden="1" x14ac:dyDescent="0.25">
      <c r="A543" s="36">
        <v>44866</v>
      </c>
      <c r="B543" s="37" t="s">
        <v>23</v>
      </c>
      <c r="C543" s="37" t="s">
        <v>113</v>
      </c>
      <c r="D543" s="37" t="s">
        <v>62</v>
      </c>
      <c r="E543" s="37" t="s">
        <v>6</v>
      </c>
      <c r="F543" s="37" t="s">
        <v>133</v>
      </c>
      <c r="G543" s="37" t="s">
        <v>62</v>
      </c>
      <c r="H543" s="37" t="s">
        <v>130</v>
      </c>
      <c r="I543" s="37" t="s">
        <v>127</v>
      </c>
      <c r="J543" s="37" t="s">
        <v>34</v>
      </c>
      <c r="K543" s="38">
        <v>4.7980830000000001</v>
      </c>
      <c r="L543" s="39"/>
      <c r="M543" s="37"/>
      <c r="N543" s="40">
        <v>1.6020000000000001</v>
      </c>
      <c r="O543" s="38">
        <v>1.6018110000000001</v>
      </c>
      <c r="P543" s="39"/>
      <c r="Q543" s="39"/>
      <c r="R543" s="40">
        <v>2.2909999999999999</v>
      </c>
      <c r="S543" s="38">
        <v>2.2767740000000001</v>
      </c>
      <c r="T543" s="38">
        <v>8.3180000000000007E-3</v>
      </c>
      <c r="U543" s="38">
        <v>5.7679999999999997E-3</v>
      </c>
      <c r="V543" s="8">
        <f t="shared" si="8"/>
        <v>2022</v>
      </c>
    </row>
    <row r="544" spans="1:22" hidden="1" x14ac:dyDescent="0.25">
      <c r="A544" s="36">
        <v>44896</v>
      </c>
      <c r="B544" s="37" t="s">
        <v>23</v>
      </c>
      <c r="C544" s="37" t="s">
        <v>113</v>
      </c>
      <c r="D544" s="37" t="s">
        <v>62</v>
      </c>
      <c r="E544" s="37" t="s">
        <v>6</v>
      </c>
      <c r="F544" s="37" t="s">
        <v>133</v>
      </c>
      <c r="G544" s="37" t="s">
        <v>62</v>
      </c>
      <c r="H544" s="37" t="s">
        <v>130</v>
      </c>
      <c r="I544" s="37" t="s">
        <v>127</v>
      </c>
      <c r="J544" s="37" t="s">
        <v>34</v>
      </c>
      <c r="K544" s="38">
        <v>4.7980830000000001</v>
      </c>
      <c r="L544" s="39"/>
      <c r="M544" s="37"/>
      <c r="N544" s="40">
        <v>1.6020000000000001</v>
      </c>
      <c r="O544" s="38">
        <v>1.6018110000000001</v>
      </c>
      <c r="P544" s="39"/>
      <c r="Q544" s="39"/>
      <c r="R544" s="40">
        <v>2.2909999999999999</v>
      </c>
      <c r="S544" s="38">
        <v>2.2767740000000001</v>
      </c>
      <c r="T544" s="38">
        <v>8.3180000000000007E-3</v>
      </c>
      <c r="U544" s="38">
        <v>5.7679999999999997E-3</v>
      </c>
      <c r="V544" s="8">
        <f t="shared" si="8"/>
        <v>2022</v>
      </c>
    </row>
    <row r="545" spans="1:22" hidden="1" x14ac:dyDescent="0.25">
      <c r="A545" s="36">
        <v>44927</v>
      </c>
      <c r="B545" s="37" t="s">
        <v>23</v>
      </c>
      <c r="C545" s="37" t="s">
        <v>113</v>
      </c>
      <c r="D545" s="37" t="s">
        <v>62</v>
      </c>
      <c r="E545" s="37" t="s">
        <v>6</v>
      </c>
      <c r="F545" s="37" t="s">
        <v>133</v>
      </c>
      <c r="G545" s="37" t="s">
        <v>62</v>
      </c>
      <c r="H545" s="37" t="s">
        <v>130</v>
      </c>
      <c r="I545" s="37" t="s">
        <v>127</v>
      </c>
      <c r="J545" s="37" t="s">
        <v>34</v>
      </c>
      <c r="K545" s="38">
        <v>3.8679999999999999</v>
      </c>
      <c r="L545" s="42">
        <v>624.78</v>
      </c>
      <c r="M545" s="37"/>
      <c r="N545" s="40">
        <v>1.119</v>
      </c>
      <c r="O545" s="38">
        <v>1.1193679999999999</v>
      </c>
      <c r="P545" s="39"/>
      <c r="Q545" s="39"/>
      <c r="R545" s="40">
        <v>1.847</v>
      </c>
      <c r="S545" s="38">
        <v>1.835434</v>
      </c>
      <c r="T545" s="38">
        <v>6.7060000000000002E-3</v>
      </c>
      <c r="U545" s="38">
        <v>4.6499999999999996E-3</v>
      </c>
      <c r="V545" s="8">
        <f t="shared" si="8"/>
        <v>2023</v>
      </c>
    </row>
    <row r="546" spans="1:22" hidden="1" x14ac:dyDescent="0.25">
      <c r="A546" s="36">
        <v>44958</v>
      </c>
      <c r="B546" s="37" t="s">
        <v>23</v>
      </c>
      <c r="C546" s="37" t="s">
        <v>113</v>
      </c>
      <c r="D546" s="37" t="s">
        <v>62</v>
      </c>
      <c r="E546" s="37" t="s">
        <v>6</v>
      </c>
      <c r="F546" s="37" t="s">
        <v>133</v>
      </c>
      <c r="G546" s="37" t="s">
        <v>62</v>
      </c>
      <c r="H546" s="37" t="s">
        <v>130</v>
      </c>
      <c r="I546" s="37" t="s">
        <v>127</v>
      </c>
      <c r="J546" s="37" t="s">
        <v>34</v>
      </c>
      <c r="K546" s="38">
        <v>3.9239999999999999</v>
      </c>
      <c r="L546" s="42">
        <v>661.52</v>
      </c>
      <c r="M546" s="37"/>
      <c r="N546" s="40">
        <v>1.1359999999999999</v>
      </c>
      <c r="O546" s="38">
        <v>1.1355740000000001</v>
      </c>
      <c r="P546" s="39"/>
      <c r="Q546" s="39"/>
      <c r="R546" s="40">
        <v>1.8740000000000001</v>
      </c>
      <c r="S546" s="38">
        <v>1.862007</v>
      </c>
      <c r="T546" s="38">
        <v>6.803E-3</v>
      </c>
      <c r="U546" s="38">
        <v>4.718E-3</v>
      </c>
      <c r="V546" s="8">
        <f t="shared" si="8"/>
        <v>2023</v>
      </c>
    </row>
    <row r="547" spans="1:22" hidden="1" x14ac:dyDescent="0.25">
      <c r="A547" s="36">
        <v>44986</v>
      </c>
      <c r="B547" s="37" t="s">
        <v>23</v>
      </c>
      <c r="C547" s="37" t="s">
        <v>113</v>
      </c>
      <c r="D547" s="37" t="s">
        <v>62</v>
      </c>
      <c r="E547" s="37" t="s">
        <v>6</v>
      </c>
      <c r="F547" s="37" t="s">
        <v>133</v>
      </c>
      <c r="G547" s="37" t="s">
        <v>62</v>
      </c>
      <c r="H547" s="37" t="s">
        <v>130</v>
      </c>
      <c r="I547" s="37" t="s">
        <v>127</v>
      </c>
      <c r="J547" s="37" t="s">
        <v>34</v>
      </c>
      <c r="K547" s="38">
        <v>4.6360000000000001</v>
      </c>
      <c r="L547" s="42">
        <v>853.3</v>
      </c>
      <c r="M547" s="37"/>
      <c r="N547" s="40">
        <v>1.3420000000000001</v>
      </c>
      <c r="O547" s="38">
        <v>1.341621</v>
      </c>
      <c r="P547" s="39"/>
      <c r="Q547" s="39"/>
      <c r="R547" s="40">
        <v>2.2130000000000001</v>
      </c>
      <c r="S547" s="38">
        <v>2.1998630000000001</v>
      </c>
      <c r="T547" s="38">
        <v>8.0370000000000007E-3</v>
      </c>
      <c r="U547" s="38">
        <v>5.574E-3</v>
      </c>
      <c r="V547" s="8">
        <f t="shared" si="8"/>
        <v>2023</v>
      </c>
    </row>
    <row r="548" spans="1:22" hidden="1" x14ac:dyDescent="0.25">
      <c r="A548" s="36">
        <v>45017</v>
      </c>
      <c r="B548" s="37" t="s">
        <v>23</v>
      </c>
      <c r="C548" s="37" t="s">
        <v>113</v>
      </c>
      <c r="D548" s="37" t="s">
        <v>62</v>
      </c>
      <c r="E548" s="37" t="s">
        <v>6</v>
      </c>
      <c r="F548" s="37" t="s">
        <v>133</v>
      </c>
      <c r="G548" s="37" t="s">
        <v>62</v>
      </c>
      <c r="H548" s="37" t="s">
        <v>130</v>
      </c>
      <c r="I548" s="37" t="s">
        <v>127</v>
      </c>
      <c r="J548" s="37" t="s">
        <v>34</v>
      </c>
      <c r="K548" s="38">
        <v>4.4930000000000003</v>
      </c>
      <c r="L548" s="42">
        <v>809.22</v>
      </c>
      <c r="M548" s="37"/>
      <c r="N548" s="40">
        <v>1.3</v>
      </c>
      <c r="O548" s="38">
        <v>1.300238</v>
      </c>
      <c r="P548" s="39"/>
      <c r="Q548" s="39"/>
      <c r="R548" s="40">
        <v>2.145</v>
      </c>
      <c r="S548" s="38">
        <v>2.1320070000000002</v>
      </c>
      <c r="T548" s="38">
        <v>7.7889999999999999E-3</v>
      </c>
      <c r="U548" s="38">
        <v>5.4019999999999997E-3</v>
      </c>
      <c r="V548" s="8">
        <f t="shared" si="8"/>
        <v>2023</v>
      </c>
    </row>
    <row r="549" spans="1:22" hidden="1" x14ac:dyDescent="0.25">
      <c r="A549" s="36">
        <v>45047</v>
      </c>
      <c r="B549" s="37" t="s">
        <v>23</v>
      </c>
      <c r="C549" s="37" t="s">
        <v>113</v>
      </c>
      <c r="D549" s="37" t="s">
        <v>62</v>
      </c>
      <c r="E549" s="37" t="s">
        <v>6</v>
      </c>
      <c r="F549" s="37" t="s">
        <v>133</v>
      </c>
      <c r="G549" s="37" t="s">
        <v>62</v>
      </c>
      <c r="H549" s="37" t="s">
        <v>130</v>
      </c>
      <c r="I549" s="37" t="s">
        <v>127</v>
      </c>
      <c r="J549" s="37" t="s">
        <v>34</v>
      </c>
      <c r="K549" s="38">
        <v>4.4180000000000001</v>
      </c>
      <c r="L549" s="42">
        <v>830.33</v>
      </c>
      <c r="M549" s="37"/>
      <c r="N549" s="40">
        <v>1.2789999999999999</v>
      </c>
      <c r="O549" s="38">
        <v>1.2785340000000001</v>
      </c>
      <c r="P549" s="39"/>
      <c r="Q549" s="39"/>
      <c r="R549" s="40">
        <v>2.109</v>
      </c>
      <c r="S549" s="38">
        <v>2.0964179999999999</v>
      </c>
      <c r="T549" s="38">
        <v>7.659E-3</v>
      </c>
      <c r="U549" s="38">
        <v>5.3119999999999999E-3</v>
      </c>
      <c r="V549" s="8">
        <f t="shared" si="8"/>
        <v>2023</v>
      </c>
    </row>
    <row r="550" spans="1:22" hidden="1" x14ac:dyDescent="0.25">
      <c r="A550" s="36">
        <v>45078</v>
      </c>
      <c r="B550" s="37" t="s">
        <v>23</v>
      </c>
      <c r="C550" s="37" t="s">
        <v>113</v>
      </c>
      <c r="D550" s="37" t="s">
        <v>62</v>
      </c>
      <c r="E550" s="37" t="s">
        <v>6</v>
      </c>
      <c r="F550" s="37" t="s">
        <v>133</v>
      </c>
      <c r="G550" s="37" t="s">
        <v>62</v>
      </c>
      <c r="H550" s="37" t="s">
        <v>130</v>
      </c>
      <c r="I550" s="37" t="s">
        <v>127</v>
      </c>
      <c r="J550" s="37" t="s">
        <v>34</v>
      </c>
      <c r="K550" s="38">
        <v>4.8380000000000001</v>
      </c>
      <c r="L550" s="42">
        <v>795.9</v>
      </c>
      <c r="M550" s="37"/>
      <c r="N550" s="40">
        <v>1.4</v>
      </c>
      <c r="O550" s="38">
        <v>1.4000779999999999</v>
      </c>
      <c r="P550" s="39"/>
      <c r="Q550" s="39"/>
      <c r="R550" s="40">
        <v>2.31</v>
      </c>
      <c r="S550" s="38">
        <v>2.2957160000000001</v>
      </c>
      <c r="T550" s="38">
        <v>8.3870000000000004E-3</v>
      </c>
      <c r="U550" s="38">
        <v>5.816E-3</v>
      </c>
      <c r="V550" s="8">
        <f t="shared" si="8"/>
        <v>2023</v>
      </c>
    </row>
    <row r="551" spans="1:22" hidden="1" x14ac:dyDescent="0.25">
      <c r="A551" s="36">
        <v>45108</v>
      </c>
      <c r="B551" s="37" t="s">
        <v>23</v>
      </c>
      <c r="C551" s="37" t="s">
        <v>113</v>
      </c>
      <c r="D551" s="37" t="s">
        <v>62</v>
      </c>
      <c r="E551" s="37" t="s">
        <v>6</v>
      </c>
      <c r="F551" s="37" t="s">
        <v>133</v>
      </c>
      <c r="G551" s="37" t="s">
        <v>62</v>
      </c>
      <c r="H551" s="37" t="s">
        <v>130</v>
      </c>
      <c r="I551" s="37" t="s">
        <v>127</v>
      </c>
      <c r="J551" s="37" t="s">
        <v>34</v>
      </c>
      <c r="K551" s="38">
        <v>4.0510000000000002</v>
      </c>
      <c r="L551" s="42">
        <v>661.05</v>
      </c>
      <c r="M551" s="37"/>
      <c r="N551" s="40">
        <v>1.1719999999999999</v>
      </c>
      <c r="O551" s="38">
        <v>1.1723269999999999</v>
      </c>
      <c r="P551" s="39"/>
      <c r="Q551" s="39"/>
      <c r="R551" s="40">
        <v>1.9339999999999999</v>
      </c>
      <c r="S551" s="38">
        <v>1.9222699999999999</v>
      </c>
      <c r="T551" s="38">
        <v>7.0229999999999997E-3</v>
      </c>
      <c r="U551" s="38">
        <v>4.8700000000000002E-3</v>
      </c>
      <c r="V551" s="8">
        <f t="shared" si="8"/>
        <v>2023</v>
      </c>
    </row>
    <row r="552" spans="1:22" hidden="1" x14ac:dyDescent="0.25">
      <c r="A552" s="36">
        <v>45139</v>
      </c>
      <c r="B552" s="37" t="s">
        <v>23</v>
      </c>
      <c r="C552" s="37" t="s">
        <v>113</v>
      </c>
      <c r="D552" s="37" t="s">
        <v>62</v>
      </c>
      <c r="E552" s="37" t="s">
        <v>6</v>
      </c>
      <c r="F552" s="37" t="s">
        <v>133</v>
      </c>
      <c r="G552" s="37" t="s">
        <v>62</v>
      </c>
      <c r="H552" s="37" t="s">
        <v>130</v>
      </c>
      <c r="I552" s="37" t="s">
        <v>127</v>
      </c>
      <c r="J552" s="37" t="s">
        <v>34</v>
      </c>
      <c r="K552" s="38">
        <v>4.2969999999999997</v>
      </c>
      <c r="L552" s="42">
        <v>669.96</v>
      </c>
      <c r="M552" s="37"/>
      <c r="N552" s="40">
        <v>1.244</v>
      </c>
      <c r="O552" s="38">
        <v>1.243517</v>
      </c>
      <c r="P552" s="39"/>
      <c r="Q552" s="39"/>
      <c r="R552" s="40">
        <v>2.052</v>
      </c>
      <c r="S552" s="38">
        <v>2.039002</v>
      </c>
      <c r="T552" s="38">
        <v>7.4489999999999999E-3</v>
      </c>
      <c r="U552" s="38">
        <v>5.1659999999999996E-3</v>
      </c>
      <c r="V552" s="8">
        <f t="shared" si="8"/>
        <v>2023</v>
      </c>
    </row>
    <row r="553" spans="1:22" hidden="1" x14ac:dyDescent="0.25">
      <c r="A553" s="36">
        <v>45170</v>
      </c>
      <c r="B553" s="37" t="s">
        <v>23</v>
      </c>
      <c r="C553" s="37" t="s">
        <v>113</v>
      </c>
      <c r="D553" s="37" t="s">
        <v>62</v>
      </c>
      <c r="E553" s="37" t="s">
        <v>6</v>
      </c>
      <c r="F553" s="37" t="s">
        <v>133</v>
      </c>
      <c r="G553" s="37" t="s">
        <v>62</v>
      </c>
      <c r="H553" s="37" t="s">
        <v>130</v>
      </c>
      <c r="I553" s="37" t="s">
        <v>127</v>
      </c>
      <c r="J553" s="37" t="s">
        <v>34</v>
      </c>
      <c r="K553" s="38">
        <v>4.4349999999999996</v>
      </c>
      <c r="L553" s="42">
        <v>740.98</v>
      </c>
      <c r="M553" s="37"/>
      <c r="N553" s="40">
        <v>1.2829999999999999</v>
      </c>
      <c r="O553" s="38">
        <v>1.283453</v>
      </c>
      <c r="P553" s="39"/>
      <c r="Q553" s="39"/>
      <c r="R553" s="40">
        <v>2.1179999999999999</v>
      </c>
      <c r="S553" s="38">
        <v>2.1044849999999999</v>
      </c>
      <c r="T553" s="38">
        <v>7.6889999999999997E-3</v>
      </c>
      <c r="U553" s="38">
        <v>5.3319999999999999E-3</v>
      </c>
      <c r="V553" s="8">
        <f t="shared" si="8"/>
        <v>2023</v>
      </c>
    </row>
    <row r="554" spans="1:22" hidden="1" x14ac:dyDescent="0.25">
      <c r="A554" s="36">
        <v>45200</v>
      </c>
      <c r="B554" s="37" t="s">
        <v>23</v>
      </c>
      <c r="C554" s="37" t="s">
        <v>113</v>
      </c>
      <c r="D554" s="37" t="s">
        <v>62</v>
      </c>
      <c r="E554" s="37" t="s">
        <v>6</v>
      </c>
      <c r="F554" s="37" t="s">
        <v>133</v>
      </c>
      <c r="G554" s="37" t="s">
        <v>62</v>
      </c>
      <c r="H554" s="37" t="s">
        <v>130</v>
      </c>
      <c r="I554" s="37" t="s">
        <v>127</v>
      </c>
      <c r="J554" s="37" t="s">
        <v>34</v>
      </c>
      <c r="K554" s="38">
        <v>4.234</v>
      </c>
      <c r="L554" s="42">
        <v>693.02</v>
      </c>
      <c r="M554" s="37"/>
      <c r="N554" s="40">
        <v>1.2250000000000001</v>
      </c>
      <c r="O554" s="38">
        <v>1.225285</v>
      </c>
      <c r="P554" s="39"/>
      <c r="Q554" s="39"/>
      <c r="R554" s="40">
        <v>2.0219999999999998</v>
      </c>
      <c r="S554" s="38">
        <v>2.0091070000000002</v>
      </c>
      <c r="T554" s="38">
        <v>7.3400000000000002E-3</v>
      </c>
      <c r="U554" s="38">
        <v>5.0899999999999999E-3</v>
      </c>
      <c r="V554" s="8">
        <f t="shared" si="8"/>
        <v>2023</v>
      </c>
    </row>
    <row r="555" spans="1:22" hidden="1" x14ac:dyDescent="0.25">
      <c r="A555" s="36">
        <v>45231</v>
      </c>
      <c r="B555" s="37" t="s">
        <v>23</v>
      </c>
      <c r="C555" s="37" t="s">
        <v>113</v>
      </c>
      <c r="D555" s="37" t="s">
        <v>62</v>
      </c>
      <c r="E555" s="37" t="s">
        <v>6</v>
      </c>
      <c r="F555" s="37" t="s">
        <v>133</v>
      </c>
      <c r="G555" s="37" t="s">
        <v>62</v>
      </c>
      <c r="H555" s="37" t="s">
        <v>130</v>
      </c>
      <c r="I555" s="37" t="s">
        <v>127</v>
      </c>
      <c r="J555" s="37" t="s">
        <v>34</v>
      </c>
      <c r="K555" s="38">
        <v>4.476</v>
      </c>
      <c r="L555" s="42">
        <v>728.82</v>
      </c>
      <c r="M555" s="37"/>
      <c r="N555" s="40">
        <v>1.2949999999999999</v>
      </c>
      <c r="O555" s="38">
        <v>1.295318</v>
      </c>
      <c r="P555" s="39"/>
      <c r="Q555" s="39"/>
      <c r="R555" s="40">
        <v>2.137</v>
      </c>
      <c r="S555" s="38">
        <v>2.1239400000000002</v>
      </c>
      <c r="T555" s="38">
        <v>7.7600000000000004E-3</v>
      </c>
      <c r="U555" s="38">
        <v>5.3810000000000004E-3</v>
      </c>
      <c r="V555" s="8">
        <f t="shared" si="8"/>
        <v>2023</v>
      </c>
    </row>
    <row r="556" spans="1:22" hidden="1" x14ac:dyDescent="0.25">
      <c r="A556" s="36">
        <v>45261</v>
      </c>
      <c r="B556" s="37" t="s">
        <v>23</v>
      </c>
      <c r="C556" s="37" t="s">
        <v>113</v>
      </c>
      <c r="D556" s="37" t="s">
        <v>62</v>
      </c>
      <c r="E556" s="37" t="s">
        <v>6</v>
      </c>
      <c r="F556" s="37" t="s">
        <v>133</v>
      </c>
      <c r="G556" s="37" t="s">
        <v>62</v>
      </c>
      <c r="H556" s="37" t="s">
        <v>130</v>
      </c>
      <c r="I556" s="37" t="s">
        <v>127</v>
      </c>
      <c r="J556" s="37" t="s">
        <v>34</v>
      </c>
      <c r="K556" s="38">
        <v>3.93</v>
      </c>
      <c r="L556" s="42">
        <v>756.43</v>
      </c>
      <c r="M556" s="37"/>
      <c r="N556" s="40">
        <v>1.137</v>
      </c>
      <c r="O556" s="38">
        <v>1.13731</v>
      </c>
      <c r="P556" s="39"/>
      <c r="Q556" s="39"/>
      <c r="R556" s="40">
        <v>1.8759999999999999</v>
      </c>
      <c r="S556" s="38">
        <v>1.864854</v>
      </c>
      <c r="T556" s="38">
        <v>6.8129999999999996E-3</v>
      </c>
      <c r="U556" s="38">
        <v>4.725E-3</v>
      </c>
      <c r="V556" s="8">
        <f t="shared" si="8"/>
        <v>2023</v>
      </c>
    </row>
    <row r="557" spans="1:22" hidden="1" x14ac:dyDescent="0.25">
      <c r="A557" s="36">
        <v>44562</v>
      </c>
      <c r="B557" s="37" t="s">
        <v>11</v>
      </c>
      <c r="C557" s="37" t="s">
        <v>123</v>
      </c>
      <c r="D557" s="37" t="s">
        <v>63</v>
      </c>
      <c r="E557" s="37" t="s">
        <v>5</v>
      </c>
      <c r="F557" s="37" t="s">
        <v>134</v>
      </c>
      <c r="G557" s="37" t="s">
        <v>135</v>
      </c>
      <c r="H557" s="37" t="s">
        <v>136</v>
      </c>
      <c r="I557" s="37" t="s">
        <v>127</v>
      </c>
      <c r="J557" s="37" t="s">
        <v>34</v>
      </c>
      <c r="K557" s="38">
        <v>0</v>
      </c>
      <c r="L557" s="39"/>
      <c r="M557" s="37" t="s">
        <v>117</v>
      </c>
      <c r="N557" s="40">
        <v>0</v>
      </c>
      <c r="O557" s="38">
        <v>0</v>
      </c>
      <c r="P557" s="38">
        <v>0</v>
      </c>
      <c r="Q557" s="38">
        <v>0</v>
      </c>
      <c r="R557" s="40">
        <v>0</v>
      </c>
      <c r="S557" s="38">
        <v>0</v>
      </c>
      <c r="T557" s="38">
        <v>0</v>
      </c>
      <c r="U557" s="38">
        <v>0</v>
      </c>
      <c r="V557" s="8">
        <f t="shared" si="8"/>
        <v>2022</v>
      </c>
    </row>
    <row r="558" spans="1:22" hidden="1" x14ac:dyDescent="0.25">
      <c r="A558" s="36">
        <v>44562</v>
      </c>
      <c r="B558" s="37" t="s">
        <v>19</v>
      </c>
      <c r="C558" s="37" t="s">
        <v>123</v>
      </c>
      <c r="D558" s="37" t="s">
        <v>63</v>
      </c>
      <c r="E558" s="37" t="s">
        <v>5</v>
      </c>
      <c r="F558" s="37" t="s">
        <v>134</v>
      </c>
      <c r="G558" s="37" t="s">
        <v>135</v>
      </c>
      <c r="H558" s="37" t="s">
        <v>136</v>
      </c>
      <c r="I558" s="37" t="s">
        <v>127</v>
      </c>
      <c r="J558" s="37" t="s">
        <v>34</v>
      </c>
      <c r="K558" s="38">
        <v>142.20274900000001</v>
      </c>
      <c r="L558" s="42">
        <v>3162.84</v>
      </c>
      <c r="M558" s="37" t="s">
        <v>117</v>
      </c>
      <c r="N558" s="40">
        <v>25.773</v>
      </c>
      <c r="O558" s="38">
        <v>25.745557000000002</v>
      </c>
      <c r="P558" s="38">
        <v>1.3246000000000001E-2</v>
      </c>
      <c r="Q558" s="38">
        <v>1.4459E-2</v>
      </c>
      <c r="R558" s="40">
        <v>25.773</v>
      </c>
      <c r="S558" s="38">
        <v>25.745557000000002</v>
      </c>
      <c r="T558" s="38">
        <v>1.3246000000000001E-2</v>
      </c>
      <c r="U558" s="38">
        <v>1.4459E-2</v>
      </c>
      <c r="V558" s="8">
        <f t="shared" si="8"/>
        <v>2022</v>
      </c>
    </row>
    <row r="559" spans="1:22" hidden="1" x14ac:dyDescent="0.25">
      <c r="A559" s="36">
        <v>44562</v>
      </c>
      <c r="B559" s="37" t="s">
        <v>20</v>
      </c>
      <c r="C559" s="37" t="s">
        <v>123</v>
      </c>
      <c r="D559" s="37" t="s">
        <v>63</v>
      </c>
      <c r="E559" s="37" t="s">
        <v>5</v>
      </c>
      <c r="F559" s="37" t="s">
        <v>134</v>
      </c>
      <c r="G559" s="37" t="s">
        <v>135</v>
      </c>
      <c r="H559" s="37" t="s">
        <v>136</v>
      </c>
      <c r="I559" s="37" t="s">
        <v>127</v>
      </c>
      <c r="J559" s="37" t="s">
        <v>34</v>
      </c>
      <c r="K559" s="38">
        <v>0</v>
      </c>
      <c r="L559" s="39"/>
      <c r="M559" s="37" t="s">
        <v>117</v>
      </c>
      <c r="N559" s="40">
        <v>0</v>
      </c>
      <c r="O559" s="38">
        <v>0</v>
      </c>
      <c r="P559" s="38">
        <v>0</v>
      </c>
      <c r="Q559" s="38">
        <v>0</v>
      </c>
      <c r="R559" s="39" t="s">
        <v>117</v>
      </c>
      <c r="S559" s="39"/>
      <c r="T559" s="39"/>
      <c r="U559" s="39"/>
      <c r="V559" s="8">
        <f t="shared" si="8"/>
        <v>2022</v>
      </c>
    </row>
    <row r="560" spans="1:22" hidden="1" x14ac:dyDescent="0.25">
      <c r="A560" s="36">
        <v>44593</v>
      </c>
      <c r="B560" s="37" t="s">
        <v>11</v>
      </c>
      <c r="C560" s="37" t="s">
        <v>123</v>
      </c>
      <c r="D560" s="37" t="s">
        <v>63</v>
      </c>
      <c r="E560" s="37" t="s">
        <v>5</v>
      </c>
      <c r="F560" s="37" t="s">
        <v>134</v>
      </c>
      <c r="G560" s="37" t="s">
        <v>135</v>
      </c>
      <c r="H560" s="37" t="s">
        <v>136</v>
      </c>
      <c r="I560" s="37" t="s">
        <v>127</v>
      </c>
      <c r="J560" s="37" t="s">
        <v>34</v>
      </c>
      <c r="K560" s="38">
        <v>0</v>
      </c>
      <c r="L560" s="39"/>
      <c r="M560" s="37" t="s">
        <v>117</v>
      </c>
      <c r="N560" s="40">
        <v>0</v>
      </c>
      <c r="O560" s="38">
        <v>0</v>
      </c>
      <c r="P560" s="38">
        <v>0</v>
      </c>
      <c r="Q560" s="38">
        <v>0</v>
      </c>
      <c r="R560" s="40">
        <v>0</v>
      </c>
      <c r="S560" s="38">
        <v>0</v>
      </c>
      <c r="T560" s="38">
        <v>0</v>
      </c>
      <c r="U560" s="38">
        <v>0</v>
      </c>
      <c r="V560" s="8">
        <f t="shared" si="8"/>
        <v>2022</v>
      </c>
    </row>
    <row r="561" spans="1:22" hidden="1" x14ac:dyDescent="0.25">
      <c r="A561" s="36">
        <v>44593</v>
      </c>
      <c r="B561" s="37" t="s">
        <v>19</v>
      </c>
      <c r="C561" s="37" t="s">
        <v>123</v>
      </c>
      <c r="D561" s="37" t="s">
        <v>63</v>
      </c>
      <c r="E561" s="37" t="s">
        <v>5</v>
      </c>
      <c r="F561" s="37" t="s">
        <v>134</v>
      </c>
      <c r="G561" s="37" t="s">
        <v>135</v>
      </c>
      <c r="H561" s="37" t="s">
        <v>136</v>
      </c>
      <c r="I561" s="37" t="s">
        <v>127</v>
      </c>
      <c r="J561" s="37" t="s">
        <v>34</v>
      </c>
      <c r="K561" s="38">
        <v>136.53382300000001</v>
      </c>
      <c r="L561" s="42">
        <v>3081.79</v>
      </c>
      <c r="M561" s="37" t="s">
        <v>117</v>
      </c>
      <c r="N561" s="40">
        <v>24.745999999999999</v>
      </c>
      <c r="O561" s="38">
        <v>24.719207999999998</v>
      </c>
      <c r="P561" s="38">
        <v>1.2718E-2</v>
      </c>
      <c r="Q561" s="38">
        <v>1.3883E-2</v>
      </c>
      <c r="R561" s="40">
        <v>24.745999999999999</v>
      </c>
      <c r="S561" s="38">
        <v>24.719207999999998</v>
      </c>
      <c r="T561" s="38">
        <v>1.2718E-2</v>
      </c>
      <c r="U561" s="38">
        <v>1.3883E-2</v>
      </c>
      <c r="V561" s="8">
        <f t="shared" si="8"/>
        <v>2022</v>
      </c>
    </row>
    <row r="562" spans="1:22" hidden="1" x14ac:dyDescent="0.25">
      <c r="A562" s="36">
        <v>44593</v>
      </c>
      <c r="B562" s="37" t="s">
        <v>20</v>
      </c>
      <c r="C562" s="37" t="s">
        <v>123</v>
      </c>
      <c r="D562" s="37" t="s">
        <v>63</v>
      </c>
      <c r="E562" s="37" t="s">
        <v>5</v>
      </c>
      <c r="F562" s="37" t="s">
        <v>134</v>
      </c>
      <c r="G562" s="37" t="s">
        <v>135</v>
      </c>
      <c r="H562" s="37" t="s">
        <v>136</v>
      </c>
      <c r="I562" s="37" t="s">
        <v>127</v>
      </c>
      <c r="J562" s="37" t="s">
        <v>34</v>
      </c>
      <c r="K562" s="38">
        <v>0</v>
      </c>
      <c r="L562" s="39"/>
      <c r="M562" s="37" t="s">
        <v>117</v>
      </c>
      <c r="N562" s="40">
        <v>0</v>
      </c>
      <c r="O562" s="38">
        <v>0</v>
      </c>
      <c r="P562" s="38">
        <v>0</v>
      </c>
      <c r="Q562" s="38">
        <v>0</v>
      </c>
      <c r="R562" s="39" t="s">
        <v>117</v>
      </c>
      <c r="S562" s="39"/>
      <c r="T562" s="39"/>
      <c r="U562" s="39"/>
      <c r="V562" s="8">
        <f t="shared" si="8"/>
        <v>2022</v>
      </c>
    </row>
    <row r="563" spans="1:22" hidden="1" x14ac:dyDescent="0.25">
      <c r="A563" s="36">
        <v>44621</v>
      </c>
      <c r="B563" s="37" t="s">
        <v>11</v>
      </c>
      <c r="C563" s="37" t="s">
        <v>123</v>
      </c>
      <c r="D563" s="37" t="s">
        <v>63</v>
      </c>
      <c r="E563" s="37" t="s">
        <v>5</v>
      </c>
      <c r="F563" s="37" t="s">
        <v>134</v>
      </c>
      <c r="G563" s="37" t="s">
        <v>135</v>
      </c>
      <c r="H563" s="37" t="s">
        <v>136</v>
      </c>
      <c r="I563" s="37" t="s">
        <v>127</v>
      </c>
      <c r="J563" s="37" t="s">
        <v>34</v>
      </c>
      <c r="K563" s="38">
        <v>0</v>
      </c>
      <c r="L563" s="39"/>
      <c r="M563" s="37" t="s">
        <v>117</v>
      </c>
      <c r="N563" s="40">
        <v>0</v>
      </c>
      <c r="O563" s="38">
        <v>0</v>
      </c>
      <c r="P563" s="38">
        <v>0</v>
      </c>
      <c r="Q563" s="38">
        <v>0</v>
      </c>
      <c r="R563" s="40">
        <v>0</v>
      </c>
      <c r="S563" s="38">
        <v>0</v>
      </c>
      <c r="T563" s="38">
        <v>0</v>
      </c>
      <c r="U563" s="38">
        <v>0</v>
      </c>
      <c r="V563" s="8">
        <f t="shared" si="8"/>
        <v>2022</v>
      </c>
    </row>
    <row r="564" spans="1:22" hidden="1" x14ac:dyDescent="0.25">
      <c r="A564" s="36">
        <v>44621</v>
      </c>
      <c r="B564" s="37" t="s">
        <v>19</v>
      </c>
      <c r="C564" s="37" t="s">
        <v>123</v>
      </c>
      <c r="D564" s="37" t="s">
        <v>63</v>
      </c>
      <c r="E564" s="37" t="s">
        <v>5</v>
      </c>
      <c r="F564" s="37" t="s">
        <v>134</v>
      </c>
      <c r="G564" s="37" t="s">
        <v>135</v>
      </c>
      <c r="H564" s="37" t="s">
        <v>136</v>
      </c>
      <c r="I564" s="37" t="s">
        <v>127</v>
      </c>
      <c r="J564" s="37" t="s">
        <v>34</v>
      </c>
      <c r="K564" s="38">
        <v>98.168066999999994</v>
      </c>
      <c r="L564" s="42">
        <v>2245.1</v>
      </c>
      <c r="M564" s="37" t="s">
        <v>117</v>
      </c>
      <c r="N564" s="40">
        <v>17.792000000000002</v>
      </c>
      <c r="O564" s="38">
        <v>17.773154999999999</v>
      </c>
      <c r="P564" s="38">
        <v>9.1439999999999994E-3</v>
      </c>
      <c r="Q564" s="38">
        <v>9.9819999999999996E-3</v>
      </c>
      <c r="R564" s="40">
        <v>17.792000000000002</v>
      </c>
      <c r="S564" s="38">
        <v>17.773154999999999</v>
      </c>
      <c r="T564" s="38">
        <v>9.1439999999999994E-3</v>
      </c>
      <c r="U564" s="38">
        <v>9.9819999999999996E-3</v>
      </c>
      <c r="V564" s="8">
        <f t="shared" ref="V564:V627" si="9">YEAR(A564)</f>
        <v>2022</v>
      </c>
    </row>
    <row r="565" spans="1:22" hidden="1" x14ac:dyDescent="0.25">
      <c r="A565" s="36">
        <v>44621</v>
      </c>
      <c r="B565" s="37" t="s">
        <v>20</v>
      </c>
      <c r="C565" s="37" t="s">
        <v>123</v>
      </c>
      <c r="D565" s="37" t="s">
        <v>63</v>
      </c>
      <c r="E565" s="37" t="s">
        <v>5</v>
      </c>
      <c r="F565" s="37" t="s">
        <v>134</v>
      </c>
      <c r="G565" s="37" t="s">
        <v>135</v>
      </c>
      <c r="H565" s="37" t="s">
        <v>136</v>
      </c>
      <c r="I565" s="37" t="s">
        <v>127</v>
      </c>
      <c r="J565" s="37" t="s">
        <v>34</v>
      </c>
      <c r="K565" s="38">
        <v>0</v>
      </c>
      <c r="L565" s="39"/>
      <c r="M565" s="37" t="s">
        <v>117</v>
      </c>
      <c r="N565" s="40">
        <v>0</v>
      </c>
      <c r="O565" s="38">
        <v>0</v>
      </c>
      <c r="P565" s="38">
        <v>0</v>
      </c>
      <c r="Q565" s="38">
        <v>0</v>
      </c>
      <c r="R565" s="39" t="s">
        <v>117</v>
      </c>
      <c r="S565" s="39"/>
      <c r="T565" s="39"/>
      <c r="U565" s="39"/>
      <c r="V565" s="8">
        <f t="shared" si="9"/>
        <v>2022</v>
      </c>
    </row>
    <row r="566" spans="1:22" hidden="1" x14ac:dyDescent="0.25">
      <c r="A566" s="36">
        <v>44652</v>
      </c>
      <c r="B566" s="37" t="s">
        <v>11</v>
      </c>
      <c r="C566" s="37" t="s">
        <v>123</v>
      </c>
      <c r="D566" s="37" t="s">
        <v>63</v>
      </c>
      <c r="E566" s="37" t="s">
        <v>5</v>
      </c>
      <c r="F566" s="37" t="s">
        <v>134</v>
      </c>
      <c r="G566" s="37" t="s">
        <v>135</v>
      </c>
      <c r="H566" s="37" t="s">
        <v>136</v>
      </c>
      <c r="I566" s="37" t="s">
        <v>127</v>
      </c>
      <c r="J566" s="37" t="s">
        <v>34</v>
      </c>
      <c r="K566" s="38">
        <v>0</v>
      </c>
      <c r="L566" s="39"/>
      <c r="M566" s="37" t="s">
        <v>117</v>
      </c>
      <c r="N566" s="40">
        <v>0</v>
      </c>
      <c r="O566" s="38">
        <v>0</v>
      </c>
      <c r="P566" s="38">
        <v>0</v>
      </c>
      <c r="Q566" s="38">
        <v>0</v>
      </c>
      <c r="R566" s="40">
        <v>0</v>
      </c>
      <c r="S566" s="38">
        <v>0</v>
      </c>
      <c r="T566" s="38">
        <v>0</v>
      </c>
      <c r="U566" s="38">
        <v>0</v>
      </c>
      <c r="V566" s="8">
        <f t="shared" si="9"/>
        <v>2022</v>
      </c>
    </row>
    <row r="567" spans="1:22" hidden="1" x14ac:dyDescent="0.25">
      <c r="A567" s="36">
        <v>44652</v>
      </c>
      <c r="B567" s="37" t="s">
        <v>19</v>
      </c>
      <c r="C567" s="37" t="s">
        <v>123</v>
      </c>
      <c r="D567" s="37" t="s">
        <v>63</v>
      </c>
      <c r="E567" s="37" t="s">
        <v>5</v>
      </c>
      <c r="F567" s="37" t="s">
        <v>134</v>
      </c>
      <c r="G567" s="37" t="s">
        <v>135</v>
      </c>
      <c r="H567" s="37" t="s">
        <v>136</v>
      </c>
      <c r="I567" s="37" t="s">
        <v>127</v>
      </c>
      <c r="J567" s="37" t="s">
        <v>34</v>
      </c>
      <c r="K567" s="38">
        <v>95.879508999999999</v>
      </c>
      <c r="L567" s="42">
        <v>2195.17</v>
      </c>
      <c r="M567" s="37" t="s">
        <v>117</v>
      </c>
      <c r="N567" s="40">
        <v>17.376999999999999</v>
      </c>
      <c r="O567" s="38">
        <v>17.358816000000001</v>
      </c>
      <c r="P567" s="38">
        <v>8.9309999999999997E-3</v>
      </c>
      <c r="Q567" s="38">
        <v>9.7490000000000007E-3</v>
      </c>
      <c r="R567" s="40">
        <v>17.376999999999999</v>
      </c>
      <c r="S567" s="38">
        <v>17.358816000000001</v>
      </c>
      <c r="T567" s="38">
        <v>8.9309999999999997E-3</v>
      </c>
      <c r="U567" s="38">
        <v>9.7490000000000007E-3</v>
      </c>
      <c r="V567" s="8">
        <f t="shared" si="9"/>
        <v>2022</v>
      </c>
    </row>
    <row r="568" spans="1:22" hidden="1" x14ac:dyDescent="0.25">
      <c r="A568" s="36">
        <v>44652</v>
      </c>
      <c r="B568" s="37" t="s">
        <v>20</v>
      </c>
      <c r="C568" s="37" t="s">
        <v>123</v>
      </c>
      <c r="D568" s="37" t="s">
        <v>63</v>
      </c>
      <c r="E568" s="37" t="s">
        <v>5</v>
      </c>
      <c r="F568" s="37" t="s">
        <v>134</v>
      </c>
      <c r="G568" s="37" t="s">
        <v>135</v>
      </c>
      <c r="H568" s="37" t="s">
        <v>136</v>
      </c>
      <c r="I568" s="37" t="s">
        <v>127</v>
      </c>
      <c r="J568" s="37" t="s">
        <v>34</v>
      </c>
      <c r="K568" s="38">
        <v>0</v>
      </c>
      <c r="L568" s="39"/>
      <c r="M568" s="37" t="s">
        <v>117</v>
      </c>
      <c r="N568" s="40">
        <v>0</v>
      </c>
      <c r="O568" s="38">
        <v>0</v>
      </c>
      <c r="P568" s="38">
        <v>0</v>
      </c>
      <c r="Q568" s="38">
        <v>0</v>
      </c>
      <c r="R568" s="39" t="s">
        <v>117</v>
      </c>
      <c r="S568" s="39"/>
      <c r="T568" s="39"/>
      <c r="U568" s="39"/>
      <c r="V568" s="8">
        <f t="shared" si="9"/>
        <v>2022</v>
      </c>
    </row>
    <row r="569" spans="1:22" hidden="1" x14ac:dyDescent="0.25">
      <c r="A569" s="36">
        <v>44682</v>
      </c>
      <c r="B569" s="37" t="s">
        <v>11</v>
      </c>
      <c r="C569" s="37" t="s">
        <v>123</v>
      </c>
      <c r="D569" s="37" t="s">
        <v>63</v>
      </c>
      <c r="E569" s="37" t="s">
        <v>5</v>
      </c>
      <c r="F569" s="37" t="s">
        <v>134</v>
      </c>
      <c r="G569" s="37" t="s">
        <v>135</v>
      </c>
      <c r="H569" s="37" t="s">
        <v>136</v>
      </c>
      <c r="I569" s="37" t="s">
        <v>127</v>
      </c>
      <c r="J569" s="37" t="s">
        <v>34</v>
      </c>
      <c r="K569" s="38">
        <v>0</v>
      </c>
      <c r="L569" s="39"/>
      <c r="M569" s="37" t="s">
        <v>117</v>
      </c>
      <c r="N569" s="40">
        <v>0</v>
      </c>
      <c r="O569" s="38">
        <v>0</v>
      </c>
      <c r="P569" s="38">
        <v>0</v>
      </c>
      <c r="Q569" s="38">
        <v>0</v>
      </c>
      <c r="R569" s="40">
        <v>0</v>
      </c>
      <c r="S569" s="38">
        <v>0</v>
      </c>
      <c r="T569" s="38">
        <v>0</v>
      </c>
      <c r="U569" s="38">
        <v>0</v>
      </c>
      <c r="V569" s="8">
        <f t="shared" si="9"/>
        <v>2022</v>
      </c>
    </row>
    <row r="570" spans="1:22" hidden="1" x14ac:dyDescent="0.25">
      <c r="A570" s="36">
        <v>44682</v>
      </c>
      <c r="B570" s="37" t="s">
        <v>19</v>
      </c>
      <c r="C570" s="37" t="s">
        <v>123</v>
      </c>
      <c r="D570" s="37" t="s">
        <v>63</v>
      </c>
      <c r="E570" s="37" t="s">
        <v>5</v>
      </c>
      <c r="F570" s="37" t="s">
        <v>134</v>
      </c>
      <c r="G570" s="37" t="s">
        <v>135</v>
      </c>
      <c r="H570" s="37" t="s">
        <v>136</v>
      </c>
      <c r="I570" s="37" t="s">
        <v>127</v>
      </c>
      <c r="J570" s="37" t="s">
        <v>34</v>
      </c>
      <c r="K570" s="38">
        <v>62.537697000000001</v>
      </c>
      <c r="L570" s="42">
        <v>1468.08</v>
      </c>
      <c r="M570" s="37" t="s">
        <v>117</v>
      </c>
      <c r="N570" s="40">
        <v>11.335000000000001</v>
      </c>
      <c r="O570" s="38">
        <v>11.322340000000001</v>
      </c>
      <c r="P570" s="38">
        <v>5.8250000000000003E-3</v>
      </c>
      <c r="Q570" s="38">
        <v>6.3590000000000001E-3</v>
      </c>
      <c r="R570" s="40">
        <v>11.335000000000001</v>
      </c>
      <c r="S570" s="38">
        <v>11.322340000000001</v>
      </c>
      <c r="T570" s="38">
        <v>5.8250000000000003E-3</v>
      </c>
      <c r="U570" s="38">
        <v>6.3590000000000001E-3</v>
      </c>
      <c r="V570" s="8">
        <f t="shared" si="9"/>
        <v>2022</v>
      </c>
    </row>
    <row r="571" spans="1:22" hidden="1" x14ac:dyDescent="0.25">
      <c r="A571" s="36">
        <v>44682</v>
      </c>
      <c r="B571" s="37" t="s">
        <v>20</v>
      </c>
      <c r="C571" s="37" t="s">
        <v>123</v>
      </c>
      <c r="D571" s="37" t="s">
        <v>63</v>
      </c>
      <c r="E571" s="37" t="s">
        <v>5</v>
      </c>
      <c r="F571" s="37" t="s">
        <v>134</v>
      </c>
      <c r="G571" s="37" t="s">
        <v>135</v>
      </c>
      <c r="H571" s="37" t="s">
        <v>136</v>
      </c>
      <c r="I571" s="37" t="s">
        <v>127</v>
      </c>
      <c r="J571" s="37" t="s">
        <v>34</v>
      </c>
      <c r="K571" s="38">
        <v>0</v>
      </c>
      <c r="L571" s="39"/>
      <c r="M571" s="37" t="s">
        <v>117</v>
      </c>
      <c r="N571" s="40">
        <v>0</v>
      </c>
      <c r="O571" s="38">
        <v>0</v>
      </c>
      <c r="P571" s="38">
        <v>0</v>
      </c>
      <c r="Q571" s="38">
        <v>0</v>
      </c>
      <c r="R571" s="39" t="s">
        <v>117</v>
      </c>
      <c r="S571" s="39"/>
      <c r="T571" s="39"/>
      <c r="U571" s="39"/>
      <c r="V571" s="8">
        <f t="shared" si="9"/>
        <v>2022</v>
      </c>
    </row>
    <row r="572" spans="1:22" hidden="1" x14ac:dyDescent="0.25">
      <c r="A572" s="36">
        <v>44713</v>
      </c>
      <c r="B572" s="37" t="s">
        <v>11</v>
      </c>
      <c r="C572" s="37" t="s">
        <v>123</v>
      </c>
      <c r="D572" s="37" t="s">
        <v>63</v>
      </c>
      <c r="E572" s="37" t="s">
        <v>5</v>
      </c>
      <c r="F572" s="37" t="s">
        <v>134</v>
      </c>
      <c r="G572" s="37" t="s">
        <v>135</v>
      </c>
      <c r="H572" s="37" t="s">
        <v>136</v>
      </c>
      <c r="I572" s="37" t="s">
        <v>127</v>
      </c>
      <c r="J572" s="37" t="s">
        <v>34</v>
      </c>
      <c r="K572" s="38">
        <v>0</v>
      </c>
      <c r="L572" s="39"/>
      <c r="M572" s="37" t="s">
        <v>117</v>
      </c>
      <c r="N572" s="40">
        <v>0</v>
      </c>
      <c r="O572" s="38">
        <v>0</v>
      </c>
      <c r="P572" s="38">
        <v>0</v>
      </c>
      <c r="Q572" s="38">
        <v>0</v>
      </c>
      <c r="R572" s="40">
        <v>0</v>
      </c>
      <c r="S572" s="38">
        <v>0</v>
      </c>
      <c r="T572" s="38">
        <v>0</v>
      </c>
      <c r="U572" s="38">
        <v>0</v>
      </c>
      <c r="V572" s="8">
        <f t="shared" si="9"/>
        <v>2022</v>
      </c>
    </row>
    <row r="573" spans="1:22" hidden="1" x14ac:dyDescent="0.25">
      <c r="A573" s="36">
        <v>44713</v>
      </c>
      <c r="B573" s="37" t="s">
        <v>19</v>
      </c>
      <c r="C573" s="37" t="s">
        <v>123</v>
      </c>
      <c r="D573" s="37" t="s">
        <v>63</v>
      </c>
      <c r="E573" s="37" t="s">
        <v>5</v>
      </c>
      <c r="F573" s="37" t="s">
        <v>134</v>
      </c>
      <c r="G573" s="37" t="s">
        <v>135</v>
      </c>
      <c r="H573" s="37" t="s">
        <v>136</v>
      </c>
      <c r="I573" s="37" t="s">
        <v>127</v>
      </c>
      <c r="J573" s="37" t="s">
        <v>34</v>
      </c>
      <c r="K573" s="38">
        <v>50.824883999999997</v>
      </c>
      <c r="L573" s="42">
        <v>1212.6199999999999</v>
      </c>
      <c r="M573" s="37" t="s">
        <v>117</v>
      </c>
      <c r="N573" s="40">
        <v>9.2119999999999997</v>
      </c>
      <c r="O573" s="38">
        <v>9.2017559999999996</v>
      </c>
      <c r="P573" s="38">
        <v>4.7340000000000004E-3</v>
      </c>
      <c r="Q573" s="38">
        <v>5.1679999999999999E-3</v>
      </c>
      <c r="R573" s="40">
        <v>9.2119999999999997</v>
      </c>
      <c r="S573" s="38">
        <v>9.2017559999999996</v>
      </c>
      <c r="T573" s="38">
        <v>4.7340000000000004E-3</v>
      </c>
      <c r="U573" s="38">
        <v>5.1679999999999999E-3</v>
      </c>
      <c r="V573" s="8">
        <f t="shared" si="9"/>
        <v>2022</v>
      </c>
    </row>
    <row r="574" spans="1:22" hidden="1" x14ac:dyDescent="0.25">
      <c r="A574" s="36">
        <v>44713</v>
      </c>
      <c r="B574" s="37" t="s">
        <v>20</v>
      </c>
      <c r="C574" s="37" t="s">
        <v>123</v>
      </c>
      <c r="D574" s="37" t="s">
        <v>63</v>
      </c>
      <c r="E574" s="37" t="s">
        <v>5</v>
      </c>
      <c r="F574" s="37" t="s">
        <v>134</v>
      </c>
      <c r="G574" s="37" t="s">
        <v>135</v>
      </c>
      <c r="H574" s="37" t="s">
        <v>136</v>
      </c>
      <c r="I574" s="37" t="s">
        <v>127</v>
      </c>
      <c r="J574" s="37" t="s">
        <v>34</v>
      </c>
      <c r="K574" s="38">
        <v>0</v>
      </c>
      <c r="L574" s="39"/>
      <c r="M574" s="37" t="s">
        <v>117</v>
      </c>
      <c r="N574" s="40">
        <v>0</v>
      </c>
      <c r="O574" s="38">
        <v>0</v>
      </c>
      <c r="P574" s="38">
        <v>0</v>
      </c>
      <c r="Q574" s="38">
        <v>0</v>
      </c>
      <c r="R574" s="39" t="s">
        <v>117</v>
      </c>
      <c r="S574" s="39"/>
      <c r="T574" s="39"/>
      <c r="U574" s="39"/>
      <c r="V574" s="8">
        <f t="shared" si="9"/>
        <v>2022</v>
      </c>
    </row>
    <row r="575" spans="1:22" hidden="1" x14ac:dyDescent="0.25">
      <c r="A575" s="36">
        <v>44743</v>
      </c>
      <c r="B575" s="37" t="s">
        <v>11</v>
      </c>
      <c r="C575" s="37" t="s">
        <v>123</v>
      </c>
      <c r="D575" s="37" t="s">
        <v>63</v>
      </c>
      <c r="E575" s="37" t="s">
        <v>5</v>
      </c>
      <c r="F575" s="37" t="s">
        <v>134</v>
      </c>
      <c r="G575" s="37" t="s">
        <v>135</v>
      </c>
      <c r="H575" s="37" t="s">
        <v>136</v>
      </c>
      <c r="I575" s="37" t="s">
        <v>127</v>
      </c>
      <c r="J575" s="37" t="s">
        <v>34</v>
      </c>
      <c r="K575" s="38">
        <v>0</v>
      </c>
      <c r="L575" s="39"/>
      <c r="M575" s="37" t="s">
        <v>117</v>
      </c>
      <c r="N575" s="40">
        <v>0</v>
      </c>
      <c r="O575" s="38">
        <v>0</v>
      </c>
      <c r="P575" s="38">
        <v>0</v>
      </c>
      <c r="Q575" s="38">
        <v>0</v>
      </c>
      <c r="R575" s="40">
        <v>0</v>
      </c>
      <c r="S575" s="38">
        <v>0</v>
      </c>
      <c r="T575" s="38">
        <v>0</v>
      </c>
      <c r="U575" s="38">
        <v>0</v>
      </c>
      <c r="V575" s="8">
        <f t="shared" si="9"/>
        <v>2022</v>
      </c>
    </row>
    <row r="576" spans="1:22" hidden="1" x14ac:dyDescent="0.25">
      <c r="A576" s="36">
        <v>44743</v>
      </c>
      <c r="B576" s="37" t="s">
        <v>19</v>
      </c>
      <c r="C576" s="37" t="s">
        <v>123</v>
      </c>
      <c r="D576" s="37" t="s">
        <v>63</v>
      </c>
      <c r="E576" s="37" t="s">
        <v>5</v>
      </c>
      <c r="F576" s="37" t="s">
        <v>134</v>
      </c>
      <c r="G576" s="37" t="s">
        <v>135</v>
      </c>
      <c r="H576" s="37" t="s">
        <v>136</v>
      </c>
      <c r="I576" s="37" t="s">
        <v>127</v>
      </c>
      <c r="J576" s="37" t="s">
        <v>34</v>
      </c>
      <c r="K576" s="38">
        <v>48.809953999999998</v>
      </c>
      <c r="L576" s="42">
        <v>1168.8</v>
      </c>
      <c r="M576" s="37" t="s">
        <v>117</v>
      </c>
      <c r="N576" s="40">
        <v>8.8460000000000001</v>
      </c>
      <c r="O576" s="38">
        <v>8.8369560000000007</v>
      </c>
      <c r="P576" s="38">
        <v>4.5469999999999998E-3</v>
      </c>
      <c r="Q576" s="38">
        <v>4.9630000000000004E-3</v>
      </c>
      <c r="R576" s="40">
        <v>8.8460000000000001</v>
      </c>
      <c r="S576" s="38">
        <v>8.8369560000000007</v>
      </c>
      <c r="T576" s="38">
        <v>4.5469999999999998E-3</v>
      </c>
      <c r="U576" s="38">
        <v>4.9630000000000004E-3</v>
      </c>
      <c r="V576" s="8">
        <f t="shared" si="9"/>
        <v>2022</v>
      </c>
    </row>
    <row r="577" spans="1:22" hidden="1" x14ac:dyDescent="0.25">
      <c r="A577" s="36">
        <v>44743</v>
      </c>
      <c r="B577" s="37" t="s">
        <v>20</v>
      </c>
      <c r="C577" s="37" t="s">
        <v>123</v>
      </c>
      <c r="D577" s="37" t="s">
        <v>63</v>
      </c>
      <c r="E577" s="37" t="s">
        <v>5</v>
      </c>
      <c r="F577" s="37" t="s">
        <v>134</v>
      </c>
      <c r="G577" s="37" t="s">
        <v>135</v>
      </c>
      <c r="H577" s="37" t="s">
        <v>136</v>
      </c>
      <c r="I577" s="37" t="s">
        <v>127</v>
      </c>
      <c r="J577" s="37" t="s">
        <v>34</v>
      </c>
      <c r="K577" s="38">
        <v>0</v>
      </c>
      <c r="L577" s="39"/>
      <c r="M577" s="37" t="s">
        <v>117</v>
      </c>
      <c r="N577" s="40">
        <v>0</v>
      </c>
      <c r="O577" s="38">
        <v>0</v>
      </c>
      <c r="P577" s="38">
        <v>0</v>
      </c>
      <c r="Q577" s="38">
        <v>0</v>
      </c>
      <c r="R577" s="39" t="s">
        <v>117</v>
      </c>
      <c r="S577" s="39"/>
      <c r="T577" s="39"/>
      <c r="U577" s="39"/>
      <c r="V577" s="8">
        <f t="shared" si="9"/>
        <v>2022</v>
      </c>
    </row>
    <row r="578" spans="1:22" hidden="1" x14ac:dyDescent="0.25">
      <c r="A578" s="36">
        <v>44774</v>
      </c>
      <c r="B578" s="37" t="s">
        <v>11</v>
      </c>
      <c r="C578" s="37" t="s">
        <v>123</v>
      </c>
      <c r="D578" s="37" t="s">
        <v>63</v>
      </c>
      <c r="E578" s="37" t="s">
        <v>5</v>
      </c>
      <c r="F578" s="37" t="s">
        <v>134</v>
      </c>
      <c r="G578" s="37" t="s">
        <v>135</v>
      </c>
      <c r="H578" s="37" t="s">
        <v>136</v>
      </c>
      <c r="I578" s="37" t="s">
        <v>127</v>
      </c>
      <c r="J578" s="37" t="s">
        <v>34</v>
      </c>
      <c r="K578" s="38">
        <v>0</v>
      </c>
      <c r="L578" s="39"/>
      <c r="M578" s="37" t="s">
        <v>117</v>
      </c>
      <c r="N578" s="40">
        <v>0</v>
      </c>
      <c r="O578" s="38">
        <v>0</v>
      </c>
      <c r="P578" s="38">
        <v>0</v>
      </c>
      <c r="Q578" s="38">
        <v>0</v>
      </c>
      <c r="R578" s="40">
        <v>0</v>
      </c>
      <c r="S578" s="38">
        <v>0</v>
      </c>
      <c r="T578" s="38">
        <v>0</v>
      </c>
      <c r="U578" s="38">
        <v>0</v>
      </c>
      <c r="V578" s="8">
        <f t="shared" si="9"/>
        <v>2022</v>
      </c>
    </row>
    <row r="579" spans="1:22" hidden="1" x14ac:dyDescent="0.25">
      <c r="A579" s="36">
        <v>44774</v>
      </c>
      <c r="B579" s="37" t="s">
        <v>19</v>
      </c>
      <c r="C579" s="37" t="s">
        <v>123</v>
      </c>
      <c r="D579" s="37" t="s">
        <v>63</v>
      </c>
      <c r="E579" s="37" t="s">
        <v>5</v>
      </c>
      <c r="F579" s="37" t="s">
        <v>134</v>
      </c>
      <c r="G579" s="37" t="s">
        <v>135</v>
      </c>
      <c r="H579" s="37" t="s">
        <v>136</v>
      </c>
      <c r="I579" s="37" t="s">
        <v>127</v>
      </c>
      <c r="J579" s="37" t="s">
        <v>34</v>
      </c>
      <c r="K579" s="38">
        <v>54.093093000000003</v>
      </c>
      <c r="L579" s="42">
        <v>1285.83</v>
      </c>
      <c r="M579" s="37" t="s">
        <v>117</v>
      </c>
      <c r="N579" s="40">
        <v>9.8040000000000003</v>
      </c>
      <c r="O579" s="38">
        <v>9.7934590000000004</v>
      </c>
      <c r="P579" s="38">
        <v>5.0390000000000001E-3</v>
      </c>
      <c r="Q579" s="38">
        <v>5.4999999999999997E-3</v>
      </c>
      <c r="R579" s="40">
        <v>9.8040000000000003</v>
      </c>
      <c r="S579" s="38">
        <v>9.7934590000000004</v>
      </c>
      <c r="T579" s="38">
        <v>5.0390000000000001E-3</v>
      </c>
      <c r="U579" s="38">
        <v>5.4999999999999997E-3</v>
      </c>
      <c r="V579" s="8">
        <f t="shared" si="9"/>
        <v>2022</v>
      </c>
    </row>
    <row r="580" spans="1:22" hidden="1" x14ac:dyDescent="0.25">
      <c r="A580" s="36">
        <v>44774</v>
      </c>
      <c r="B580" s="37" t="s">
        <v>20</v>
      </c>
      <c r="C580" s="37" t="s">
        <v>123</v>
      </c>
      <c r="D580" s="37" t="s">
        <v>63</v>
      </c>
      <c r="E580" s="37" t="s">
        <v>5</v>
      </c>
      <c r="F580" s="37" t="s">
        <v>134</v>
      </c>
      <c r="G580" s="37" t="s">
        <v>135</v>
      </c>
      <c r="H580" s="37" t="s">
        <v>136</v>
      </c>
      <c r="I580" s="37" t="s">
        <v>127</v>
      </c>
      <c r="J580" s="37" t="s">
        <v>34</v>
      </c>
      <c r="K580" s="38">
        <v>0</v>
      </c>
      <c r="L580" s="39"/>
      <c r="M580" s="37" t="s">
        <v>117</v>
      </c>
      <c r="N580" s="40">
        <v>0</v>
      </c>
      <c r="O580" s="38">
        <v>0</v>
      </c>
      <c r="P580" s="38">
        <v>0</v>
      </c>
      <c r="Q580" s="38">
        <v>0</v>
      </c>
      <c r="R580" s="39" t="s">
        <v>117</v>
      </c>
      <c r="S580" s="39"/>
      <c r="T580" s="39"/>
      <c r="U580" s="39"/>
      <c r="V580" s="8">
        <f t="shared" si="9"/>
        <v>2022</v>
      </c>
    </row>
    <row r="581" spans="1:22" hidden="1" x14ac:dyDescent="0.25">
      <c r="A581" s="36">
        <v>44805</v>
      </c>
      <c r="B581" s="37" t="s">
        <v>11</v>
      </c>
      <c r="C581" s="37" t="s">
        <v>123</v>
      </c>
      <c r="D581" s="37" t="s">
        <v>63</v>
      </c>
      <c r="E581" s="37" t="s">
        <v>5</v>
      </c>
      <c r="F581" s="37" t="s">
        <v>134</v>
      </c>
      <c r="G581" s="37" t="s">
        <v>135</v>
      </c>
      <c r="H581" s="37" t="s">
        <v>136</v>
      </c>
      <c r="I581" s="37" t="s">
        <v>127</v>
      </c>
      <c r="J581" s="37" t="s">
        <v>34</v>
      </c>
      <c r="K581" s="38">
        <v>0</v>
      </c>
      <c r="L581" s="39"/>
      <c r="M581" s="37" t="s">
        <v>117</v>
      </c>
      <c r="N581" s="40">
        <v>0</v>
      </c>
      <c r="O581" s="38">
        <v>0</v>
      </c>
      <c r="P581" s="38">
        <v>0</v>
      </c>
      <c r="Q581" s="38">
        <v>0</v>
      </c>
      <c r="R581" s="40">
        <v>0</v>
      </c>
      <c r="S581" s="38">
        <v>0</v>
      </c>
      <c r="T581" s="38">
        <v>0</v>
      </c>
      <c r="U581" s="38">
        <v>0</v>
      </c>
      <c r="V581" s="8">
        <f t="shared" si="9"/>
        <v>2022</v>
      </c>
    </row>
    <row r="582" spans="1:22" hidden="1" x14ac:dyDescent="0.25">
      <c r="A582" s="36">
        <v>44805</v>
      </c>
      <c r="B582" s="37" t="s">
        <v>19</v>
      </c>
      <c r="C582" s="37" t="s">
        <v>123</v>
      </c>
      <c r="D582" s="37" t="s">
        <v>63</v>
      </c>
      <c r="E582" s="37" t="s">
        <v>5</v>
      </c>
      <c r="F582" s="37" t="s">
        <v>134</v>
      </c>
      <c r="G582" s="37" t="s">
        <v>135</v>
      </c>
      <c r="H582" s="37" t="s">
        <v>136</v>
      </c>
      <c r="I582" s="37" t="s">
        <v>127</v>
      </c>
      <c r="J582" s="37" t="s">
        <v>34</v>
      </c>
      <c r="K582" s="38">
        <v>52.498528999999998</v>
      </c>
      <c r="L582" s="42">
        <v>1253.01</v>
      </c>
      <c r="M582" s="37" t="s">
        <v>117</v>
      </c>
      <c r="N582" s="40">
        <v>9.5150000000000006</v>
      </c>
      <c r="O582" s="38">
        <v>9.504766</v>
      </c>
      <c r="P582" s="38">
        <v>4.8900000000000002E-3</v>
      </c>
      <c r="Q582" s="38">
        <v>5.3379999999999999E-3</v>
      </c>
      <c r="R582" s="40">
        <v>9.5150000000000006</v>
      </c>
      <c r="S582" s="38">
        <v>9.504766</v>
      </c>
      <c r="T582" s="38">
        <v>4.8900000000000002E-3</v>
      </c>
      <c r="U582" s="38">
        <v>5.3379999999999999E-3</v>
      </c>
      <c r="V582" s="8">
        <f t="shared" si="9"/>
        <v>2022</v>
      </c>
    </row>
    <row r="583" spans="1:22" hidden="1" x14ac:dyDescent="0.25">
      <c r="A583" s="36">
        <v>44805</v>
      </c>
      <c r="B583" s="37" t="s">
        <v>20</v>
      </c>
      <c r="C583" s="37" t="s">
        <v>123</v>
      </c>
      <c r="D583" s="37" t="s">
        <v>63</v>
      </c>
      <c r="E583" s="37" t="s">
        <v>5</v>
      </c>
      <c r="F583" s="37" t="s">
        <v>134</v>
      </c>
      <c r="G583" s="37" t="s">
        <v>135</v>
      </c>
      <c r="H583" s="37" t="s">
        <v>136</v>
      </c>
      <c r="I583" s="37" t="s">
        <v>127</v>
      </c>
      <c r="J583" s="37" t="s">
        <v>34</v>
      </c>
      <c r="K583" s="38">
        <v>0</v>
      </c>
      <c r="L583" s="39"/>
      <c r="M583" s="37" t="s">
        <v>117</v>
      </c>
      <c r="N583" s="40">
        <v>0</v>
      </c>
      <c r="O583" s="38">
        <v>0</v>
      </c>
      <c r="P583" s="38">
        <v>0</v>
      </c>
      <c r="Q583" s="38">
        <v>0</v>
      </c>
      <c r="R583" s="39" t="s">
        <v>117</v>
      </c>
      <c r="S583" s="39"/>
      <c r="T583" s="39"/>
      <c r="U583" s="39"/>
      <c r="V583" s="8">
        <f t="shared" si="9"/>
        <v>2022</v>
      </c>
    </row>
    <row r="584" spans="1:22" hidden="1" x14ac:dyDescent="0.25">
      <c r="A584" s="36">
        <v>44835</v>
      </c>
      <c r="B584" s="37" t="s">
        <v>11</v>
      </c>
      <c r="C584" s="37" t="s">
        <v>123</v>
      </c>
      <c r="D584" s="37" t="s">
        <v>63</v>
      </c>
      <c r="E584" s="37" t="s">
        <v>5</v>
      </c>
      <c r="F584" s="37" t="s">
        <v>134</v>
      </c>
      <c r="G584" s="37" t="s">
        <v>135</v>
      </c>
      <c r="H584" s="37" t="s">
        <v>136</v>
      </c>
      <c r="I584" s="37" t="s">
        <v>127</v>
      </c>
      <c r="J584" s="37" t="s">
        <v>34</v>
      </c>
      <c r="K584" s="38">
        <v>0</v>
      </c>
      <c r="L584" s="39"/>
      <c r="M584" s="37" t="s">
        <v>117</v>
      </c>
      <c r="N584" s="40">
        <v>0</v>
      </c>
      <c r="O584" s="38">
        <v>0</v>
      </c>
      <c r="P584" s="38">
        <v>0</v>
      </c>
      <c r="Q584" s="38">
        <v>0</v>
      </c>
      <c r="R584" s="40">
        <v>0</v>
      </c>
      <c r="S584" s="38">
        <v>0</v>
      </c>
      <c r="T584" s="38">
        <v>0</v>
      </c>
      <c r="U584" s="38">
        <v>0</v>
      </c>
      <c r="V584" s="8">
        <f t="shared" si="9"/>
        <v>2022</v>
      </c>
    </row>
    <row r="585" spans="1:22" hidden="1" x14ac:dyDescent="0.25">
      <c r="A585" s="36">
        <v>44835</v>
      </c>
      <c r="B585" s="37" t="s">
        <v>19</v>
      </c>
      <c r="C585" s="37" t="s">
        <v>123</v>
      </c>
      <c r="D585" s="37" t="s">
        <v>63</v>
      </c>
      <c r="E585" s="37" t="s">
        <v>5</v>
      </c>
      <c r="F585" s="37" t="s">
        <v>134</v>
      </c>
      <c r="G585" s="37" t="s">
        <v>135</v>
      </c>
      <c r="H585" s="37" t="s">
        <v>136</v>
      </c>
      <c r="I585" s="37" t="s">
        <v>127</v>
      </c>
      <c r="J585" s="37" t="s">
        <v>34</v>
      </c>
      <c r="K585" s="38">
        <v>78.895583999999999</v>
      </c>
      <c r="L585" s="42">
        <v>1836.96</v>
      </c>
      <c r="M585" s="37" t="s">
        <v>117</v>
      </c>
      <c r="N585" s="40">
        <v>14.298999999999999</v>
      </c>
      <c r="O585" s="38">
        <v>14.283906</v>
      </c>
      <c r="P585" s="38">
        <v>7.3489999999999996E-3</v>
      </c>
      <c r="Q585" s="38">
        <v>8.0219999999999996E-3</v>
      </c>
      <c r="R585" s="40">
        <v>14.298999999999999</v>
      </c>
      <c r="S585" s="38">
        <v>14.283906</v>
      </c>
      <c r="T585" s="38">
        <v>7.3489999999999996E-3</v>
      </c>
      <c r="U585" s="38">
        <v>8.0219999999999996E-3</v>
      </c>
      <c r="V585" s="8">
        <f t="shared" si="9"/>
        <v>2022</v>
      </c>
    </row>
    <row r="586" spans="1:22" hidden="1" x14ac:dyDescent="0.25">
      <c r="A586" s="36">
        <v>44835</v>
      </c>
      <c r="B586" s="37" t="s">
        <v>20</v>
      </c>
      <c r="C586" s="37" t="s">
        <v>123</v>
      </c>
      <c r="D586" s="37" t="s">
        <v>63</v>
      </c>
      <c r="E586" s="37" t="s">
        <v>5</v>
      </c>
      <c r="F586" s="37" t="s">
        <v>134</v>
      </c>
      <c r="G586" s="37" t="s">
        <v>135</v>
      </c>
      <c r="H586" s="37" t="s">
        <v>136</v>
      </c>
      <c r="I586" s="37" t="s">
        <v>127</v>
      </c>
      <c r="J586" s="37" t="s">
        <v>34</v>
      </c>
      <c r="K586" s="38">
        <v>0</v>
      </c>
      <c r="L586" s="39"/>
      <c r="M586" s="37" t="s">
        <v>117</v>
      </c>
      <c r="N586" s="40">
        <v>0</v>
      </c>
      <c r="O586" s="38">
        <v>0</v>
      </c>
      <c r="P586" s="38">
        <v>0</v>
      </c>
      <c r="Q586" s="38">
        <v>0</v>
      </c>
      <c r="R586" s="39" t="s">
        <v>117</v>
      </c>
      <c r="S586" s="39"/>
      <c r="T586" s="39"/>
      <c r="U586" s="39"/>
      <c r="V586" s="8">
        <f t="shared" si="9"/>
        <v>2022</v>
      </c>
    </row>
    <row r="587" spans="1:22" hidden="1" x14ac:dyDescent="0.25">
      <c r="A587" s="36">
        <v>44866</v>
      </c>
      <c r="B587" s="37" t="s">
        <v>11</v>
      </c>
      <c r="C587" s="37" t="s">
        <v>123</v>
      </c>
      <c r="D587" s="37" t="s">
        <v>63</v>
      </c>
      <c r="E587" s="37" t="s">
        <v>5</v>
      </c>
      <c r="F587" s="37" t="s">
        <v>134</v>
      </c>
      <c r="G587" s="37" t="s">
        <v>135</v>
      </c>
      <c r="H587" s="37" t="s">
        <v>136</v>
      </c>
      <c r="I587" s="37" t="s">
        <v>127</v>
      </c>
      <c r="J587" s="37" t="s">
        <v>34</v>
      </c>
      <c r="K587" s="38">
        <v>0</v>
      </c>
      <c r="L587" s="39"/>
      <c r="M587" s="37" t="s">
        <v>117</v>
      </c>
      <c r="N587" s="40">
        <v>0</v>
      </c>
      <c r="O587" s="38">
        <v>0</v>
      </c>
      <c r="P587" s="38">
        <v>0</v>
      </c>
      <c r="Q587" s="38">
        <v>0</v>
      </c>
      <c r="R587" s="40">
        <v>0</v>
      </c>
      <c r="S587" s="38">
        <v>0</v>
      </c>
      <c r="T587" s="38">
        <v>0</v>
      </c>
      <c r="U587" s="38">
        <v>0</v>
      </c>
      <c r="V587" s="8">
        <f t="shared" si="9"/>
        <v>2022</v>
      </c>
    </row>
    <row r="588" spans="1:22" hidden="1" x14ac:dyDescent="0.25">
      <c r="A588" s="36">
        <v>44866</v>
      </c>
      <c r="B588" s="37" t="s">
        <v>19</v>
      </c>
      <c r="C588" s="37" t="s">
        <v>123</v>
      </c>
      <c r="D588" s="37" t="s">
        <v>63</v>
      </c>
      <c r="E588" s="37" t="s">
        <v>5</v>
      </c>
      <c r="F588" s="37" t="s">
        <v>134</v>
      </c>
      <c r="G588" s="37" t="s">
        <v>135</v>
      </c>
      <c r="H588" s="37" t="s">
        <v>136</v>
      </c>
      <c r="I588" s="37" t="s">
        <v>127</v>
      </c>
      <c r="J588" s="37" t="s">
        <v>34</v>
      </c>
      <c r="K588" s="38">
        <v>89.492232000000001</v>
      </c>
      <c r="L588" s="42">
        <v>2070.71</v>
      </c>
      <c r="M588" s="37" t="s">
        <v>117</v>
      </c>
      <c r="N588" s="40">
        <v>16.22</v>
      </c>
      <c r="O588" s="38">
        <v>16.202411000000001</v>
      </c>
      <c r="P588" s="38">
        <v>8.3359999999999997E-3</v>
      </c>
      <c r="Q588" s="38">
        <v>9.1000000000000004E-3</v>
      </c>
      <c r="R588" s="40">
        <v>16.22</v>
      </c>
      <c r="S588" s="38">
        <v>16.202411000000001</v>
      </c>
      <c r="T588" s="38">
        <v>8.3359999999999997E-3</v>
      </c>
      <c r="U588" s="38">
        <v>9.1000000000000004E-3</v>
      </c>
      <c r="V588" s="8">
        <f t="shared" si="9"/>
        <v>2022</v>
      </c>
    </row>
    <row r="589" spans="1:22" hidden="1" x14ac:dyDescent="0.25">
      <c r="A589" s="36">
        <v>44866</v>
      </c>
      <c r="B589" s="37" t="s">
        <v>20</v>
      </c>
      <c r="C589" s="37" t="s">
        <v>123</v>
      </c>
      <c r="D589" s="37" t="s">
        <v>63</v>
      </c>
      <c r="E589" s="37" t="s">
        <v>5</v>
      </c>
      <c r="F589" s="37" t="s">
        <v>134</v>
      </c>
      <c r="G589" s="37" t="s">
        <v>135</v>
      </c>
      <c r="H589" s="37" t="s">
        <v>136</v>
      </c>
      <c r="I589" s="37" t="s">
        <v>127</v>
      </c>
      <c r="J589" s="37" t="s">
        <v>34</v>
      </c>
      <c r="K589" s="38">
        <v>0</v>
      </c>
      <c r="L589" s="39"/>
      <c r="M589" s="37" t="s">
        <v>117</v>
      </c>
      <c r="N589" s="40">
        <v>0</v>
      </c>
      <c r="O589" s="38">
        <v>0</v>
      </c>
      <c r="P589" s="38">
        <v>0</v>
      </c>
      <c r="Q589" s="38">
        <v>0</v>
      </c>
      <c r="R589" s="39" t="s">
        <v>117</v>
      </c>
      <c r="S589" s="39"/>
      <c r="T589" s="39"/>
      <c r="U589" s="39"/>
      <c r="V589" s="8">
        <f t="shared" si="9"/>
        <v>2022</v>
      </c>
    </row>
    <row r="590" spans="1:22" hidden="1" x14ac:dyDescent="0.25">
      <c r="A590" s="36">
        <v>44896</v>
      </c>
      <c r="B590" s="37" t="s">
        <v>11</v>
      </c>
      <c r="C590" s="37" t="s">
        <v>123</v>
      </c>
      <c r="D590" s="37" t="s">
        <v>63</v>
      </c>
      <c r="E590" s="37" t="s">
        <v>5</v>
      </c>
      <c r="F590" s="37" t="s">
        <v>134</v>
      </c>
      <c r="G590" s="37" t="s">
        <v>135</v>
      </c>
      <c r="H590" s="37" t="s">
        <v>136</v>
      </c>
      <c r="I590" s="37" t="s">
        <v>127</v>
      </c>
      <c r="J590" s="37" t="s">
        <v>34</v>
      </c>
      <c r="K590" s="38">
        <v>0</v>
      </c>
      <c r="L590" s="39"/>
      <c r="M590" s="37" t="s">
        <v>117</v>
      </c>
      <c r="N590" s="40">
        <v>0</v>
      </c>
      <c r="O590" s="38">
        <v>0</v>
      </c>
      <c r="P590" s="38">
        <v>0</v>
      </c>
      <c r="Q590" s="38">
        <v>0</v>
      </c>
      <c r="R590" s="40">
        <v>0</v>
      </c>
      <c r="S590" s="38">
        <v>0</v>
      </c>
      <c r="T590" s="38">
        <v>0</v>
      </c>
      <c r="U590" s="38">
        <v>0</v>
      </c>
      <c r="V590" s="8">
        <f t="shared" si="9"/>
        <v>2022</v>
      </c>
    </row>
    <row r="591" spans="1:22" hidden="1" x14ac:dyDescent="0.25">
      <c r="A591" s="36">
        <v>44896</v>
      </c>
      <c r="B591" s="37" t="s">
        <v>19</v>
      </c>
      <c r="C591" s="37" t="s">
        <v>123</v>
      </c>
      <c r="D591" s="37" t="s">
        <v>63</v>
      </c>
      <c r="E591" s="37" t="s">
        <v>5</v>
      </c>
      <c r="F591" s="37" t="s">
        <v>134</v>
      </c>
      <c r="G591" s="37" t="s">
        <v>135</v>
      </c>
      <c r="H591" s="37" t="s">
        <v>136</v>
      </c>
      <c r="I591" s="37" t="s">
        <v>127</v>
      </c>
      <c r="J591" s="37" t="s">
        <v>34</v>
      </c>
      <c r="K591" s="38">
        <v>111.61316100000001</v>
      </c>
      <c r="L591" s="42">
        <v>2556.29</v>
      </c>
      <c r="M591" s="37" t="s">
        <v>117</v>
      </c>
      <c r="N591" s="40">
        <v>20.228999999999999</v>
      </c>
      <c r="O591" s="38">
        <v>20.207366</v>
      </c>
      <c r="P591" s="38">
        <v>1.0397E-2</v>
      </c>
      <c r="Q591" s="38">
        <v>1.1349E-2</v>
      </c>
      <c r="R591" s="40">
        <v>20.228999999999999</v>
      </c>
      <c r="S591" s="38">
        <v>20.207366</v>
      </c>
      <c r="T591" s="38">
        <v>1.0397E-2</v>
      </c>
      <c r="U591" s="38">
        <v>1.1349E-2</v>
      </c>
      <c r="V591" s="8">
        <f t="shared" si="9"/>
        <v>2022</v>
      </c>
    </row>
    <row r="592" spans="1:22" hidden="1" x14ac:dyDescent="0.25">
      <c r="A592" s="36">
        <v>44896</v>
      </c>
      <c r="B592" s="37" t="s">
        <v>20</v>
      </c>
      <c r="C592" s="37" t="s">
        <v>123</v>
      </c>
      <c r="D592" s="37" t="s">
        <v>63</v>
      </c>
      <c r="E592" s="37" t="s">
        <v>5</v>
      </c>
      <c r="F592" s="37" t="s">
        <v>134</v>
      </c>
      <c r="G592" s="37" t="s">
        <v>135</v>
      </c>
      <c r="H592" s="37" t="s">
        <v>136</v>
      </c>
      <c r="I592" s="37" t="s">
        <v>127</v>
      </c>
      <c r="J592" s="37" t="s">
        <v>34</v>
      </c>
      <c r="K592" s="38">
        <v>0</v>
      </c>
      <c r="L592" s="39"/>
      <c r="M592" s="37" t="s">
        <v>117</v>
      </c>
      <c r="N592" s="40">
        <v>0</v>
      </c>
      <c r="O592" s="38">
        <v>0</v>
      </c>
      <c r="P592" s="38">
        <v>0</v>
      </c>
      <c r="Q592" s="38">
        <v>0</v>
      </c>
      <c r="R592" s="39" t="s">
        <v>117</v>
      </c>
      <c r="S592" s="39"/>
      <c r="T592" s="39"/>
      <c r="U592" s="39"/>
      <c r="V592" s="8">
        <f t="shared" si="9"/>
        <v>2022</v>
      </c>
    </row>
    <row r="593" spans="1:22" hidden="1" x14ac:dyDescent="0.25">
      <c r="A593" s="36">
        <v>44927</v>
      </c>
      <c r="B593" s="37" t="s">
        <v>19</v>
      </c>
      <c r="C593" s="37" t="s">
        <v>123</v>
      </c>
      <c r="D593" s="37" t="s">
        <v>63</v>
      </c>
      <c r="E593" s="37" t="s">
        <v>5</v>
      </c>
      <c r="F593" s="37" t="s">
        <v>134</v>
      </c>
      <c r="G593" s="37" t="s">
        <v>135</v>
      </c>
      <c r="H593" s="37" t="s">
        <v>136</v>
      </c>
      <c r="I593" s="37" t="s">
        <v>127</v>
      </c>
      <c r="J593" s="37" t="s">
        <v>34</v>
      </c>
      <c r="K593" s="38">
        <v>120.680796</v>
      </c>
      <c r="L593" s="42">
        <v>2741.44</v>
      </c>
      <c r="M593" s="37" t="s">
        <v>117</v>
      </c>
      <c r="N593" s="40">
        <v>21.873000000000001</v>
      </c>
      <c r="O593" s="38">
        <v>21.849045</v>
      </c>
      <c r="P593" s="38">
        <v>1.1242E-2</v>
      </c>
      <c r="Q593" s="38">
        <v>1.2271000000000001E-2</v>
      </c>
      <c r="R593" s="40">
        <v>21.873000000000001</v>
      </c>
      <c r="S593" s="38">
        <v>21.849045</v>
      </c>
      <c r="T593" s="38">
        <v>1.1242E-2</v>
      </c>
      <c r="U593" s="38">
        <v>1.2271000000000001E-2</v>
      </c>
      <c r="V593" s="8">
        <f t="shared" si="9"/>
        <v>2023</v>
      </c>
    </row>
    <row r="594" spans="1:22" hidden="1" x14ac:dyDescent="0.25">
      <c r="A594" s="36">
        <v>44958</v>
      </c>
      <c r="B594" s="37" t="s">
        <v>19</v>
      </c>
      <c r="C594" s="37" t="s">
        <v>123</v>
      </c>
      <c r="D594" s="37" t="s">
        <v>63</v>
      </c>
      <c r="E594" s="37" t="s">
        <v>5</v>
      </c>
      <c r="F594" s="37" t="s">
        <v>134</v>
      </c>
      <c r="G594" s="37" t="s">
        <v>135</v>
      </c>
      <c r="H594" s="37" t="s">
        <v>136</v>
      </c>
      <c r="I594" s="37" t="s">
        <v>127</v>
      </c>
      <c r="J594" s="37" t="s">
        <v>34</v>
      </c>
      <c r="K594" s="38">
        <v>105.551232</v>
      </c>
      <c r="L594" s="42">
        <v>2405.65</v>
      </c>
      <c r="M594" s="37" t="s">
        <v>117</v>
      </c>
      <c r="N594" s="40">
        <v>19.13</v>
      </c>
      <c r="O594" s="38">
        <v>19.109864000000002</v>
      </c>
      <c r="P594" s="38">
        <v>9.8320000000000005E-3</v>
      </c>
      <c r="Q594" s="38">
        <v>1.0732999999999999E-2</v>
      </c>
      <c r="R594" s="40">
        <v>19.13</v>
      </c>
      <c r="S594" s="38">
        <v>19.109864000000002</v>
      </c>
      <c r="T594" s="38">
        <v>9.8320000000000005E-3</v>
      </c>
      <c r="U594" s="38">
        <v>1.0732999999999999E-2</v>
      </c>
      <c r="V594" s="8">
        <f t="shared" si="9"/>
        <v>2023</v>
      </c>
    </row>
    <row r="595" spans="1:22" hidden="1" x14ac:dyDescent="0.25">
      <c r="A595" s="36">
        <v>44986</v>
      </c>
      <c r="B595" s="37" t="s">
        <v>19</v>
      </c>
      <c r="C595" s="37" t="s">
        <v>123</v>
      </c>
      <c r="D595" s="37" t="s">
        <v>63</v>
      </c>
      <c r="E595" s="37" t="s">
        <v>5</v>
      </c>
      <c r="F595" s="37" t="s">
        <v>134</v>
      </c>
      <c r="G595" s="37" t="s">
        <v>135</v>
      </c>
      <c r="H595" s="37" t="s">
        <v>136</v>
      </c>
      <c r="I595" s="37" t="s">
        <v>127</v>
      </c>
      <c r="J595" s="37" t="s">
        <v>34</v>
      </c>
      <c r="K595" s="38">
        <v>79.555300000000003</v>
      </c>
      <c r="L595" s="42">
        <v>1838.82</v>
      </c>
      <c r="M595" s="37" t="s">
        <v>117</v>
      </c>
      <c r="N595" s="40">
        <v>14.419</v>
      </c>
      <c r="O595" s="38">
        <v>14.403347</v>
      </c>
      <c r="P595" s="38">
        <v>7.4110000000000001E-3</v>
      </c>
      <c r="Q595" s="38">
        <v>8.0890000000000007E-3</v>
      </c>
      <c r="R595" s="40">
        <v>14.419</v>
      </c>
      <c r="S595" s="38">
        <v>14.403347</v>
      </c>
      <c r="T595" s="38">
        <v>7.4110000000000001E-3</v>
      </c>
      <c r="U595" s="38">
        <v>8.0890000000000007E-3</v>
      </c>
      <c r="V595" s="8">
        <f t="shared" si="9"/>
        <v>2023</v>
      </c>
    </row>
    <row r="596" spans="1:22" hidden="1" x14ac:dyDescent="0.25">
      <c r="A596" s="36">
        <v>45017</v>
      </c>
      <c r="B596" s="37" t="s">
        <v>19</v>
      </c>
      <c r="C596" s="37" t="s">
        <v>123</v>
      </c>
      <c r="D596" s="37" t="s">
        <v>63</v>
      </c>
      <c r="E596" s="37" t="s">
        <v>5</v>
      </c>
      <c r="F596" s="37" t="s">
        <v>134</v>
      </c>
      <c r="G596" s="37" t="s">
        <v>135</v>
      </c>
      <c r="H596" s="37" t="s">
        <v>136</v>
      </c>
      <c r="I596" s="37" t="s">
        <v>127</v>
      </c>
      <c r="J596" s="37" t="s">
        <v>34</v>
      </c>
      <c r="K596" s="38">
        <v>56.522675999999997</v>
      </c>
      <c r="L596" s="42">
        <v>1575.36</v>
      </c>
      <c r="M596" s="37" t="s">
        <v>117</v>
      </c>
      <c r="N596" s="40">
        <v>10.244</v>
      </c>
      <c r="O596" s="38">
        <v>10.233331</v>
      </c>
      <c r="P596" s="38">
        <v>5.2649999999999997E-3</v>
      </c>
      <c r="Q596" s="38">
        <v>5.7470000000000004E-3</v>
      </c>
      <c r="R596" s="40">
        <v>10.244</v>
      </c>
      <c r="S596" s="38">
        <v>10.233331</v>
      </c>
      <c r="T596" s="38">
        <v>5.2649999999999997E-3</v>
      </c>
      <c r="U596" s="38">
        <v>5.7470000000000004E-3</v>
      </c>
      <c r="V596" s="8">
        <f t="shared" si="9"/>
        <v>2023</v>
      </c>
    </row>
    <row r="597" spans="1:22" hidden="1" x14ac:dyDescent="0.25">
      <c r="A597" s="36">
        <v>45047</v>
      </c>
      <c r="B597" s="37" t="s">
        <v>19</v>
      </c>
      <c r="C597" s="37" t="s">
        <v>123</v>
      </c>
      <c r="D597" s="37" t="s">
        <v>63</v>
      </c>
      <c r="E597" s="37" t="s">
        <v>5</v>
      </c>
      <c r="F597" s="37" t="s">
        <v>134</v>
      </c>
      <c r="G597" s="37" t="s">
        <v>135</v>
      </c>
      <c r="H597" s="37" t="s">
        <v>136</v>
      </c>
      <c r="I597" s="37" t="s">
        <v>127</v>
      </c>
      <c r="J597" s="37" t="s">
        <v>34</v>
      </c>
      <c r="K597" s="38">
        <v>61.860841999999998</v>
      </c>
      <c r="L597" s="42">
        <v>1714.28</v>
      </c>
      <c r="M597" s="37" t="s">
        <v>117</v>
      </c>
      <c r="N597" s="40">
        <v>11.212</v>
      </c>
      <c r="O597" s="38">
        <v>11.199795999999999</v>
      </c>
      <c r="P597" s="38">
        <v>5.7619999999999998E-3</v>
      </c>
      <c r="Q597" s="38">
        <v>6.2899999999999996E-3</v>
      </c>
      <c r="R597" s="40">
        <v>11.212</v>
      </c>
      <c r="S597" s="38">
        <v>11.199795999999999</v>
      </c>
      <c r="T597" s="38">
        <v>5.7619999999999998E-3</v>
      </c>
      <c r="U597" s="38">
        <v>6.2899999999999996E-3</v>
      </c>
      <c r="V597" s="8">
        <f t="shared" si="9"/>
        <v>2023</v>
      </c>
    </row>
    <row r="598" spans="1:22" hidden="1" x14ac:dyDescent="0.25">
      <c r="A598" s="36">
        <v>45078</v>
      </c>
      <c r="B598" s="37" t="s">
        <v>19</v>
      </c>
      <c r="C598" s="37" t="s">
        <v>123</v>
      </c>
      <c r="D598" s="37" t="s">
        <v>63</v>
      </c>
      <c r="E598" s="37" t="s">
        <v>5</v>
      </c>
      <c r="F598" s="37" t="s">
        <v>134</v>
      </c>
      <c r="G598" s="37" t="s">
        <v>135</v>
      </c>
      <c r="H598" s="37" t="s">
        <v>136</v>
      </c>
      <c r="I598" s="37" t="s">
        <v>127</v>
      </c>
      <c r="J598" s="37" t="s">
        <v>34</v>
      </c>
      <c r="K598" s="38">
        <v>47.096015999999999</v>
      </c>
      <c r="L598" s="42">
        <v>1330.01</v>
      </c>
      <c r="M598" s="37" t="s">
        <v>117</v>
      </c>
      <c r="N598" s="40">
        <v>8.5359999999999996</v>
      </c>
      <c r="O598" s="38">
        <v>8.5266509999999993</v>
      </c>
      <c r="P598" s="38">
        <v>4.3870000000000003E-3</v>
      </c>
      <c r="Q598" s="38">
        <v>4.7889999999999999E-3</v>
      </c>
      <c r="R598" s="40">
        <v>8.5359999999999996</v>
      </c>
      <c r="S598" s="38">
        <v>8.5266509999999993</v>
      </c>
      <c r="T598" s="38">
        <v>4.3870000000000003E-3</v>
      </c>
      <c r="U598" s="38">
        <v>4.7889999999999999E-3</v>
      </c>
      <c r="V598" s="8">
        <f t="shared" si="9"/>
        <v>2023</v>
      </c>
    </row>
    <row r="599" spans="1:22" hidden="1" x14ac:dyDescent="0.25">
      <c r="A599" s="36">
        <v>45108</v>
      </c>
      <c r="B599" s="37" t="s">
        <v>19</v>
      </c>
      <c r="C599" s="37" t="s">
        <v>123</v>
      </c>
      <c r="D599" s="37" t="s">
        <v>63</v>
      </c>
      <c r="E599" s="37" t="s">
        <v>5</v>
      </c>
      <c r="F599" s="37" t="s">
        <v>134</v>
      </c>
      <c r="G599" s="37" t="s">
        <v>135</v>
      </c>
      <c r="H599" s="37" t="s">
        <v>136</v>
      </c>
      <c r="I599" s="37" t="s">
        <v>127</v>
      </c>
      <c r="J599" s="37" t="s">
        <v>34</v>
      </c>
      <c r="K599" s="38">
        <v>41.093924000000001</v>
      </c>
      <c r="L599" s="42">
        <v>1179.08</v>
      </c>
      <c r="M599" s="37" t="s">
        <v>117</v>
      </c>
      <c r="N599" s="40">
        <v>7.4480000000000004</v>
      </c>
      <c r="O599" s="38">
        <v>7.4399819999999997</v>
      </c>
      <c r="P599" s="38">
        <v>3.8279999999999998E-3</v>
      </c>
      <c r="Q599" s="38">
        <v>4.1790000000000004E-3</v>
      </c>
      <c r="R599" s="40">
        <v>7.4480000000000004</v>
      </c>
      <c r="S599" s="38">
        <v>7.4399819999999997</v>
      </c>
      <c r="T599" s="38">
        <v>3.8279999999999998E-3</v>
      </c>
      <c r="U599" s="38">
        <v>4.1780000000000003E-3</v>
      </c>
      <c r="V599" s="8">
        <f t="shared" si="9"/>
        <v>2023</v>
      </c>
    </row>
    <row r="600" spans="1:22" hidden="1" x14ac:dyDescent="0.25">
      <c r="A600" s="36">
        <v>45139</v>
      </c>
      <c r="B600" s="37" t="s">
        <v>19</v>
      </c>
      <c r="C600" s="37" t="s">
        <v>123</v>
      </c>
      <c r="D600" s="37" t="s">
        <v>63</v>
      </c>
      <c r="E600" s="37" t="s">
        <v>5</v>
      </c>
      <c r="F600" s="37" t="s">
        <v>134</v>
      </c>
      <c r="G600" s="37" t="s">
        <v>135</v>
      </c>
      <c r="H600" s="37" t="s">
        <v>136</v>
      </c>
      <c r="I600" s="37" t="s">
        <v>127</v>
      </c>
      <c r="J600" s="37" t="s">
        <v>34</v>
      </c>
      <c r="K600" s="38">
        <v>56.457425999999998</v>
      </c>
      <c r="L600" s="42">
        <v>1589.25</v>
      </c>
      <c r="M600" s="37" t="s">
        <v>117</v>
      </c>
      <c r="N600" s="40">
        <v>10.233000000000001</v>
      </c>
      <c r="O600" s="38">
        <v>10.221517</v>
      </c>
      <c r="P600" s="38">
        <v>5.2589999999999998E-3</v>
      </c>
      <c r="Q600" s="38">
        <v>5.7409999999999996E-3</v>
      </c>
      <c r="R600" s="40">
        <v>10.233000000000001</v>
      </c>
      <c r="S600" s="38">
        <v>10.221517</v>
      </c>
      <c r="T600" s="38">
        <v>5.2589999999999998E-3</v>
      </c>
      <c r="U600" s="38">
        <v>5.7409999999999996E-3</v>
      </c>
      <c r="V600" s="8">
        <f t="shared" si="9"/>
        <v>2023</v>
      </c>
    </row>
    <row r="601" spans="1:22" hidden="1" x14ac:dyDescent="0.25">
      <c r="A601" s="36">
        <v>45170</v>
      </c>
      <c r="B601" s="37" t="s">
        <v>19</v>
      </c>
      <c r="C601" s="37" t="s">
        <v>123</v>
      </c>
      <c r="D601" s="37" t="s">
        <v>63</v>
      </c>
      <c r="E601" s="37" t="s">
        <v>5</v>
      </c>
      <c r="F601" s="37" t="s">
        <v>134</v>
      </c>
      <c r="G601" s="37" t="s">
        <v>135</v>
      </c>
      <c r="H601" s="37" t="s">
        <v>136</v>
      </c>
      <c r="I601" s="37" t="s">
        <v>127</v>
      </c>
      <c r="J601" s="37" t="s">
        <v>34</v>
      </c>
      <c r="K601" s="38">
        <v>59.28783</v>
      </c>
      <c r="L601" s="42">
        <v>1669.29</v>
      </c>
      <c r="M601" s="37" t="s">
        <v>117</v>
      </c>
      <c r="N601" s="40">
        <v>10.746</v>
      </c>
      <c r="O601" s="38">
        <v>10.733957</v>
      </c>
      <c r="P601" s="38">
        <v>5.5230000000000001E-3</v>
      </c>
      <c r="Q601" s="38">
        <v>6.0280000000000004E-3</v>
      </c>
      <c r="R601" s="40">
        <v>10.746</v>
      </c>
      <c r="S601" s="38">
        <v>10.733957</v>
      </c>
      <c r="T601" s="38">
        <v>5.5230000000000001E-3</v>
      </c>
      <c r="U601" s="38">
        <v>6.0280000000000004E-3</v>
      </c>
      <c r="V601" s="8">
        <f t="shared" si="9"/>
        <v>2023</v>
      </c>
    </row>
    <row r="602" spans="1:22" hidden="1" x14ac:dyDescent="0.25">
      <c r="A602" s="36">
        <v>45200</v>
      </c>
      <c r="B602" s="37" t="s">
        <v>19</v>
      </c>
      <c r="C602" s="37" t="s">
        <v>123</v>
      </c>
      <c r="D602" s="37" t="s">
        <v>63</v>
      </c>
      <c r="E602" s="37" t="s">
        <v>5</v>
      </c>
      <c r="F602" s="37" t="s">
        <v>134</v>
      </c>
      <c r="G602" s="37" t="s">
        <v>135</v>
      </c>
      <c r="H602" s="37" t="s">
        <v>136</v>
      </c>
      <c r="I602" s="37" t="s">
        <v>127</v>
      </c>
      <c r="J602" s="37" t="s">
        <v>34</v>
      </c>
      <c r="K602" s="38">
        <v>82.191156000000007</v>
      </c>
      <c r="L602" s="42">
        <v>2251.75</v>
      </c>
      <c r="M602" s="37" t="s">
        <v>117</v>
      </c>
      <c r="N602" s="40">
        <v>14.897</v>
      </c>
      <c r="O602" s="38">
        <v>14.880564</v>
      </c>
      <c r="P602" s="38">
        <v>7.6559999999999996E-3</v>
      </c>
      <c r="Q602" s="38">
        <v>8.3569999999999998E-3</v>
      </c>
      <c r="R602" s="40">
        <v>14.897</v>
      </c>
      <c r="S602" s="38">
        <v>14.880564</v>
      </c>
      <c r="T602" s="38">
        <v>7.6559999999999996E-3</v>
      </c>
      <c r="U602" s="38">
        <v>8.3569999999999998E-3</v>
      </c>
      <c r="V602" s="8">
        <f t="shared" si="9"/>
        <v>2023</v>
      </c>
    </row>
    <row r="603" spans="1:22" hidden="1" x14ac:dyDescent="0.25">
      <c r="A603" s="36">
        <v>45231</v>
      </c>
      <c r="B603" s="37" t="s">
        <v>19</v>
      </c>
      <c r="C603" s="37" t="s">
        <v>123</v>
      </c>
      <c r="D603" s="37" t="s">
        <v>63</v>
      </c>
      <c r="E603" s="37" t="s">
        <v>5</v>
      </c>
      <c r="F603" s="37" t="s">
        <v>134</v>
      </c>
      <c r="G603" s="37" t="s">
        <v>135</v>
      </c>
      <c r="H603" s="37" t="s">
        <v>136</v>
      </c>
      <c r="I603" s="37" t="s">
        <v>127</v>
      </c>
      <c r="J603" s="37" t="s">
        <v>34</v>
      </c>
      <c r="K603" s="38">
        <v>78.162800000000004</v>
      </c>
      <c r="L603" s="42">
        <v>2108.38</v>
      </c>
      <c r="M603" s="37" t="s">
        <v>117</v>
      </c>
      <c r="N603" s="40">
        <v>14.166</v>
      </c>
      <c r="O603" s="38">
        <v>14.151237</v>
      </c>
      <c r="P603" s="38">
        <v>7.2810000000000001E-3</v>
      </c>
      <c r="Q603" s="38">
        <v>7.9480000000000002E-3</v>
      </c>
      <c r="R603" s="40">
        <v>14.166</v>
      </c>
      <c r="S603" s="38">
        <v>14.151237</v>
      </c>
      <c r="T603" s="38">
        <v>7.2810000000000001E-3</v>
      </c>
      <c r="U603" s="38">
        <v>7.9480000000000002E-3</v>
      </c>
      <c r="V603" s="8">
        <f t="shared" si="9"/>
        <v>2023</v>
      </c>
    </row>
    <row r="604" spans="1:22" hidden="1" x14ac:dyDescent="0.25">
      <c r="A604" s="36">
        <v>45261</v>
      </c>
      <c r="B604" s="37" t="s">
        <v>19</v>
      </c>
      <c r="C604" s="37" t="s">
        <v>123</v>
      </c>
      <c r="D604" s="37" t="s">
        <v>63</v>
      </c>
      <c r="E604" s="37" t="s">
        <v>5</v>
      </c>
      <c r="F604" s="37" t="s">
        <v>134</v>
      </c>
      <c r="G604" s="37" t="s">
        <v>135</v>
      </c>
      <c r="H604" s="37" t="s">
        <v>136</v>
      </c>
      <c r="I604" s="37" t="s">
        <v>127</v>
      </c>
      <c r="J604" s="37" t="s">
        <v>34</v>
      </c>
      <c r="K604" s="38">
        <v>141.404415</v>
      </c>
      <c r="L604" s="42">
        <v>3708.13</v>
      </c>
      <c r="M604" s="37" t="s">
        <v>117</v>
      </c>
      <c r="N604" s="40">
        <v>25.629000000000001</v>
      </c>
      <c r="O604" s="38">
        <v>25.601019999999998</v>
      </c>
      <c r="P604" s="38">
        <v>1.3172E-2</v>
      </c>
      <c r="Q604" s="38">
        <v>1.4378E-2</v>
      </c>
      <c r="R604" s="40">
        <v>25.629000000000001</v>
      </c>
      <c r="S604" s="38">
        <v>25.601019999999998</v>
      </c>
      <c r="T604" s="38">
        <v>1.3172E-2</v>
      </c>
      <c r="U604" s="38">
        <v>1.4378E-2</v>
      </c>
      <c r="V604" s="8">
        <f t="shared" si="9"/>
        <v>2023</v>
      </c>
    </row>
    <row r="605" spans="1:22" hidden="1" x14ac:dyDescent="0.25">
      <c r="A605" s="36">
        <v>44562</v>
      </c>
      <c r="B605" s="37" t="s">
        <v>23</v>
      </c>
      <c r="C605" s="37" t="s">
        <v>123</v>
      </c>
      <c r="D605" s="37" t="s">
        <v>63</v>
      </c>
      <c r="E605" s="37" t="s">
        <v>6</v>
      </c>
      <c r="F605" s="37" t="s">
        <v>134</v>
      </c>
      <c r="G605" s="37" t="s">
        <v>135</v>
      </c>
      <c r="H605" s="37" t="s">
        <v>136</v>
      </c>
      <c r="I605" s="37" t="s">
        <v>127</v>
      </c>
      <c r="J605" s="37" t="s">
        <v>34</v>
      </c>
      <c r="K605" s="38">
        <v>151.49799999999999</v>
      </c>
      <c r="L605" s="42">
        <v>9639.0400000000009</v>
      </c>
      <c r="M605" s="37" t="s">
        <v>117</v>
      </c>
      <c r="N605" s="40">
        <v>72.015000000000001</v>
      </c>
      <c r="O605" s="38">
        <v>72.015270999999998</v>
      </c>
      <c r="P605" s="39"/>
      <c r="Q605" s="39"/>
      <c r="R605" s="40">
        <v>72.332999999999998</v>
      </c>
      <c r="S605" s="38">
        <v>71.888451000000003</v>
      </c>
      <c r="T605" s="38">
        <v>0.26264100000000001</v>
      </c>
      <c r="U605" s="38">
        <v>0.18213799999999999</v>
      </c>
      <c r="V605" s="8">
        <f t="shared" si="9"/>
        <v>2022</v>
      </c>
    </row>
    <row r="606" spans="1:22" hidden="1" x14ac:dyDescent="0.25">
      <c r="A606" s="36">
        <v>44593</v>
      </c>
      <c r="B606" s="37" t="s">
        <v>23</v>
      </c>
      <c r="C606" s="37" t="s">
        <v>123</v>
      </c>
      <c r="D606" s="37" t="s">
        <v>63</v>
      </c>
      <c r="E606" s="37" t="s">
        <v>6</v>
      </c>
      <c r="F606" s="37" t="s">
        <v>134</v>
      </c>
      <c r="G606" s="37" t="s">
        <v>135</v>
      </c>
      <c r="H606" s="37" t="s">
        <v>136</v>
      </c>
      <c r="I606" s="37" t="s">
        <v>127</v>
      </c>
      <c r="J606" s="37" t="s">
        <v>34</v>
      </c>
      <c r="K606" s="38">
        <v>135.29400000000001</v>
      </c>
      <c r="L606" s="42">
        <v>13050.85</v>
      </c>
      <c r="M606" s="37" t="s">
        <v>117</v>
      </c>
      <c r="N606" s="40">
        <v>64.313000000000002</v>
      </c>
      <c r="O606" s="38">
        <v>64.312624999999997</v>
      </c>
      <c r="P606" s="39"/>
      <c r="Q606" s="39"/>
      <c r="R606" s="40">
        <v>64.596999999999994</v>
      </c>
      <c r="S606" s="38">
        <v>64.199370000000002</v>
      </c>
      <c r="T606" s="38">
        <v>0.23455000000000001</v>
      </c>
      <c r="U606" s="38">
        <v>0.162657</v>
      </c>
      <c r="V606" s="8">
        <f t="shared" si="9"/>
        <v>2022</v>
      </c>
    </row>
    <row r="607" spans="1:22" hidden="1" x14ac:dyDescent="0.25">
      <c r="A607" s="36">
        <v>44621</v>
      </c>
      <c r="B607" s="37" t="s">
        <v>23</v>
      </c>
      <c r="C607" s="37" t="s">
        <v>123</v>
      </c>
      <c r="D607" s="37" t="s">
        <v>63</v>
      </c>
      <c r="E607" s="37" t="s">
        <v>6</v>
      </c>
      <c r="F607" s="37" t="s">
        <v>134</v>
      </c>
      <c r="G607" s="37" t="s">
        <v>135</v>
      </c>
      <c r="H607" s="37" t="s">
        <v>136</v>
      </c>
      <c r="I607" s="37" t="s">
        <v>127</v>
      </c>
      <c r="J607" s="37" t="s">
        <v>34</v>
      </c>
      <c r="K607" s="38">
        <v>143.48400000000001</v>
      </c>
      <c r="L607" s="42">
        <v>13609.83</v>
      </c>
      <c r="M607" s="37" t="s">
        <v>117</v>
      </c>
      <c r="N607" s="40">
        <v>68.206000000000003</v>
      </c>
      <c r="O607" s="38">
        <v>68.205779000000007</v>
      </c>
      <c r="P607" s="39"/>
      <c r="Q607" s="39"/>
      <c r="R607" s="40">
        <v>68.507000000000005</v>
      </c>
      <c r="S607" s="38">
        <v>68.085667999999998</v>
      </c>
      <c r="T607" s="38">
        <v>0.248748</v>
      </c>
      <c r="U607" s="38">
        <v>0.17250299999999999</v>
      </c>
      <c r="V607" s="8">
        <f t="shared" si="9"/>
        <v>2022</v>
      </c>
    </row>
    <row r="608" spans="1:22" hidden="1" x14ac:dyDescent="0.25">
      <c r="A608" s="36">
        <v>44652</v>
      </c>
      <c r="B608" s="37" t="s">
        <v>23</v>
      </c>
      <c r="C608" s="37" t="s">
        <v>123</v>
      </c>
      <c r="D608" s="37" t="s">
        <v>63</v>
      </c>
      <c r="E608" s="37" t="s">
        <v>6</v>
      </c>
      <c r="F608" s="37" t="s">
        <v>134</v>
      </c>
      <c r="G608" s="37" t="s">
        <v>135</v>
      </c>
      <c r="H608" s="37" t="s">
        <v>136</v>
      </c>
      <c r="I608" s="37" t="s">
        <v>127</v>
      </c>
      <c r="J608" s="37" t="s">
        <v>34</v>
      </c>
      <c r="K608" s="38">
        <v>134.06100000000001</v>
      </c>
      <c r="L608" s="42">
        <v>12856.44</v>
      </c>
      <c r="M608" s="37" t="s">
        <v>117</v>
      </c>
      <c r="N608" s="40">
        <v>63.726999999999997</v>
      </c>
      <c r="O608" s="38">
        <v>63.726512999999997</v>
      </c>
      <c r="P608" s="39"/>
      <c r="Q608" s="39"/>
      <c r="R608" s="40">
        <v>64.007999999999996</v>
      </c>
      <c r="S608" s="38">
        <v>63.614289999999997</v>
      </c>
      <c r="T608" s="38">
        <v>0.23241200000000001</v>
      </c>
      <c r="U608" s="38">
        <v>0.16117400000000001</v>
      </c>
      <c r="V608" s="8">
        <f t="shared" si="9"/>
        <v>2022</v>
      </c>
    </row>
    <row r="609" spans="1:22" hidden="1" x14ac:dyDescent="0.25">
      <c r="A609" s="36">
        <v>44682</v>
      </c>
      <c r="B609" s="37" t="s">
        <v>23</v>
      </c>
      <c r="C609" s="37" t="s">
        <v>123</v>
      </c>
      <c r="D609" s="37" t="s">
        <v>63</v>
      </c>
      <c r="E609" s="37" t="s">
        <v>6</v>
      </c>
      <c r="F609" s="37" t="s">
        <v>134</v>
      </c>
      <c r="G609" s="37" t="s">
        <v>135</v>
      </c>
      <c r="H609" s="37" t="s">
        <v>136</v>
      </c>
      <c r="I609" s="37" t="s">
        <v>127</v>
      </c>
      <c r="J609" s="37" t="s">
        <v>34</v>
      </c>
      <c r="K609" s="38">
        <v>152.53399999999999</v>
      </c>
      <c r="L609" s="42">
        <v>14041.24</v>
      </c>
      <c r="M609" s="37" t="s">
        <v>117</v>
      </c>
      <c r="N609" s="40">
        <v>72.507999999999996</v>
      </c>
      <c r="O609" s="38">
        <v>72.507738000000003</v>
      </c>
      <c r="P609" s="39"/>
      <c r="Q609" s="39"/>
      <c r="R609" s="40">
        <v>72.828000000000003</v>
      </c>
      <c r="S609" s="38">
        <v>72.380050999999995</v>
      </c>
      <c r="T609" s="38">
        <v>0.26443800000000001</v>
      </c>
      <c r="U609" s="38">
        <v>0.18338299999999999</v>
      </c>
      <c r="V609" s="8">
        <f t="shared" si="9"/>
        <v>2022</v>
      </c>
    </row>
    <row r="610" spans="1:22" hidden="1" x14ac:dyDescent="0.25">
      <c r="A610" s="36">
        <v>44713</v>
      </c>
      <c r="B610" s="37" t="s">
        <v>23</v>
      </c>
      <c r="C610" s="37" t="s">
        <v>123</v>
      </c>
      <c r="D610" s="37" t="s">
        <v>63</v>
      </c>
      <c r="E610" s="37" t="s">
        <v>6</v>
      </c>
      <c r="F610" s="37" t="s">
        <v>134</v>
      </c>
      <c r="G610" s="37" t="s">
        <v>135</v>
      </c>
      <c r="H610" s="37" t="s">
        <v>136</v>
      </c>
      <c r="I610" s="37" t="s">
        <v>127</v>
      </c>
      <c r="J610" s="37" t="s">
        <v>34</v>
      </c>
      <c r="K610" s="38">
        <v>163.65899999999999</v>
      </c>
      <c r="L610" s="42">
        <v>14978.58</v>
      </c>
      <c r="M610" s="37" t="s">
        <v>117</v>
      </c>
      <c r="N610" s="40">
        <v>77.796000000000006</v>
      </c>
      <c r="O610" s="38">
        <v>77.796058000000002</v>
      </c>
      <c r="P610" s="39"/>
      <c r="Q610" s="39"/>
      <c r="R610" s="40">
        <v>78.14</v>
      </c>
      <c r="S610" s="38">
        <v>77.659058000000002</v>
      </c>
      <c r="T610" s="38">
        <v>0.28372399999999998</v>
      </c>
      <c r="U610" s="38">
        <v>0.19675799999999999</v>
      </c>
      <c r="V610" s="8">
        <f t="shared" si="9"/>
        <v>2022</v>
      </c>
    </row>
    <row r="611" spans="1:22" hidden="1" x14ac:dyDescent="0.25">
      <c r="A611" s="36">
        <v>44743</v>
      </c>
      <c r="B611" s="37" t="s">
        <v>23</v>
      </c>
      <c r="C611" s="37" t="s">
        <v>123</v>
      </c>
      <c r="D611" s="37" t="s">
        <v>63</v>
      </c>
      <c r="E611" s="37" t="s">
        <v>6</v>
      </c>
      <c r="F611" s="37" t="s">
        <v>134</v>
      </c>
      <c r="G611" s="37" t="s">
        <v>135</v>
      </c>
      <c r="H611" s="37" t="s">
        <v>136</v>
      </c>
      <c r="I611" s="37" t="s">
        <v>127</v>
      </c>
      <c r="J611" s="37" t="s">
        <v>34</v>
      </c>
      <c r="K611" s="38">
        <v>166.03399999999999</v>
      </c>
      <c r="L611" s="42">
        <v>15137.25</v>
      </c>
      <c r="M611" s="37" t="s">
        <v>117</v>
      </c>
      <c r="N611" s="40">
        <v>78.924999999999997</v>
      </c>
      <c r="O611" s="38">
        <v>78.925025000000005</v>
      </c>
      <c r="P611" s="39"/>
      <c r="Q611" s="39"/>
      <c r="R611" s="40">
        <v>79.272999999999996</v>
      </c>
      <c r="S611" s="38">
        <v>78.786038000000005</v>
      </c>
      <c r="T611" s="38">
        <v>0.28784199999999999</v>
      </c>
      <c r="U611" s="38">
        <v>0.19961400000000001</v>
      </c>
      <c r="V611" s="8">
        <f t="shared" si="9"/>
        <v>2022</v>
      </c>
    </row>
    <row r="612" spans="1:22" hidden="1" x14ac:dyDescent="0.25">
      <c r="A612" s="36">
        <v>44774</v>
      </c>
      <c r="B612" s="37" t="s">
        <v>23</v>
      </c>
      <c r="C612" s="37" t="s">
        <v>123</v>
      </c>
      <c r="D612" s="37" t="s">
        <v>63</v>
      </c>
      <c r="E612" s="37" t="s">
        <v>6</v>
      </c>
      <c r="F612" s="37" t="s">
        <v>134</v>
      </c>
      <c r="G612" s="37" t="s">
        <v>135</v>
      </c>
      <c r="H612" s="37" t="s">
        <v>136</v>
      </c>
      <c r="I612" s="37" t="s">
        <v>127</v>
      </c>
      <c r="J612" s="37" t="s">
        <v>34</v>
      </c>
      <c r="K612" s="38">
        <v>189.18299999999999</v>
      </c>
      <c r="L612" s="42">
        <v>17035.060000000001</v>
      </c>
      <c r="M612" s="37" t="s">
        <v>117</v>
      </c>
      <c r="N612" s="40">
        <v>89.929000000000002</v>
      </c>
      <c r="O612" s="38">
        <v>89.929008999999994</v>
      </c>
      <c r="P612" s="39"/>
      <c r="Q612" s="39"/>
      <c r="R612" s="40">
        <v>90.325999999999993</v>
      </c>
      <c r="S612" s="38">
        <v>89.770643000000007</v>
      </c>
      <c r="T612" s="38">
        <v>0.32797300000000001</v>
      </c>
      <c r="U612" s="38">
        <v>0.22744500000000001</v>
      </c>
      <c r="V612" s="8">
        <f t="shared" si="9"/>
        <v>2022</v>
      </c>
    </row>
    <row r="613" spans="1:22" hidden="1" x14ac:dyDescent="0.25">
      <c r="A613" s="36">
        <v>44805</v>
      </c>
      <c r="B613" s="37" t="s">
        <v>23</v>
      </c>
      <c r="C613" s="37" t="s">
        <v>123</v>
      </c>
      <c r="D613" s="37" t="s">
        <v>63</v>
      </c>
      <c r="E613" s="37" t="s">
        <v>6</v>
      </c>
      <c r="F613" s="37" t="s">
        <v>134</v>
      </c>
      <c r="G613" s="37" t="s">
        <v>135</v>
      </c>
      <c r="H613" s="37" t="s">
        <v>136</v>
      </c>
      <c r="I613" s="37" t="s">
        <v>127</v>
      </c>
      <c r="J613" s="37" t="s">
        <v>34</v>
      </c>
      <c r="K613" s="38">
        <v>172.68799999999999</v>
      </c>
      <c r="L613" s="42">
        <v>15753.14</v>
      </c>
      <c r="M613" s="37" t="s">
        <v>117</v>
      </c>
      <c r="N613" s="40">
        <v>82.087999999999994</v>
      </c>
      <c r="O613" s="38">
        <v>82.088035000000005</v>
      </c>
      <c r="P613" s="39"/>
      <c r="Q613" s="39"/>
      <c r="R613" s="40">
        <v>82.45</v>
      </c>
      <c r="S613" s="38">
        <v>81.943477000000001</v>
      </c>
      <c r="T613" s="38">
        <v>0.299377</v>
      </c>
      <c r="U613" s="38">
        <v>0.20761399999999999</v>
      </c>
      <c r="V613" s="8">
        <f t="shared" si="9"/>
        <v>2022</v>
      </c>
    </row>
    <row r="614" spans="1:22" hidden="1" x14ac:dyDescent="0.25">
      <c r="A614" s="36">
        <v>44835</v>
      </c>
      <c r="B614" s="37" t="s">
        <v>23</v>
      </c>
      <c r="C614" s="37" t="s">
        <v>123</v>
      </c>
      <c r="D614" s="37" t="s">
        <v>63</v>
      </c>
      <c r="E614" s="37" t="s">
        <v>6</v>
      </c>
      <c r="F614" s="37" t="s">
        <v>134</v>
      </c>
      <c r="G614" s="37" t="s">
        <v>135</v>
      </c>
      <c r="H614" s="37" t="s">
        <v>136</v>
      </c>
      <c r="I614" s="37" t="s">
        <v>127</v>
      </c>
      <c r="J614" s="37" t="s">
        <v>34</v>
      </c>
      <c r="K614" s="38">
        <v>160.726</v>
      </c>
      <c r="L614" s="42">
        <v>14445.86</v>
      </c>
      <c r="M614" s="37" t="s">
        <v>117</v>
      </c>
      <c r="N614" s="40">
        <v>76.402000000000001</v>
      </c>
      <c r="O614" s="38">
        <v>76.401843</v>
      </c>
      <c r="P614" s="39"/>
      <c r="Q614" s="39"/>
      <c r="R614" s="40">
        <v>76.739000000000004</v>
      </c>
      <c r="S614" s="38">
        <v>76.267298999999994</v>
      </c>
      <c r="T614" s="38">
        <v>0.27863900000000003</v>
      </c>
      <c r="U614" s="38">
        <v>0.19323199999999999</v>
      </c>
      <c r="V614" s="8">
        <f t="shared" si="9"/>
        <v>2022</v>
      </c>
    </row>
    <row r="615" spans="1:22" hidden="1" x14ac:dyDescent="0.25">
      <c r="A615" s="36">
        <v>44866</v>
      </c>
      <c r="B615" s="37" t="s">
        <v>23</v>
      </c>
      <c r="C615" s="37" t="s">
        <v>123</v>
      </c>
      <c r="D615" s="37" t="s">
        <v>63</v>
      </c>
      <c r="E615" s="37" t="s">
        <v>6</v>
      </c>
      <c r="F615" s="37" t="s">
        <v>134</v>
      </c>
      <c r="G615" s="37" t="s">
        <v>135</v>
      </c>
      <c r="H615" s="37" t="s">
        <v>136</v>
      </c>
      <c r="I615" s="37" t="s">
        <v>127</v>
      </c>
      <c r="J615" s="37" t="s">
        <v>34</v>
      </c>
      <c r="K615" s="38">
        <v>139.89699999999999</v>
      </c>
      <c r="L615" s="42">
        <v>12808.37</v>
      </c>
      <c r="M615" s="37" t="s">
        <v>117</v>
      </c>
      <c r="N615" s="40">
        <v>66.501000000000005</v>
      </c>
      <c r="O615" s="38">
        <v>66.500681999999998</v>
      </c>
      <c r="P615" s="39"/>
      <c r="Q615" s="39"/>
      <c r="R615" s="40">
        <v>66.793999999999997</v>
      </c>
      <c r="S615" s="38">
        <v>66.383573999999996</v>
      </c>
      <c r="T615" s="38">
        <v>0.24253</v>
      </c>
      <c r="U615" s="38">
        <v>0.16819100000000001</v>
      </c>
      <c r="V615" s="8">
        <f t="shared" si="9"/>
        <v>2022</v>
      </c>
    </row>
    <row r="616" spans="1:22" hidden="1" x14ac:dyDescent="0.25">
      <c r="A616" s="36">
        <v>44896</v>
      </c>
      <c r="B616" s="37" t="s">
        <v>23</v>
      </c>
      <c r="C616" s="37" t="s">
        <v>123</v>
      </c>
      <c r="D616" s="37" t="s">
        <v>63</v>
      </c>
      <c r="E616" s="37" t="s">
        <v>6</v>
      </c>
      <c r="F616" s="37" t="s">
        <v>134</v>
      </c>
      <c r="G616" s="37" t="s">
        <v>135</v>
      </c>
      <c r="H616" s="37" t="s">
        <v>136</v>
      </c>
      <c r="I616" s="37" t="s">
        <v>127</v>
      </c>
      <c r="J616" s="37" t="s">
        <v>34</v>
      </c>
      <c r="K616" s="38">
        <v>132.63800000000001</v>
      </c>
      <c r="L616" s="42">
        <v>12437.16</v>
      </c>
      <c r="M616" s="37" t="s">
        <v>117</v>
      </c>
      <c r="N616" s="40">
        <v>63.05</v>
      </c>
      <c r="O616" s="38">
        <v>63.050083000000001</v>
      </c>
      <c r="P616" s="39"/>
      <c r="Q616" s="39"/>
      <c r="R616" s="40">
        <v>63.328000000000003</v>
      </c>
      <c r="S616" s="38">
        <v>62.939050999999999</v>
      </c>
      <c r="T616" s="38">
        <v>0.22994500000000001</v>
      </c>
      <c r="U616" s="38">
        <v>0.15946399999999999</v>
      </c>
      <c r="V616" s="8">
        <f t="shared" si="9"/>
        <v>2022</v>
      </c>
    </row>
    <row r="617" spans="1:22" hidden="1" x14ac:dyDescent="0.25">
      <c r="A617" s="36">
        <v>44927</v>
      </c>
      <c r="B617" s="37" t="s">
        <v>23</v>
      </c>
      <c r="C617" s="37" t="s">
        <v>123</v>
      </c>
      <c r="D617" s="37" t="s">
        <v>63</v>
      </c>
      <c r="E617" s="37" t="s">
        <v>6</v>
      </c>
      <c r="F617" s="37" t="s">
        <v>134</v>
      </c>
      <c r="G617" s="37" t="s">
        <v>135</v>
      </c>
      <c r="H617" s="37" t="s">
        <v>136</v>
      </c>
      <c r="I617" s="37" t="s">
        <v>127</v>
      </c>
      <c r="J617" s="37" t="s">
        <v>34</v>
      </c>
      <c r="K617" s="38">
        <v>156.209</v>
      </c>
      <c r="L617" s="42">
        <v>14316.56</v>
      </c>
      <c r="M617" s="37" t="s">
        <v>117</v>
      </c>
      <c r="N617" s="40">
        <v>74.254999999999995</v>
      </c>
      <c r="O617" s="38">
        <v>74.254666</v>
      </c>
      <c r="P617" s="39"/>
      <c r="Q617" s="39"/>
      <c r="R617" s="40">
        <v>74.582999999999998</v>
      </c>
      <c r="S617" s="38">
        <v>74.123902999999999</v>
      </c>
      <c r="T617" s="38">
        <v>0.27080900000000002</v>
      </c>
      <c r="U617" s="38">
        <v>0.187802</v>
      </c>
      <c r="V617" s="8">
        <f t="shared" si="9"/>
        <v>2023</v>
      </c>
    </row>
    <row r="618" spans="1:22" hidden="1" x14ac:dyDescent="0.25">
      <c r="A618" s="36">
        <v>44958</v>
      </c>
      <c r="B618" s="37" t="s">
        <v>23</v>
      </c>
      <c r="C618" s="37" t="s">
        <v>123</v>
      </c>
      <c r="D618" s="37" t="s">
        <v>63</v>
      </c>
      <c r="E618" s="37" t="s">
        <v>6</v>
      </c>
      <c r="F618" s="37" t="s">
        <v>134</v>
      </c>
      <c r="G618" s="37" t="s">
        <v>135</v>
      </c>
      <c r="H618" s="37" t="s">
        <v>136</v>
      </c>
      <c r="I618" s="37" t="s">
        <v>127</v>
      </c>
      <c r="J618" s="37" t="s">
        <v>34</v>
      </c>
      <c r="K618" s="38">
        <v>134.78299999999999</v>
      </c>
      <c r="L618" s="42">
        <v>11303.74</v>
      </c>
      <c r="M618" s="37" t="s">
        <v>117</v>
      </c>
      <c r="N618" s="40">
        <v>64.069999999999993</v>
      </c>
      <c r="O618" s="38">
        <v>64.069719000000006</v>
      </c>
      <c r="P618" s="39"/>
      <c r="Q618" s="39"/>
      <c r="R618" s="40">
        <v>64.352999999999994</v>
      </c>
      <c r="S618" s="38">
        <v>63.956890999999999</v>
      </c>
      <c r="T618" s="38">
        <v>0.23366400000000001</v>
      </c>
      <c r="U618" s="38">
        <v>0.16204199999999999</v>
      </c>
      <c r="V618" s="8">
        <f t="shared" si="9"/>
        <v>2023</v>
      </c>
    </row>
    <row r="619" spans="1:22" hidden="1" x14ac:dyDescent="0.25">
      <c r="A619" s="36">
        <v>44986</v>
      </c>
      <c r="B619" s="37" t="s">
        <v>23</v>
      </c>
      <c r="C619" s="37" t="s">
        <v>123</v>
      </c>
      <c r="D619" s="37" t="s">
        <v>63</v>
      </c>
      <c r="E619" s="37" t="s">
        <v>6</v>
      </c>
      <c r="F619" s="37" t="s">
        <v>134</v>
      </c>
      <c r="G619" s="37" t="s">
        <v>135</v>
      </c>
      <c r="H619" s="37" t="s">
        <v>136</v>
      </c>
      <c r="I619" s="37" t="s">
        <v>127</v>
      </c>
      <c r="J619" s="37" t="s">
        <v>34</v>
      </c>
      <c r="K619" s="38">
        <v>119.369</v>
      </c>
      <c r="L619" s="42">
        <v>10009.81</v>
      </c>
      <c r="M619" s="37" t="s">
        <v>117</v>
      </c>
      <c r="N619" s="40">
        <v>56.743000000000002</v>
      </c>
      <c r="O619" s="38">
        <v>56.742603000000003</v>
      </c>
      <c r="P619" s="39"/>
      <c r="Q619" s="39"/>
      <c r="R619" s="40">
        <v>56.993000000000002</v>
      </c>
      <c r="S619" s="38">
        <v>56.642679000000001</v>
      </c>
      <c r="T619" s="38">
        <v>0.20694199999999999</v>
      </c>
      <c r="U619" s="38">
        <v>0.143511</v>
      </c>
      <c r="V619" s="8">
        <f t="shared" si="9"/>
        <v>2023</v>
      </c>
    </row>
    <row r="620" spans="1:22" hidden="1" x14ac:dyDescent="0.25">
      <c r="A620" s="36">
        <v>45017</v>
      </c>
      <c r="B620" s="37" t="s">
        <v>23</v>
      </c>
      <c r="C620" s="37" t="s">
        <v>123</v>
      </c>
      <c r="D620" s="37" t="s">
        <v>63</v>
      </c>
      <c r="E620" s="37" t="s">
        <v>6</v>
      </c>
      <c r="F620" s="37" t="s">
        <v>134</v>
      </c>
      <c r="G620" s="37" t="s">
        <v>135</v>
      </c>
      <c r="H620" s="37" t="s">
        <v>136</v>
      </c>
      <c r="I620" s="37" t="s">
        <v>127</v>
      </c>
      <c r="J620" s="37" t="s">
        <v>34</v>
      </c>
      <c r="K620" s="38">
        <v>91.165000000000006</v>
      </c>
      <c r="L620" s="42">
        <v>8009.8</v>
      </c>
      <c r="M620" s="37" t="s">
        <v>117</v>
      </c>
      <c r="N620" s="40">
        <v>43.335999999999999</v>
      </c>
      <c r="O620" s="38">
        <v>43.335701999999998</v>
      </c>
      <c r="P620" s="39"/>
      <c r="Q620" s="39"/>
      <c r="R620" s="40">
        <v>43.527000000000001</v>
      </c>
      <c r="S620" s="38">
        <v>43.259386999999997</v>
      </c>
      <c r="T620" s="38">
        <v>0.15804599999999999</v>
      </c>
      <c r="U620" s="38">
        <v>0.10960300000000001</v>
      </c>
      <c r="V620" s="8">
        <f t="shared" si="9"/>
        <v>2023</v>
      </c>
    </row>
    <row r="621" spans="1:22" hidden="1" x14ac:dyDescent="0.25">
      <c r="A621" s="36">
        <v>45047</v>
      </c>
      <c r="B621" s="37" t="s">
        <v>23</v>
      </c>
      <c r="C621" s="37" t="s">
        <v>123</v>
      </c>
      <c r="D621" s="37" t="s">
        <v>63</v>
      </c>
      <c r="E621" s="37" t="s">
        <v>6</v>
      </c>
      <c r="F621" s="37" t="s">
        <v>134</v>
      </c>
      <c r="G621" s="37" t="s">
        <v>135</v>
      </c>
      <c r="H621" s="37" t="s">
        <v>136</v>
      </c>
      <c r="I621" s="37" t="s">
        <v>127</v>
      </c>
      <c r="J621" s="37" t="s">
        <v>34</v>
      </c>
      <c r="K621" s="38">
        <v>138.648</v>
      </c>
      <c r="L621" s="42">
        <v>11560.38</v>
      </c>
      <c r="M621" s="37" t="s">
        <v>117</v>
      </c>
      <c r="N621" s="40">
        <v>65.906999999999996</v>
      </c>
      <c r="O621" s="38">
        <v>65.906964000000002</v>
      </c>
      <c r="P621" s="39"/>
      <c r="Q621" s="39"/>
      <c r="R621" s="40">
        <v>66.197999999999993</v>
      </c>
      <c r="S621" s="38">
        <v>65.790901000000005</v>
      </c>
      <c r="T621" s="38">
        <v>0.24036399999999999</v>
      </c>
      <c r="U621" s="38">
        <v>0.166689</v>
      </c>
      <c r="V621" s="8">
        <f t="shared" si="9"/>
        <v>2023</v>
      </c>
    </row>
    <row r="622" spans="1:22" hidden="1" x14ac:dyDescent="0.25">
      <c r="A622" s="36">
        <v>45078</v>
      </c>
      <c r="B622" s="37" t="s">
        <v>23</v>
      </c>
      <c r="C622" s="37" t="s">
        <v>123</v>
      </c>
      <c r="D622" s="37" t="s">
        <v>63</v>
      </c>
      <c r="E622" s="37" t="s">
        <v>6</v>
      </c>
      <c r="F622" s="37" t="s">
        <v>134</v>
      </c>
      <c r="G622" s="37" t="s">
        <v>135</v>
      </c>
      <c r="H622" s="37" t="s">
        <v>136</v>
      </c>
      <c r="I622" s="37" t="s">
        <v>127</v>
      </c>
      <c r="J622" s="37" t="s">
        <v>34</v>
      </c>
      <c r="K622" s="38">
        <v>154.24799999999999</v>
      </c>
      <c r="L622" s="42">
        <v>13074.78</v>
      </c>
      <c r="M622" s="37" t="s">
        <v>117</v>
      </c>
      <c r="N622" s="40">
        <v>73.322000000000003</v>
      </c>
      <c r="O622" s="38">
        <v>73.322496000000001</v>
      </c>
      <c r="P622" s="39"/>
      <c r="Q622" s="39"/>
      <c r="R622" s="40">
        <v>73.646000000000001</v>
      </c>
      <c r="S622" s="38">
        <v>73.193374000000006</v>
      </c>
      <c r="T622" s="38">
        <v>0.26740900000000001</v>
      </c>
      <c r="U622" s="38">
        <v>0.185444</v>
      </c>
      <c r="V622" s="8">
        <f t="shared" si="9"/>
        <v>2023</v>
      </c>
    </row>
    <row r="623" spans="1:22" hidden="1" x14ac:dyDescent="0.25">
      <c r="A623" s="36">
        <v>45108</v>
      </c>
      <c r="B623" s="37" t="s">
        <v>23</v>
      </c>
      <c r="C623" s="37" t="s">
        <v>123</v>
      </c>
      <c r="D623" s="37" t="s">
        <v>63</v>
      </c>
      <c r="E623" s="37" t="s">
        <v>6</v>
      </c>
      <c r="F623" s="37" t="s">
        <v>134</v>
      </c>
      <c r="G623" s="37" t="s">
        <v>135</v>
      </c>
      <c r="H623" s="37" t="s">
        <v>136</v>
      </c>
      <c r="I623" s="37" t="s">
        <v>127</v>
      </c>
      <c r="J623" s="37" t="s">
        <v>34</v>
      </c>
      <c r="K623" s="38">
        <v>168.82400000000001</v>
      </c>
      <c r="L623" s="42">
        <v>14073.18</v>
      </c>
      <c r="M623" s="37" t="s">
        <v>117</v>
      </c>
      <c r="N623" s="40">
        <v>80.251000000000005</v>
      </c>
      <c r="O623" s="38">
        <v>80.251265000000004</v>
      </c>
      <c r="P623" s="39"/>
      <c r="Q623" s="39"/>
      <c r="R623" s="40">
        <v>80.605999999999995</v>
      </c>
      <c r="S623" s="38">
        <v>80.109941000000006</v>
      </c>
      <c r="T623" s="38">
        <v>0.29267799999999999</v>
      </c>
      <c r="U623" s="38">
        <v>0.20296800000000001</v>
      </c>
      <c r="V623" s="8">
        <f t="shared" si="9"/>
        <v>2023</v>
      </c>
    </row>
    <row r="624" spans="1:22" hidden="1" x14ac:dyDescent="0.25">
      <c r="A624" s="36">
        <v>45139</v>
      </c>
      <c r="B624" s="37" t="s">
        <v>23</v>
      </c>
      <c r="C624" s="37" t="s">
        <v>123</v>
      </c>
      <c r="D624" s="37" t="s">
        <v>63</v>
      </c>
      <c r="E624" s="37" t="s">
        <v>6</v>
      </c>
      <c r="F624" s="37" t="s">
        <v>134</v>
      </c>
      <c r="G624" s="37" t="s">
        <v>135</v>
      </c>
      <c r="H624" s="37" t="s">
        <v>136</v>
      </c>
      <c r="I624" s="37" t="s">
        <v>127</v>
      </c>
      <c r="J624" s="37" t="s">
        <v>34</v>
      </c>
      <c r="K624" s="38">
        <v>164.363</v>
      </c>
      <c r="L624" s="42">
        <v>13965.44</v>
      </c>
      <c r="M624" s="37" t="s">
        <v>117</v>
      </c>
      <c r="N624" s="40">
        <v>78.131</v>
      </c>
      <c r="O624" s="38">
        <v>78.130707999999998</v>
      </c>
      <c r="P624" s="39"/>
      <c r="Q624" s="39"/>
      <c r="R624" s="40">
        <v>78.475999999999999</v>
      </c>
      <c r="S624" s="38">
        <v>77.993118999999993</v>
      </c>
      <c r="T624" s="38">
        <v>0.284945</v>
      </c>
      <c r="U624" s="38">
        <v>0.197605</v>
      </c>
      <c r="V624" s="8">
        <f t="shared" si="9"/>
        <v>2023</v>
      </c>
    </row>
    <row r="625" spans="1:22" hidden="1" x14ac:dyDescent="0.25">
      <c r="A625" s="36">
        <v>45170</v>
      </c>
      <c r="B625" s="37" t="s">
        <v>23</v>
      </c>
      <c r="C625" s="37" t="s">
        <v>123</v>
      </c>
      <c r="D625" s="37" t="s">
        <v>63</v>
      </c>
      <c r="E625" s="37" t="s">
        <v>6</v>
      </c>
      <c r="F625" s="37" t="s">
        <v>134</v>
      </c>
      <c r="G625" s="37" t="s">
        <v>135</v>
      </c>
      <c r="H625" s="37" t="s">
        <v>136</v>
      </c>
      <c r="I625" s="37" t="s">
        <v>127</v>
      </c>
      <c r="J625" s="37" t="s">
        <v>34</v>
      </c>
      <c r="K625" s="38">
        <v>154.87</v>
      </c>
      <c r="L625" s="42">
        <v>12887.29</v>
      </c>
      <c r="M625" s="37" t="s">
        <v>117</v>
      </c>
      <c r="N625" s="40">
        <v>73.617999999999995</v>
      </c>
      <c r="O625" s="38">
        <v>73.618167</v>
      </c>
      <c r="P625" s="39"/>
      <c r="Q625" s="39"/>
      <c r="R625" s="40">
        <v>73.942999999999998</v>
      </c>
      <c r="S625" s="38">
        <v>73.488523999999998</v>
      </c>
      <c r="T625" s="38">
        <v>0.26848699999999998</v>
      </c>
      <c r="U625" s="38">
        <v>0.186192</v>
      </c>
      <c r="V625" s="8">
        <f t="shared" si="9"/>
        <v>2023</v>
      </c>
    </row>
    <row r="626" spans="1:22" hidden="1" x14ac:dyDescent="0.25">
      <c r="A626" s="36">
        <v>45200</v>
      </c>
      <c r="B626" s="37" t="s">
        <v>23</v>
      </c>
      <c r="C626" s="37" t="s">
        <v>123</v>
      </c>
      <c r="D626" s="37" t="s">
        <v>63</v>
      </c>
      <c r="E626" s="37" t="s">
        <v>6</v>
      </c>
      <c r="F626" s="37" t="s">
        <v>134</v>
      </c>
      <c r="G626" s="37" t="s">
        <v>135</v>
      </c>
      <c r="H626" s="37" t="s">
        <v>136</v>
      </c>
      <c r="I626" s="37" t="s">
        <v>127</v>
      </c>
      <c r="J626" s="37" t="s">
        <v>34</v>
      </c>
      <c r="K626" s="38">
        <v>154.45699999999999</v>
      </c>
      <c r="L626" s="42">
        <v>12955.23</v>
      </c>
      <c r="M626" s="37" t="s">
        <v>117</v>
      </c>
      <c r="N626" s="40">
        <v>73.421999999999997</v>
      </c>
      <c r="O626" s="38">
        <v>73.421845000000005</v>
      </c>
      <c r="P626" s="39"/>
      <c r="Q626" s="39"/>
      <c r="R626" s="40">
        <v>73.745999999999995</v>
      </c>
      <c r="S626" s="38">
        <v>73.292548999999994</v>
      </c>
      <c r="T626" s="38">
        <v>0.26777099999999998</v>
      </c>
      <c r="U626" s="38">
        <v>0.185695</v>
      </c>
      <c r="V626" s="8">
        <f t="shared" si="9"/>
        <v>2023</v>
      </c>
    </row>
    <row r="627" spans="1:22" hidden="1" x14ac:dyDescent="0.25">
      <c r="A627" s="36">
        <v>45231</v>
      </c>
      <c r="B627" s="37" t="s">
        <v>23</v>
      </c>
      <c r="C627" s="37" t="s">
        <v>123</v>
      </c>
      <c r="D627" s="37" t="s">
        <v>63</v>
      </c>
      <c r="E627" s="37" t="s">
        <v>6</v>
      </c>
      <c r="F627" s="37" t="s">
        <v>134</v>
      </c>
      <c r="G627" s="37" t="s">
        <v>135</v>
      </c>
      <c r="H627" s="37" t="s">
        <v>136</v>
      </c>
      <c r="I627" s="37" t="s">
        <v>127</v>
      </c>
      <c r="J627" s="37" t="s">
        <v>34</v>
      </c>
      <c r="K627" s="38">
        <v>135.33799999999999</v>
      </c>
      <c r="L627" s="42">
        <v>11150.44</v>
      </c>
      <c r="M627" s="37" t="s">
        <v>117</v>
      </c>
      <c r="N627" s="40">
        <v>64.334000000000003</v>
      </c>
      <c r="O627" s="38">
        <v>64.333540999999997</v>
      </c>
      <c r="P627" s="39"/>
      <c r="Q627" s="39"/>
      <c r="R627" s="40">
        <v>64.617999999999995</v>
      </c>
      <c r="S627" s="38">
        <v>64.220248999999995</v>
      </c>
      <c r="T627" s="38">
        <v>0.234626</v>
      </c>
      <c r="U627" s="38">
        <v>0.16270999999999999</v>
      </c>
      <c r="V627" s="8">
        <f t="shared" si="9"/>
        <v>2023</v>
      </c>
    </row>
    <row r="628" spans="1:22" hidden="1" x14ac:dyDescent="0.25">
      <c r="A628" s="36">
        <v>45261</v>
      </c>
      <c r="B628" s="37" t="s">
        <v>23</v>
      </c>
      <c r="C628" s="37" t="s">
        <v>123</v>
      </c>
      <c r="D628" s="37" t="s">
        <v>63</v>
      </c>
      <c r="E628" s="37" t="s">
        <v>6</v>
      </c>
      <c r="F628" s="37" t="s">
        <v>134</v>
      </c>
      <c r="G628" s="37" t="s">
        <v>135</v>
      </c>
      <c r="H628" s="37" t="s">
        <v>136</v>
      </c>
      <c r="I628" s="37" t="s">
        <v>127</v>
      </c>
      <c r="J628" s="37" t="s">
        <v>34</v>
      </c>
      <c r="K628" s="38">
        <v>112.22499999999999</v>
      </c>
      <c r="L628" s="42">
        <v>9509.8799999999992</v>
      </c>
      <c r="M628" s="37" t="s">
        <v>117</v>
      </c>
      <c r="N628" s="40">
        <v>53.347000000000001</v>
      </c>
      <c r="O628" s="38">
        <v>53.346670000000003</v>
      </c>
      <c r="P628" s="39"/>
      <c r="Q628" s="39"/>
      <c r="R628" s="40">
        <v>53.582000000000001</v>
      </c>
      <c r="S628" s="38">
        <v>53.252726000000003</v>
      </c>
      <c r="T628" s="38">
        <v>0.19455700000000001</v>
      </c>
      <c r="U628" s="38">
        <v>0.13492199999999999</v>
      </c>
      <c r="V628" s="8">
        <f t="shared" ref="V628:V691" si="10">YEAR(A628)</f>
        <v>2023</v>
      </c>
    </row>
    <row r="629" spans="1:22" hidden="1" x14ac:dyDescent="0.25">
      <c r="A629" s="36">
        <v>44927</v>
      </c>
      <c r="B629" s="37" t="s">
        <v>26</v>
      </c>
      <c r="C629" s="37" t="s">
        <v>123</v>
      </c>
      <c r="D629" s="37" t="s">
        <v>63</v>
      </c>
      <c r="E629" s="37" t="s">
        <v>7</v>
      </c>
      <c r="F629" s="37" t="s">
        <v>134</v>
      </c>
      <c r="G629" s="37" t="s">
        <v>135</v>
      </c>
      <c r="H629" s="37" t="s">
        <v>136</v>
      </c>
      <c r="I629" s="37" t="s">
        <v>127</v>
      </c>
      <c r="J629" s="37" t="s">
        <v>36</v>
      </c>
      <c r="K629" s="38">
        <v>8.2322999999999993E-2</v>
      </c>
      <c r="L629" s="39"/>
      <c r="M629" s="37" t="s">
        <v>117</v>
      </c>
      <c r="N629" s="40">
        <v>2E-3</v>
      </c>
      <c r="O629" s="38">
        <v>1.7520000000000001E-3</v>
      </c>
      <c r="P629" s="39"/>
      <c r="Q629" s="39"/>
      <c r="R629" s="40">
        <v>2E-3</v>
      </c>
      <c r="S629" s="38">
        <v>1.7520000000000001E-3</v>
      </c>
      <c r="T629" s="39"/>
      <c r="U629" s="39"/>
      <c r="V629" s="8">
        <f t="shared" si="10"/>
        <v>2023</v>
      </c>
    </row>
    <row r="630" spans="1:22" hidden="1" x14ac:dyDescent="0.25">
      <c r="A630" s="36">
        <v>44958</v>
      </c>
      <c r="B630" s="37" t="s">
        <v>26</v>
      </c>
      <c r="C630" s="37" t="s">
        <v>123</v>
      </c>
      <c r="D630" s="37" t="s">
        <v>63</v>
      </c>
      <c r="E630" s="37" t="s">
        <v>7</v>
      </c>
      <c r="F630" s="37" t="s">
        <v>134</v>
      </c>
      <c r="G630" s="37" t="s">
        <v>135</v>
      </c>
      <c r="H630" s="37" t="s">
        <v>136</v>
      </c>
      <c r="I630" s="37" t="s">
        <v>127</v>
      </c>
      <c r="J630" s="37" t="s">
        <v>36</v>
      </c>
      <c r="K630" s="38">
        <v>8.2322999999999993E-2</v>
      </c>
      <c r="L630" s="39"/>
      <c r="M630" s="37" t="s">
        <v>117</v>
      </c>
      <c r="N630" s="40">
        <v>2E-3</v>
      </c>
      <c r="O630" s="38">
        <v>1.7520000000000001E-3</v>
      </c>
      <c r="P630" s="39"/>
      <c r="Q630" s="39"/>
      <c r="R630" s="40">
        <v>2E-3</v>
      </c>
      <c r="S630" s="38">
        <v>1.7520000000000001E-3</v>
      </c>
      <c r="T630" s="39"/>
      <c r="U630" s="39"/>
      <c r="V630" s="8">
        <f t="shared" si="10"/>
        <v>2023</v>
      </c>
    </row>
    <row r="631" spans="1:22" hidden="1" x14ac:dyDescent="0.25">
      <c r="A631" s="36">
        <v>44958</v>
      </c>
      <c r="B631" s="37" t="s">
        <v>27</v>
      </c>
      <c r="C631" s="37" t="s">
        <v>123</v>
      </c>
      <c r="D631" s="37" t="s">
        <v>63</v>
      </c>
      <c r="E631" s="37" t="s">
        <v>7</v>
      </c>
      <c r="F631" s="37" t="s">
        <v>134</v>
      </c>
      <c r="G631" s="37" t="s">
        <v>135</v>
      </c>
      <c r="H631" s="37" t="s">
        <v>136</v>
      </c>
      <c r="I631" s="37" t="s">
        <v>127</v>
      </c>
      <c r="J631" s="37" t="s">
        <v>36</v>
      </c>
      <c r="K631" s="38">
        <v>64.813813999999994</v>
      </c>
      <c r="L631" s="39"/>
      <c r="M631" s="37" t="s">
        <v>117</v>
      </c>
      <c r="N631" s="40">
        <v>33.725000000000001</v>
      </c>
      <c r="O631" s="38">
        <v>33.724876000000002</v>
      </c>
      <c r="P631" s="39"/>
      <c r="Q631" s="39"/>
      <c r="R631" s="40">
        <v>33.725000000000001</v>
      </c>
      <c r="S631" s="38">
        <v>33.724876000000002</v>
      </c>
      <c r="T631" s="39"/>
      <c r="U631" s="39"/>
      <c r="V631" s="8">
        <f t="shared" si="10"/>
        <v>2023</v>
      </c>
    </row>
    <row r="632" spans="1:22" hidden="1" x14ac:dyDescent="0.25">
      <c r="A632" s="36">
        <v>44986</v>
      </c>
      <c r="B632" s="37" t="s">
        <v>26</v>
      </c>
      <c r="C632" s="37" t="s">
        <v>123</v>
      </c>
      <c r="D632" s="37" t="s">
        <v>63</v>
      </c>
      <c r="E632" s="37" t="s">
        <v>7</v>
      </c>
      <c r="F632" s="37" t="s">
        <v>134</v>
      </c>
      <c r="G632" s="37" t="s">
        <v>135</v>
      </c>
      <c r="H632" s="37" t="s">
        <v>136</v>
      </c>
      <c r="I632" s="37" t="s">
        <v>127</v>
      </c>
      <c r="J632" s="37" t="s">
        <v>36</v>
      </c>
      <c r="K632" s="38">
        <v>8.2322999999999993E-2</v>
      </c>
      <c r="L632" s="39"/>
      <c r="M632" s="37" t="s">
        <v>117</v>
      </c>
      <c r="N632" s="40">
        <v>2E-3</v>
      </c>
      <c r="O632" s="38">
        <v>1.7520000000000001E-3</v>
      </c>
      <c r="P632" s="39"/>
      <c r="Q632" s="39"/>
      <c r="R632" s="40">
        <v>2E-3</v>
      </c>
      <c r="S632" s="38">
        <v>1.7520000000000001E-3</v>
      </c>
      <c r="T632" s="39"/>
      <c r="U632" s="39"/>
      <c r="V632" s="8">
        <f t="shared" si="10"/>
        <v>2023</v>
      </c>
    </row>
    <row r="633" spans="1:22" hidden="1" x14ac:dyDescent="0.25">
      <c r="A633" s="36">
        <v>45017</v>
      </c>
      <c r="B633" s="37" t="s">
        <v>26</v>
      </c>
      <c r="C633" s="37" t="s">
        <v>123</v>
      </c>
      <c r="D633" s="37" t="s">
        <v>63</v>
      </c>
      <c r="E633" s="37" t="s">
        <v>7</v>
      </c>
      <c r="F633" s="37" t="s">
        <v>134</v>
      </c>
      <c r="G633" s="37" t="s">
        <v>135</v>
      </c>
      <c r="H633" s="37" t="s">
        <v>136</v>
      </c>
      <c r="I633" s="37" t="s">
        <v>127</v>
      </c>
      <c r="J633" s="37" t="s">
        <v>36</v>
      </c>
      <c r="K633" s="38">
        <v>8.2322999999999993E-2</v>
      </c>
      <c r="L633" s="39"/>
      <c r="M633" s="37" t="s">
        <v>117</v>
      </c>
      <c r="N633" s="40">
        <v>2E-3</v>
      </c>
      <c r="O633" s="38">
        <v>1.7520000000000001E-3</v>
      </c>
      <c r="P633" s="39"/>
      <c r="Q633" s="39"/>
      <c r="R633" s="40">
        <v>2E-3</v>
      </c>
      <c r="S633" s="38">
        <v>1.7520000000000001E-3</v>
      </c>
      <c r="T633" s="39"/>
      <c r="U633" s="39"/>
      <c r="V633" s="8">
        <f t="shared" si="10"/>
        <v>2023</v>
      </c>
    </row>
    <row r="634" spans="1:22" hidden="1" x14ac:dyDescent="0.25">
      <c r="A634" s="36">
        <v>45017</v>
      </c>
      <c r="B634" s="37" t="s">
        <v>27</v>
      </c>
      <c r="C634" s="37" t="s">
        <v>123</v>
      </c>
      <c r="D634" s="37" t="s">
        <v>63</v>
      </c>
      <c r="E634" s="37" t="s">
        <v>7</v>
      </c>
      <c r="F634" s="37" t="s">
        <v>134</v>
      </c>
      <c r="G634" s="37" t="s">
        <v>135</v>
      </c>
      <c r="H634" s="37" t="s">
        <v>136</v>
      </c>
      <c r="I634" s="37" t="s">
        <v>127</v>
      </c>
      <c r="J634" s="37" t="s">
        <v>36</v>
      </c>
      <c r="K634" s="38">
        <v>64.813813999999994</v>
      </c>
      <c r="L634" s="39"/>
      <c r="M634" s="37" t="s">
        <v>117</v>
      </c>
      <c r="N634" s="40">
        <v>33.725000000000001</v>
      </c>
      <c r="O634" s="38">
        <v>33.724876000000002</v>
      </c>
      <c r="P634" s="39"/>
      <c r="Q634" s="39"/>
      <c r="R634" s="40">
        <v>33.725000000000001</v>
      </c>
      <c r="S634" s="38">
        <v>33.724876000000002</v>
      </c>
      <c r="T634" s="39"/>
      <c r="U634" s="39"/>
      <c r="V634" s="8">
        <f t="shared" si="10"/>
        <v>2023</v>
      </c>
    </row>
    <row r="635" spans="1:22" hidden="1" x14ac:dyDescent="0.25">
      <c r="A635" s="36">
        <v>45047</v>
      </c>
      <c r="B635" s="37" t="s">
        <v>26</v>
      </c>
      <c r="C635" s="37" t="s">
        <v>123</v>
      </c>
      <c r="D635" s="37" t="s">
        <v>63</v>
      </c>
      <c r="E635" s="37" t="s">
        <v>7</v>
      </c>
      <c r="F635" s="37" t="s">
        <v>134</v>
      </c>
      <c r="G635" s="37" t="s">
        <v>135</v>
      </c>
      <c r="H635" s="37" t="s">
        <v>136</v>
      </c>
      <c r="I635" s="37" t="s">
        <v>127</v>
      </c>
      <c r="J635" s="37" t="s">
        <v>36</v>
      </c>
      <c r="K635" s="38">
        <v>8.2322999999999993E-2</v>
      </c>
      <c r="L635" s="39"/>
      <c r="M635" s="37" t="s">
        <v>117</v>
      </c>
      <c r="N635" s="40">
        <v>2E-3</v>
      </c>
      <c r="O635" s="38">
        <v>1.7520000000000001E-3</v>
      </c>
      <c r="P635" s="39"/>
      <c r="Q635" s="39"/>
      <c r="R635" s="40">
        <v>2E-3</v>
      </c>
      <c r="S635" s="38">
        <v>1.7520000000000001E-3</v>
      </c>
      <c r="T635" s="39"/>
      <c r="U635" s="39"/>
      <c r="V635" s="8">
        <f t="shared" si="10"/>
        <v>2023</v>
      </c>
    </row>
    <row r="636" spans="1:22" hidden="1" x14ac:dyDescent="0.25">
      <c r="A636" s="36">
        <v>45047</v>
      </c>
      <c r="B636" s="37" t="s">
        <v>27</v>
      </c>
      <c r="C636" s="37" t="s">
        <v>123</v>
      </c>
      <c r="D636" s="37" t="s">
        <v>63</v>
      </c>
      <c r="E636" s="37" t="s">
        <v>7</v>
      </c>
      <c r="F636" s="37" t="s">
        <v>134</v>
      </c>
      <c r="G636" s="37" t="s">
        <v>135</v>
      </c>
      <c r="H636" s="37" t="s">
        <v>136</v>
      </c>
      <c r="I636" s="37" t="s">
        <v>127</v>
      </c>
      <c r="J636" s="37" t="s">
        <v>36</v>
      </c>
      <c r="K636" s="38">
        <v>90.739339000000001</v>
      </c>
      <c r="L636" s="39"/>
      <c r="M636" s="37" t="s">
        <v>117</v>
      </c>
      <c r="N636" s="40">
        <v>47.215000000000003</v>
      </c>
      <c r="O636" s="38">
        <v>47.214827</v>
      </c>
      <c r="P636" s="39"/>
      <c r="Q636" s="39"/>
      <c r="R636" s="40">
        <v>47.215000000000003</v>
      </c>
      <c r="S636" s="38">
        <v>47.214827</v>
      </c>
      <c r="T636" s="39"/>
      <c r="U636" s="39"/>
      <c r="V636" s="8">
        <f t="shared" si="10"/>
        <v>2023</v>
      </c>
    </row>
    <row r="637" spans="1:22" hidden="1" x14ac:dyDescent="0.25">
      <c r="A637" s="36">
        <v>45078</v>
      </c>
      <c r="B637" s="37" t="s">
        <v>26</v>
      </c>
      <c r="C637" s="37" t="s">
        <v>123</v>
      </c>
      <c r="D637" s="37" t="s">
        <v>63</v>
      </c>
      <c r="E637" s="37" t="s">
        <v>7</v>
      </c>
      <c r="F637" s="37" t="s">
        <v>134</v>
      </c>
      <c r="G637" s="37" t="s">
        <v>135</v>
      </c>
      <c r="H637" s="37" t="s">
        <v>136</v>
      </c>
      <c r="I637" s="37" t="s">
        <v>127</v>
      </c>
      <c r="J637" s="37" t="s">
        <v>36</v>
      </c>
      <c r="K637" s="38">
        <v>8.2322999999999993E-2</v>
      </c>
      <c r="L637" s="39"/>
      <c r="M637" s="37" t="s">
        <v>117</v>
      </c>
      <c r="N637" s="40">
        <v>2E-3</v>
      </c>
      <c r="O637" s="38">
        <v>1.7520000000000001E-3</v>
      </c>
      <c r="P637" s="39"/>
      <c r="Q637" s="39"/>
      <c r="R637" s="40">
        <v>2E-3</v>
      </c>
      <c r="S637" s="38">
        <v>1.7520000000000001E-3</v>
      </c>
      <c r="T637" s="39"/>
      <c r="U637" s="39"/>
      <c r="V637" s="8">
        <f t="shared" si="10"/>
        <v>2023</v>
      </c>
    </row>
    <row r="638" spans="1:22" hidden="1" x14ac:dyDescent="0.25">
      <c r="A638" s="36">
        <v>45078</v>
      </c>
      <c r="B638" s="37" t="s">
        <v>27</v>
      </c>
      <c r="C638" s="37" t="s">
        <v>123</v>
      </c>
      <c r="D638" s="37" t="s">
        <v>63</v>
      </c>
      <c r="E638" s="37" t="s">
        <v>7</v>
      </c>
      <c r="F638" s="37" t="s">
        <v>134</v>
      </c>
      <c r="G638" s="37" t="s">
        <v>135</v>
      </c>
      <c r="H638" s="37" t="s">
        <v>136</v>
      </c>
      <c r="I638" s="37" t="s">
        <v>127</v>
      </c>
      <c r="J638" s="37" t="s">
        <v>36</v>
      </c>
      <c r="K638" s="38">
        <v>90.739339000000001</v>
      </c>
      <c r="L638" s="39"/>
      <c r="M638" s="37" t="s">
        <v>117</v>
      </c>
      <c r="N638" s="40">
        <v>47.215000000000003</v>
      </c>
      <c r="O638" s="38">
        <v>47.214827</v>
      </c>
      <c r="P638" s="39"/>
      <c r="Q638" s="39"/>
      <c r="R638" s="40">
        <v>47.215000000000003</v>
      </c>
      <c r="S638" s="38">
        <v>47.214827</v>
      </c>
      <c r="T638" s="39"/>
      <c r="U638" s="39"/>
      <c r="V638" s="8">
        <f t="shared" si="10"/>
        <v>2023</v>
      </c>
    </row>
    <row r="639" spans="1:22" hidden="1" x14ac:dyDescent="0.25">
      <c r="A639" s="36">
        <v>45108</v>
      </c>
      <c r="B639" s="37" t="s">
        <v>26</v>
      </c>
      <c r="C639" s="37" t="s">
        <v>123</v>
      </c>
      <c r="D639" s="37" t="s">
        <v>63</v>
      </c>
      <c r="E639" s="37" t="s">
        <v>7</v>
      </c>
      <c r="F639" s="37" t="s">
        <v>134</v>
      </c>
      <c r="G639" s="37" t="s">
        <v>135</v>
      </c>
      <c r="H639" s="37" t="s">
        <v>136</v>
      </c>
      <c r="I639" s="37" t="s">
        <v>127</v>
      </c>
      <c r="J639" s="37" t="s">
        <v>36</v>
      </c>
      <c r="K639" s="38">
        <v>8.2322999999999993E-2</v>
      </c>
      <c r="L639" s="39"/>
      <c r="M639" s="37" t="s">
        <v>117</v>
      </c>
      <c r="N639" s="40">
        <v>2E-3</v>
      </c>
      <c r="O639" s="38">
        <v>1.7520000000000001E-3</v>
      </c>
      <c r="P639" s="39"/>
      <c r="Q639" s="39"/>
      <c r="R639" s="40">
        <v>2E-3</v>
      </c>
      <c r="S639" s="38">
        <v>1.7520000000000001E-3</v>
      </c>
      <c r="T639" s="39"/>
      <c r="U639" s="39"/>
      <c r="V639" s="8">
        <f t="shared" si="10"/>
        <v>2023</v>
      </c>
    </row>
    <row r="640" spans="1:22" hidden="1" x14ac:dyDescent="0.25">
      <c r="A640" s="36">
        <v>45108</v>
      </c>
      <c r="B640" s="37" t="s">
        <v>27</v>
      </c>
      <c r="C640" s="37" t="s">
        <v>123</v>
      </c>
      <c r="D640" s="37" t="s">
        <v>63</v>
      </c>
      <c r="E640" s="37" t="s">
        <v>7</v>
      </c>
      <c r="F640" s="37" t="s">
        <v>134</v>
      </c>
      <c r="G640" s="37" t="s">
        <v>135</v>
      </c>
      <c r="H640" s="37" t="s">
        <v>136</v>
      </c>
      <c r="I640" s="37" t="s">
        <v>127</v>
      </c>
      <c r="J640" s="37" t="s">
        <v>36</v>
      </c>
      <c r="K640" s="38">
        <v>90.739339000000001</v>
      </c>
      <c r="L640" s="39"/>
      <c r="M640" s="37" t="s">
        <v>117</v>
      </c>
      <c r="N640" s="40">
        <v>47.215000000000003</v>
      </c>
      <c r="O640" s="38">
        <v>47.214827</v>
      </c>
      <c r="P640" s="39"/>
      <c r="Q640" s="39"/>
      <c r="R640" s="40">
        <v>47.215000000000003</v>
      </c>
      <c r="S640" s="38">
        <v>47.214827</v>
      </c>
      <c r="T640" s="39"/>
      <c r="U640" s="39"/>
      <c r="V640" s="8">
        <f t="shared" si="10"/>
        <v>2023</v>
      </c>
    </row>
    <row r="641" spans="1:22" hidden="1" x14ac:dyDescent="0.25">
      <c r="A641" s="36">
        <v>45139</v>
      </c>
      <c r="B641" s="37" t="s">
        <v>26</v>
      </c>
      <c r="C641" s="37" t="s">
        <v>123</v>
      </c>
      <c r="D641" s="37" t="s">
        <v>63</v>
      </c>
      <c r="E641" s="37" t="s">
        <v>7</v>
      </c>
      <c r="F641" s="37" t="s">
        <v>134</v>
      </c>
      <c r="G641" s="37" t="s">
        <v>135</v>
      </c>
      <c r="H641" s="37" t="s">
        <v>136</v>
      </c>
      <c r="I641" s="37" t="s">
        <v>127</v>
      </c>
      <c r="J641" s="37" t="s">
        <v>36</v>
      </c>
      <c r="K641" s="38">
        <v>8.2322999999999993E-2</v>
      </c>
      <c r="L641" s="39"/>
      <c r="M641" s="37" t="s">
        <v>117</v>
      </c>
      <c r="N641" s="40">
        <v>2E-3</v>
      </c>
      <c r="O641" s="38">
        <v>1.7520000000000001E-3</v>
      </c>
      <c r="P641" s="39"/>
      <c r="Q641" s="39"/>
      <c r="R641" s="40">
        <v>2E-3</v>
      </c>
      <c r="S641" s="38">
        <v>1.7520000000000001E-3</v>
      </c>
      <c r="T641" s="39"/>
      <c r="U641" s="39"/>
      <c r="V641" s="8">
        <f t="shared" si="10"/>
        <v>2023</v>
      </c>
    </row>
    <row r="642" spans="1:22" hidden="1" x14ac:dyDescent="0.25">
      <c r="A642" s="36">
        <v>45139</v>
      </c>
      <c r="B642" s="37" t="s">
        <v>27</v>
      </c>
      <c r="C642" s="37" t="s">
        <v>123</v>
      </c>
      <c r="D642" s="37" t="s">
        <v>63</v>
      </c>
      <c r="E642" s="37" t="s">
        <v>7</v>
      </c>
      <c r="F642" s="37" t="s">
        <v>134</v>
      </c>
      <c r="G642" s="37" t="s">
        <v>135</v>
      </c>
      <c r="H642" s="37" t="s">
        <v>136</v>
      </c>
      <c r="I642" s="37" t="s">
        <v>127</v>
      </c>
      <c r="J642" s="37" t="s">
        <v>36</v>
      </c>
      <c r="K642" s="38">
        <v>90.739339000000001</v>
      </c>
      <c r="L642" s="39"/>
      <c r="M642" s="37" t="s">
        <v>117</v>
      </c>
      <c r="N642" s="40">
        <v>47.215000000000003</v>
      </c>
      <c r="O642" s="38">
        <v>47.214827</v>
      </c>
      <c r="P642" s="39"/>
      <c r="Q642" s="39"/>
      <c r="R642" s="40">
        <v>47.215000000000003</v>
      </c>
      <c r="S642" s="38">
        <v>47.214827</v>
      </c>
      <c r="T642" s="39"/>
      <c r="U642" s="39"/>
      <c r="V642" s="8">
        <f t="shared" si="10"/>
        <v>2023</v>
      </c>
    </row>
    <row r="643" spans="1:22" hidden="1" x14ac:dyDescent="0.25">
      <c r="A643" s="36">
        <v>45170</v>
      </c>
      <c r="B643" s="37" t="s">
        <v>26</v>
      </c>
      <c r="C643" s="37" t="s">
        <v>123</v>
      </c>
      <c r="D643" s="37" t="s">
        <v>63</v>
      </c>
      <c r="E643" s="37" t="s">
        <v>7</v>
      </c>
      <c r="F643" s="37" t="s">
        <v>134</v>
      </c>
      <c r="G643" s="37" t="s">
        <v>135</v>
      </c>
      <c r="H643" s="37" t="s">
        <v>136</v>
      </c>
      <c r="I643" s="37" t="s">
        <v>127</v>
      </c>
      <c r="J643" s="37" t="s">
        <v>36</v>
      </c>
      <c r="K643" s="38">
        <v>8.2322999999999993E-2</v>
      </c>
      <c r="L643" s="39"/>
      <c r="M643" s="37" t="s">
        <v>117</v>
      </c>
      <c r="N643" s="40">
        <v>2E-3</v>
      </c>
      <c r="O643" s="38">
        <v>1.7520000000000001E-3</v>
      </c>
      <c r="P643" s="39"/>
      <c r="Q643" s="39"/>
      <c r="R643" s="40">
        <v>2E-3</v>
      </c>
      <c r="S643" s="38">
        <v>1.7520000000000001E-3</v>
      </c>
      <c r="T643" s="39"/>
      <c r="U643" s="39"/>
      <c r="V643" s="8">
        <f t="shared" si="10"/>
        <v>2023</v>
      </c>
    </row>
    <row r="644" spans="1:22" hidden="1" x14ac:dyDescent="0.25">
      <c r="A644" s="36">
        <v>45200</v>
      </c>
      <c r="B644" s="37" t="s">
        <v>26</v>
      </c>
      <c r="C644" s="37" t="s">
        <v>123</v>
      </c>
      <c r="D644" s="37" t="s">
        <v>63</v>
      </c>
      <c r="E644" s="37" t="s">
        <v>7</v>
      </c>
      <c r="F644" s="37" t="s">
        <v>134</v>
      </c>
      <c r="G644" s="37" t="s">
        <v>135</v>
      </c>
      <c r="H644" s="37" t="s">
        <v>136</v>
      </c>
      <c r="I644" s="37" t="s">
        <v>127</v>
      </c>
      <c r="J644" s="37" t="s">
        <v>36</v>
      </c>
      <c r="K644" s="38">
        <v>8.2322999999999993E-2</v>
      </c>
      <c r="L644" s="39"/>
      <c r="M644" s="37" t="s">
        <v>117</v>
      </c>
      <c r="N644" s="40">
        <v>2E-3</v>
      </c>
      <c r="O644" s="38">
        <v>1.7520000000000001E-3</v>
      </c>
      <c r="P644" s="39"/>
      <c r="Q644" s="39"/>
      <c r="R644" s="40">
        <v>2E-3</v>
      </c>
      <c r="S644" s="38">
        <v>1.7520000000000001E-3</v>
      </c>
      <c r="T644" s="39"/>
      <c r="U644" s="39"/>
      <c r="V644" s="8">
        <f t="shared" si="10"/>
        <v>2023</v>
      </c>
    </row>
    <row r="645" spans="1:22" hidden="1" x14ac:dyDescent="0.25">
      <c r="A645" s="36">
        <v>45200</v>
      </c>
      <c r="B645" s="37" t="s">
        <v>27</v>
      </c>
      <c r="C645" s="37" t="s">
        <v>123</v>
      </c>
      <c r="D645" s="37" t="s">
        <v>63</v>
      </c>
      <c r="E645" s="37" t="s">
        <v>7</v>
      </c>
      <c r="F645" s="37" t="s">
        <v>134</v>
      </c>
      <c r="G645" s="37" t="s">
        <v>135</v>
      </c>
      <c r="H645" s="37" t="s">
        <v>136</v>
      </c>
      <c r="I645" s="37" t="s">
        <v>127</v>
      </c>
      <c r="J645" s="37" t="s">
        <v>36</v>
      </c>
      <c r="K645" s="38">
        <v>64.813813999999994</v>
      </c>
      <c r="L645" s="39"/>
      <c r="M645" s="37" t="s">
        <v>117</v>
      </c>
      <c r="N645" s="40">
        <v>33.725000000000001</v>
      </c>
      <c r="O645" s="38">
        <v>33.724876000000002</v>
      </c>
      <c r="P645" s="39"/>
      <c r="Q645" s="39"/>
      <c r="R645" s="40">
        <v>33.725000000000001</v>
      </c>
      <c r="S645" s="38">
        <v>33.724876000000002</v>
      </c>
      <c r="T645" s="39"/>
      <c r="U645" s="39"/>
      <c r="V645" s="8">
        <f t="shared" si="10"/>
        <v>2023</v>
      </c>
    </row>
    <row r="646" spans="1:22" hidden="1" x14ac:dyDescent="0.25">
      <c r="A646" s="36">
        <v>45231</v>
      </c>
      <c r="B646" s="37" t="s">
        <v>26</v>
      </c>
      <c r="C646" s="37" t="s">
        <v>123</v>
      </c>
      <c r="D646" s="37" t="s">
        <v>63</v>
      </c>
      <c r="E646" s="37" t="s">
        <v>7</v>
      </c>
      <c r="F646" s="37" t="s">
        <v>134</v>
      </c>
      <c r="G646" s="37" t="s">
        <v>135</v>
      </c>
      <c r="H646" s="37" t="s">
        <v>136</v>
      </c>
      <c r="I646" s="37" t="s">
        <v>127</v>
      </c>
      <c r="J646" s="37" t="s">
        <v>36</v>
      </c>
      <c r="K646" s="38">
        <v>8.2322999999999993E-2</v>
      </c>
      <c r="L646" s="39"/>
      <c r="M646" s="37" t="s">
        <v>117</v>
      </c>
      <c r="N646" s="40">
        <v>2E-3</v>
      </c>
      <c r="O646" s="38">
        <v>1.7520000000000001E-3</v>
      </c>
      <c r="P646" s="39"/>
      <c r="Q646" s="39"/>
      <c r="R646" s="40">
        <v>2E-3</v>
      </c>
      <c r="S646" s="38">
        <v>1.7520000000000001E-3</v>
      </c>
      <c r="T646" s="39"/>
      <c r="U646" s="39"/>
      <c r="V646" s="8">
        <f t="shared" si="10"/>
        <v>2023</v>
      </c>
    </row>
    <row r="647" spans="1:22" hidden="1" x14ac:dyDescent="0.25">
      <c r="A647" s="36">
        <v>45231</v>
      </c>
      <c r="B647" s="37" t="s">
        <v>27</v>
      </c>
      <c r="C647" s="37" t="s">
        <v>123</v>
      </c>
      <c r="D647" s="37" t="s">
        <v>63</v>
      </c>
      <c r="E647" s="37" t="s">
        <v>7</v>
      </c>
      <c r="F647" s="37" t="s">
        <v>134</v>
      </c>
      <c r="G647" s="37" t="s">
        <v>135</v>
      </c>
      <c r="H647" s="37" t="s">
        <v>136</v>
      </c>
      <c r="I647" s="37" t="s">
        <v>127</v>
      </c>
      <c r="J647" s="37" t="s">
        <v>36</v>
      </c>
      <c r="K647" s="38">
        <v>64.813813999999994</v>
      </c>
      <c r="L647" s="39"/>
      <c r="M647" s="37" t="s">
        <v>117</v>
      </c>
      <c r="N647" s="40">
        <v>33.725000000000001</v>
      </c>
      <c r="O647" s="38">
        <v>33.724876000000002</v>
      </c>
      <c r="P647" s="39"/>
      <c r="Q647" s="39"/>
      <c r="R647" s="40">
        <v>33.725000000000001</v>
      </c>
      <c r="S647" s="38">
        <v>33.724876000000002</v>
      </c>
      <c r="T647" s="39"/>
      <c r="U647" s="39"/>
      <c r="V647" s="8">
        <f t="shared" si="10"/>
        <v>2023</v>
      </c>
    </row>
    <row r="648" spans="1:22" hidden="1" x14ac:dyDescent="0.25">
      <c r="A648" s="36">
        <v>45231</v>
      </c>
      <c r="B648" s="37" t="s">
        <v>29</v>
      </c>
      <c r="C648" s="37" t="s">
        <v>123</v>
      </c>
      <c r="D648" s="37" t="s">
        <v>63</v>
      </c>
      <c r="E648" s="37" t="s">
        <v>7</v>
      </c>
      <c r="F648" s="37" t="s">
        <v>134</v>
      </c>
      <c r="G648" s="37" t="s">
        <v>135</v>
      </c>
      <c r="H648" s="37" t="s">
        <v>136</v>
      </c>
      <c r="I648" s="37" t="s">
        <v>127</v>
      </c>
      <c r="J648" s="37" t="s">
        <v>36</v>
      </c>
      <c r="K648" s="38">
        <v>0</v>
      </c>
      <c r="L648" s="42">
        <v>378</v>
      </c>
      <c r="M648" s="37" t="s">
        <v>117</v>
      </c>
      <c r="N648" s="40">
        <v>0</v>
      </c>
      <c r="O648" s="38">
        <v>0</v>
      </c>
      <c r="P648" s="39"/>
      <c r="Q648" s="39"/>
      <c r="R648" s="40">
        <v>0</v>
      </c>
      <c r="S648" s="38">
        <v>0</v>
      </c>
      <c r="T648" s="39"/>
      <c r="U648" s="39"/>
      <c r="V648" s="8">
        <f t="shared" si="10"/>
        <v>2023</v>
      </c>
    </row>
    <row r="649" spans="1:22" hidden="1" x14ac:dyDescent="0.25">
      <c r="A649" s="36">
        <v>45261</v>
      </c>
      <c r="B649" s="37" t="s">
        <v>25</v>
      </c>
      <c r="C649" s="37" t="s">
        <v>123</v>
      </c>
      <c r="D649" s="37" t="s">
        <v>63</v>
      </c>
      <c r="E649" s="37" t="s">
        <v>7</v>
      </c>
      <c r="F649" s="37" t="s">
        <v>134</v>
      </c>
      <c r="G649" s="37" t="s">
        <v>135</v>
      </c>
      <c r="H649" s="37" t="s">
        <v>136</v>
      </c>
      <c r="I649" s="37" t="s">
        <v>127</v>
      </c>
      <c r="J649" s="37" t="s">
        <v>36</v>
      </c>
      <c r="K649" s="38">
        <v>62.174309000000001</v>
      </c>
      <c r="L649" s="39"/>
      <c r="M649" s="37" t="s">
        <v>117</v>
      </c>
      <c r="N649" s="40">
        <v>32.350999999999999</v>
      </c>
      <c r="O649" s="38">
        <v>32.351452999999999</v>
      </c>
      <c r="P649" s="39"/>
      <c r="Q649" s="39"/>
      <c r="R649" s="40">
        <v>32.350999999999999</v>
      </c>
      <c r="S649" s="38">
        <v>32.351452999999999</v>
      </c>
      <c r="T649" s="39"/>
      <c r="U649" s="39"/>
      <c r="V649" s="8">
        <f t="shared" si="10"/>
        <v>2023</v>
      </c>
    </row>
    <row r="650" spans="1:22" hidden="1" x14ac:dyDescent="0.25">
      <c r="A650" s="36">
        <v>45261</v>
      </c>
      <c r="B650" s="37" t="s">
        <v>26</v>
      </c>
      <c r="C650" s="37" t="s">
        <v>123</v>
      </c>
      <c r="D650" s="37" t="s">
        <v>63</v>
      </c>
      <c r="E650" s="37" t="s">
        <v>7</v>
      </c>
      <c r="F650" s="37" t="s">
        <v>134</v>
      </c>
      <c r="G650" s="37" t="s">
        <v>135</v>
      </c>
      <c r="H650" s="37" t="s">
        <v>136</v>
      </c>
      <c r="I650" s="37" t="s">
        <v>127</v>
      </c>
      <c r="J650" s="37" t="s">
        <v>36</v>
      </c>
      <c r="K650" s="38">
        <v>8.2322999999999993E-2</v>
      </c>
      <c r="L650" s="39"/>
      <c r="M650" s="37" t="s">
        <v>117</v>
      </c>
      <c r="N650" s="40">
        <v>2E-3</v>
      </c>
      <c r="O650" s="38">
        <v>1.7520000000000001E-3</v>
      </c>
      <c r="P650" s="39"/>
      <c r="Q650" s="39"/>
      <c r="R650" s="40">
        <v>2E-3</v>
      </c>
      <c r="S650" s="38">
        <v>1.7520000000000001E-3</v>
      </c>
      <c r="T650" s="39"/>
      <c r="U650" s="39"/>
      <c r="V650" s="8">
        <f t="shared" si="10"/>
        <v>2023</v>
      </c>
    </row>
    <row r="651" spans="1:22" hidden="1" x14ac:dyDescent="0.25">
      <c r="A651" s="36">
        <v>45261</v>
      </c>
      <c r="B651" s="37" t="s">
        <v>27</v>
      </c>
      <c r="C651" s="37" t="s">
        <v>123</v>
      </c>
      <c r="D651" s="37" t="s">
        <v>63</v>
      </c>
      <c r="E651" s="37" t="s">
        <v>7</v>
      </c>
      <c r="F651" s="37" t="s">
        <v>134</v>
      </c>
      <c r="G651" s="37" t="s">
        <v>135</v>
      </c>
      <c r="H651" s="37" t="s">
        <v>136</v>
      </c>
      <c r="I651" s="37" t="s">
        <v>127</v>
      </c>
      <c r="J651" s="37" t="s">
        <v>36</v>
      </c>
      <c r="K651" s="38">
        <v>64.813813999999994</v>
      </c>
      <c r="L651" s="39"/>
      <c r="M651" s="37" t="s">
        <v>117</v>
      </c>
      <c r="N651" s="40">
        <v>33.725000000000001</v>
      </c>
      <c r="O651" s="38">
        <v>33.724876000000002</v>
      </c>
      <c r="P651" s="39"/>
      <c r="Q651" s="39"/>
      <c r="R651" s="40">
        <v>33.725000000000001</v>
      </c>
      <c r="S651" s="38">
        <v>33.724876000000002</v>
      </c>
      <c r="T651" s="39"/>
      <c r="U651" s="39"/>
      <c r="V651" s="8">
        <f t="shared" si="10"/>
        <v>2023</v>
      </c>
    </row>
    <row r="652" spans="1:22" hidden="1" x14ac:dyDescent="0.25">
      <c r="A652" s="36">
        <v>45261</v>
      </c>
      <c r="B652" s="37" t="s">
        <v>29</v>
      </c>
      <c r="C652" s="37" t="s">
        <v>123</v>
      </c>
      <c r="D652" s="37" t="s">
        <v>63</v>
      </c>
      <c r="E652" s="37" t="s">
        <v>7</v>
      </c>
      <c r="F652" s="37" t="s">
        <v>134</v>
      </c>
      <c r="G652" s="37" t="s">
        <v>135</v>
      </c>
      <c r="H652" s="37" t="s">
        <v>136</v>
      </c>
      <c r="I652" s="37" t="s">
        <v>127</v>
      </c>
      <c r="J652" s="37" t="s">
        <v>36</v>
      </c>
      <c r="K652" s="38">
        <v>0</v>
      </c>
      <c r="L652" s="42">
        <v>29038.25</v>
      </c>
      <c r="M652" s="37" t="s">
        <v>117</v>
      </c>
      <c r="N652" s="40">
        <v>0</v>
      </c>
      <c r="O652" s="38">
        <v>0</v>
      </c>
      <c r="P652" s="39"/>
      <c r="Q652" s="39"/>
      <c r="R652" s="40">
        <v>0</v>
      </c>
      <c r="S652" s="38">
        <v>0</v>
      </c>
      <c r="T652" s="39"/>
      <c r="U652" s="39"/>
      <c r="V652" s="8">
        <f t="shared" si="10"/>
        <v>2023</v>
      </c>
    </row>
    <row r="653" spans="1:22" ht="20.399999999999999" hidden="1" x14ac:dyDescent="0.25">
      <c r="A653" s="36">
        <v>44562</v>
      </c>
      <c r="B653" s="37" t="s">
        <v>19</v>
      </c>
      <c r="C653" s="37" t="s">
        <v>123</v>
      </c>
      <c r="D653" s="37" t="s">
        <v>64</v>
      </c>
      <c r="E653" s="37" t="s">
        <v>5</v>
      </c>
      <c r="F653" s="37" t="s">
        <v>137</v>
      </c>
      <c r="G653" s="37" t="s">
        <v>64</v>
      </c>
      <c r="H653" s="37" t="s">
        <v>138</v>
      </c>
      <c r="I653" s="37" t="s">
        <v>127</v>
      </c>
      <c r="J653" s="37" t="s">
        <v>34</v>
      </c>
      <c r="K653" s="38">
        <v>53.768847999999998</v>
      </c>
      <c r="L653" s="39"/>
      <c r="M653" s="37"/>
      <c r="N653" s="40">
        <v>9.7449999999999992</v>
      </c>
      <c r="O653" s="38">
        <v>9.7347549999999998</v>
      </c>
      <c r="P653" s="38">
        <v>5.0090000000000004E-3</v>
      </c>
      <c r="Q653" s="38">
        <v>5.4669999999999996E-3</v>
      </c>
      <c r="R653" s="40">
        <v>9.7449999999999992</v>
      </c>
      <c r="S653" s="38">
        <v>9.7347549999999998</v>
      </c>
      <c r="T653" s="38">
        <v>5.0090000000000004E-3</v>
      </c>
      <c r="U653" s="38">
        <v>5.4669999999999996E-3</v>
      </c>
      <c r="V653" s="8">
        <f t="shared" si="10"/>
        <v>2022</v>
      </c>
    </row>
    <row r="654" spans="1:22" ht="20.399999999999999" hidden="1" x14ac:dyDescent="0.25">
      <c r="A654" s="36">
        <v>44562</v>
      </c>
      <c r="B654" s="37" t="s">
        <v>20</v>
      </c>
      <c r="C654" s="37" t="s">
        <v>123</v>
      </c>
      <c r="D654" s="37" t="s">
        <v>64</v>
      </c>
      <c r="E654" s="37" t="s">
        <v>5</v>
      </c>
      <c r="F654" s="37" t="s">
        <v>137</v>
      </c>
      <c r="G654" s="37" t="s">
        <v>64</v>
      </c>
      <c r="H654" s="37" t="s">
        <v>138</v>
      </c>
      <c r="I654" s="37" t="s">
        <v>127</v>
      </c>
      <c r="J654" s="37" t="s">
        <v>34</v>
      </c>
      <c r="K654" s="38">
        <v>0</v>
      </c>
      <c r="L654" s="39"/>
      <c r="M654" s="37"/>
      <c r="N654" s="40">
        <v>0</v>
      </c>
      <c r="O654" s="38">
        <v>0</v>
      </c>
      <c r="P654" s="38">
        <v>0</v>
      </c>
      <c r="Q654" s="38">
        <v>0</v>
      </c>
      <c r="R654" s="39" t="s">
        <v>117</v>
      </c>
      <c r="S654" s="39"/>
      <c r="T654" s="39"/>
      <c r="U654" s="39"/>
      <c r="V654" s="8">
        <f t="shared" si="10"/>
        <v>2022</v>
      </c>
    </row>
    <row r="655" spans="1:22" ht="20.399999999999999" hidden="1" x14ac:dyDescent="0.25">
      <c r="A655" s="36">
        <v>44593</v>
      </c>
      <c r="B655" s="37" t="s">
        <v>19</v>
      </c>
      <c r="C655" s="37" t="s">
        <v>123</v>
      </c>
      <c r="D655" s="37" t="s">
        <v>64</v>
      </c>
      <c r="E655" s="37" t="s">
        <v>5</v>
      </c>
      <c r="F655" s="37" t="s">
        <v>137</v>
      </c>
      <c r="G655" s="37" t="s">
        <v>64</v>
      </c>
      <c r="H655" s="37" t="s">
        <v>138</v>
      </c>
      <c r="I655" s="37" t="s">
        <v>127</v>
      </c>
      <c r="J655" s="37" t="s">
        <v>34</v>
      </c>
      <c r="K655" s="38">
        <v>53.768847999999998</v>
      </c>
      <c r="L655" s="39"/>
      <c r="M655" s="37"/>
      <c r="N655" s="40">
        <v>9.7449999999999992</v>
      </c>
      <c r="O655" s="38">
        <v>9.7347549999999998</v>
      </c>
      <c r="P655" s="38">
        <v>5.0090000000000004E-3</v>
      </c>
      <c r="Q655" s="38">
        <v>5.4669999999999996E-3</v>
      </c>
      <c r="R655" s="40">
        <v>9.7449999999999992</v>
      </c>
      <c r="S655" s="38">
        <v>9.7347549999999998</v>
      </c>
      <c r="T655" s="38">
        <v>5.0090000000000004E-3</v>
      </c>
      <c r="U655" s="38">
        <v>5.4669999999999996E-3</v>
      </c>
      <c r="V655" s="8">
        <f t="shared" si="10"/>
        <v>2022</v>
      </c>
    </row>
    <row r="656" spans="1:22" ht="20.399999999999999" hidden="1" x14ac:dyDescent="0.25">
      <c r="A656" s="36">
        <v>44593</v>
      </c>
      <c r="B656" s="37" t="s">
        <v>20</v>
      </c>
      <c r="C656" s="37" t="s">
        <v>123</v>
      </c>
      <c r="D656" s="37" t="s">
        <v>64</v>
      </c>
      <c r="E656" s="37" t="s">
        <v>5</v>
      </c>
      <c r="F656" s="37" t="s">
        <v>137</v>
      </c>
      <c r="G656" s="37" t="s">
        <v>64</v>
      </c>
      <c r="H656" s="37" t="s">
        <v>138</v>
      </c>
      <c r="I656" s="37" t="s">
        <v>127</v>
      </c>
      <c r="J656" s="37" t="s">
        <v>34</v>
      </c>
      <c r="K656" s="38">
        <v>0</v>
      </c>
      <c r="L656" s="39"/>
      <c r="M656" s="37"/>
      <c r="N656" s="40">
        <v>0</v>
      </c>
      <c r="O656" s="38">
        <v>0</v>
      </c>
      <c r="P656" s="38">
        <v>0</v>
      </c>
      <c r="Q656" s="38">
        <v>0</v>
      </c>
      <c r="R656" s="39" t="s">
        <v>117</v>
      </c>
      <c r="S656" s="39"/>
      <c r="T656" s="39"/>
      <c r="U656" s="39"/>
      <c r="V656" s="8">
        <f t="shared" si="10"/>
        <v>2022</v>
      </c>
    </row>
    <row r="657" spans="1:22" ht="20.399999999999999" hidden="1" x14ac:dyDescent="0.25">
      <c r="A657" s="36">
        <v>44621</v>
      </c>
      <c r="B657" s="37" t="s">
        <v>19</v>
      </c>
      <c r="C657" s="37" t="s">
        <v>123</v>
      </c>
      <c r="D657" s="37" t="s">
        <v>64</v>
      </c>
      <c r="E657" s="37" t="s">
        <v>5</v>
      </c>
      <c r="F657" s="37" t="s">
        <v>137</v>
      </c>
      <c r="G657" s="37" t="s">
        <v>64</v>
      </c>
      <c r="H657" s="37" t="s">
        <v>138</v>
      </c>
      <c r="I657" s="37" t="s">
        <v>127</v>
      </c>
      <c r="J657" s="37" t="s">
        <v>34</v>
      </c>
      <c r="K657" s="38">
        <v>53.768847999999998</v>
      </c>
      <c r="L657" s="39"/>
      <c r="M657" s="37"/>
      <c r="N657" s="40">
        <v>9.7449999999999992</v>
      </c>
      <c r="O657" s="38">
        <v>9.7347549999999998</v>
      </c>
      <c r="P657" s="38">
        <v>5.0090000000000004E-3</v>
      </c>
      <c r="Q657" s="38">
        <v>5.4669999999999996E-3</v>
      </c>
      <c r="R657" s="40">
        <v>9.7449999999999992</v>
      </c>
      <c r="S657" s="38">
        <v>9.7347549999999998</v>
      </c>
      <c r="T657" s="38">
        <v>5.0090000000000004E-3</v>
      </c>
      <c r="U657" s="38">
        <v>5.4669999999999996E-3</v>
      </c>
      <c r="V657" s="8">
        <f t="shared" si="10"/>
        <v>2022</v>
      </c>
    </row>
    <row r="658" spans="1:22" ht="20.399999999999999" hidden="1" x14ac:dyDescent="0.25">
      <c r="A658" s="36">
        <v>44621</v>
      </c>
      <c r="B658" s="37" t="s">
        <v>20</v>
      </c>
      <c r="C658" s="37" t="s">
        <v>123</v>
      </c>
      <c r="D658" s="37" t="s">
        <v>64</v>
      </c>
      <c r="E658" s="37" t="s">
        <v>5</v>
      </c>
      <c r="F658" s="37" t="s">
        <v>137</v>
      </c>
      <c r="G658" s="37" t="s">
        <v>64</v>
      </c>
      <c r="H658" s="37" t="s">
        <v>138</v>
      </c>
      <c r="I658" s="37" t="s">
        <v>127</v>
      </c>
      <c r="J658" s="37" t="s">
        <v>34</v>
      </c>
      <c r="K658" s="38">
        <v>0</v>
      </c>
      <c r="L658" s="39"/>
      <c r="M658" s="37"/>
      <c r="N658" s="40">
        <v>0</v>
      </c>
      <c r="O658" s="38">
        <v>0</v>
      </c>
      <c r="P658" s="38">
        <v>0</v>
      </c>
      <c r="Q658" s="38">
        <v>0</v>
      </c>
      <c r="R658" s="39" t="s">
        <v>117</v>
      </c>
      <c r="S658" s="39"/>
      <c r="T658" s="39"/>
      <c r="U658" s="39"/>
      <c r="V658" s="8">
        <f t="shared" si="10"/>
        <v>2022</v>
      </c>
    </row>
    <row r="659" spans="1:22" ht="20.399999999999999" hidden="1" x14ac:dyDescent="0.25">
      <c r="A659" s="36">
        <v>44652</v>
      </c>
      <c r="B659" s="37" t="s">
        <v>19</v>
      </c>
      <c r="C659" s="37" t="s">
        <v>123</v>
      </c>
      <c r="D659" s="37" t="s">
        <v>64</v>
      </c>
      <c r="E659" s="37" t="s">
        <v>5</v>
      </c>
      <c r="F659" s="37" t="s">
        <v>137</v>
      </c>
      <c r="G659" s="37" t="s">
        <v>64</v>
      </c>
      <c r="H659" s="37" t="s">
        <v>138</v>
      </c>
      <c r="I659" s="37" t="s">
        <v>127</v>
      </c>
      <c r="J659" s="37" t="s">
        <v>34</v>
      </c>
      <c r="K659" s="38">
        <v>53.768847999999998</v>
      </c>
      <c r="L659" s="39"/>
      <c r="M659" s="37"/>
      <c r="N659" s="40">
        <v>9.7449999999999992</v>
      </c>
      <c r="O659" s="38">
        <v>9.7347549999999998</v>
      </c>
      <c r="P659" s="38">
        <v>5.0090000000000004E-3</v>
      </c>
      <c r="Q659" s="38">
        <v>5.4669999999999996E-3</v>
      </c>
      <c r="R659" s="40">
        <v>9.7449999999999992</v>
      </c>
      <c r="S659" s="38">
        <v>9.7347549999999998</v>
      </c>
      <c r="T659" s="38">
        <v>5.0090000000000004E-3</v>
      </c>
      <c r="U659" s="38">
        <v>5.4669999999999996E-3</v>
      </c>
      <c r="V659" s="8">
        <f t="shared" si="10"/>
        <v>2022</v>
      </c>
    </row>
    <row r="660" spans="1:22" ht="20.399999999999999" hidden="1" x14ac:dyDescent="0.25">
      <c r="A660" s="36">
        <v>44652</v>
      </c>
      <c r="B660" s="37" t="s">
        <v>20</v>
      </c>
      <c r="C660" s="37" t="s">
        <v>123</v>
      </c>
      <c r="D660" s="37" t="s">
        <v>64</v>
      </c>
      <c r="E660" s="37" t="s">
        <v>5</v>
      </c>
      <c r="F660" s="37" t="s">
        <v>137</v>
      </c>
      <c r="G660" s="37" t="s">
        <v>64</v>
      </c>
      <c r="H660" s="37" t="s">
        <v>138</v>
      </c>
      <c r="I660" s="37" t="s">
        <v>127</v>
      </c>
      <c r="J660" s="37" t="s">
        <v>34</v>
      </c>
      <c r="K660" s="38">
        <v>0</v>
      </c>
      <c r="L660" s="39"/>
      <c r="M660" s="37"/>
      <c r="N660" s="40">
        <v>0</v>
      </c>
      <c r="O660" s="38">
        <v>0</v>
      </c>
      <c r="P660" s="38">
        <v>0</v>
      </c>
      <c r="Q660" s="38">
        <v>0</v>
      </c>
      <c r="R660" s="39" t="s">
        <v>117</v>
      </c>
      <c r="S660" s="39"/>
      <c r="T660" s="39"/>
      <c r="U660" s="39"/>
      <c r="V660" s="8">
        <f t="shared" si="10"/>
        <v>2022</v>
      </c>
    </row>
    <row r="661" spans="1:22" ht="20.399999999999999" hidden="1" x14ac:dyDescent="0.25">
      <c r="A661" s="36">
        <v>44682</v>
      </c>
      <c r="B661" s="37" t="s">
        <v>19</v>
      </c>
      <c r="C661" s="37" t="s">
        <v>123</v>
      </c>
      <c r="D661" s="37" t="s">
        <v>64</v>
      </c>
      <c r="E661" s="37" t="s">
        <v>5</v>
      </c>
      <c r="F661" s="37" t="s">
        <v>137</v>
      </c>
      <c r="G661" s="37" t="s">
        <v>64</v>
      </c>
      <c r="H661" s="37" t="s">
        <v>138</v>
      </c>
      <c r="I661" s="37" t="s">
        <v>127</v>
      </c>
      <c r="J661" s="37" t="s">
        <v>34</v>
      </c>
      <c r="K661" s="38">
        <v>53.768847999999998</v>
      </c>
      <c r="L661" s="39"/>
      <c r="M661" s="37"/>
      <c r="N661" s="40">
        <v>9.7449999999999992</v>
      </c>
      <c r="O661" s="38">
        <v>9.7347549999999998</v>
      </c>
      <c r="P661" s="38">
        <v>5.0090000000000004E-3</v>
      </c>
      <c r="Q661" s="38">
        <v>5.4669999999999996E-3</v>
      </c>
      <c r="R661" s="40">
        <v>9.7449999999999992</v>
      </c>
      <c r="S661" s="38">
        <v>9.7347549999999998</v>
      </c>
      <c r="T661" s="38">
        <v>5.0090000000000004E-3</v>
      </c>
      <c r="U661" s="38">
        <v>5.4669999999999996E-3</v>
      </c>
      <c r="V661" s="8">
        <f t="shared" si="10"/>
        <v>2022</v>
      </c>
    </row>
    <row r="662" spans="1:22" ht="20.399999999999999" hidden="1" x14ac:dyDescent="0.25">
      <c r="A662" s="36">
        <v>44682</v>
      </c>
      <c r="B662" s="37" t="s">
        <v>20</v>
      </c>
      <c r="C662" s="37" t="s">
        <v>123</v>
      </c>
      <c r="D662" s="37" t="s">
        <v>64</v>
      </c>
      <c r="E662" s="37" t="s">
        <v>5</v>
      </c>
      <c r="F662" s="37" t="s">
        <v>137</v>
      </c>
      <c r="G662" s="37" t="s">
        <v>64</v>
      </c>
      <c r="H662" s="37" t="s">
        <v>138</v>
      </c>
      <c r="I662" s="37" t="s">
        <v>127</v>
      </c>
      <c r="J662" s="37" t="s">
        <v>34</v>
      </c>
      <c r="K662" s="38">
        <v>0</v>
      </c>
      <c r="L662" s="39"/>
      <c r="M662" s="37"/>
      <c r="N662" s="40">
        <v>0</v>
      </c>
      <c r="O662" s="38">
        <v>0</v>
      </c>
      <c r="P662" s="38">
        <v>0</v>
      </c>
      <c r="Q662" s="38">
        <v>0</v>
      </c>
      <c r="R662" s="39" t="s">
        <v>117</v>
      </c>
      <c r="S662" s="39"/>
      <c r="T662" s="39"/>
      <c r="U662" s="39"/>
      <c r="V662" s="8">
        <f t="shared" si="10"/>
        <v>2022</v>
      </c>
    </row>
    <row r="663" spans="1:22" ht="20.399999999999999" hidden="1" x14ac:dyDescent="0.25">
      <c r="A663" s="36">
        <v>44713</v>
      </c>
      <c r="B663" s="37" t="s">
        <v>19</v>
      </c>
      <c r="C663" s="37" t="s">
        <v>123</v>
      </c>
      <c r="D663" s="37" t="s">
        <v>64</v>
      </c>
      <c r="E663" s="37" t="s">
        <v>5</v>
      </c>
      <c r="F663" s="37" t="s">
        <v>137</v>
      </c>
      <c r="G663" s="37" t="s">
        <v>64</v>
      </c>
      <c r="H663" s="37" t="s">
        <v>138</v>
      </c>
      <c r="I663" s="37" t="s">
        <v>127</v>
      </c>
      <c r="J663" s="37" t="s">
        <v>34</v>
      </c>
      <c r="K663" s="38">
        <v>53.768847999999998</v>
      </c>
      <c r="L663" s="39"/>
      <c r="M663" s="37"/>
      <c r="N663" s="40">
        <v>9.7449999999999992</v>
      </c>
      <c r="O663" s="38">
        <v>9.7347549999999998</v>
      </c>
      <c r="P663" s="38">
        <v>5.0090000000000004E-3</v>
      </c>
      <c r="Q663" s="38">
        <v>5.4669999999999996E-3</v>
      </c>
      <c r="R663" s="40">
        <v>9.7449999999999992</v>
      </c>
      <c r="S663" s="38">
        <v>9.7347549999999998</v>
      </c>
      <c r="T663" s="38">
        <v>5.0090000000000004E-3</v>
      </c>
      <c r="U663" s="38">
        <v>5.4669999999999996E-3</v>
      </c>
      <c r="V663" s="8">
        <f t="shared" si="10"/>
        <v>2022</v>
      </c>
    </row>
    <row r="664" spans="1:22" ht="20.399999999999999" hidden="1" x14ac:dyDescent="0.25">
      <c r="A664" s="36">
        <v>44713</v>
      </c>
      <c r="B664" s="37" t="s">
        <v>20</v>
      </c>
      <c r="C664" s="37" t="s">
        <v>123</v>
      </c>
      <c r="D664" s="37" t="s">
        <v>64</v>
      </c>
      <c r="E664" s="37" t="s">
        <v>5</v>
      </c>
      <c r="F664" s="37" t="s">
        <v>137</v>
      </c>
      <c r="G664" s="37" t="s">
        <v>64</v>
      </c>
      <c r="H664" s="37" t="s">
        <v>138</v>
      </c>
      <c r="I664" s="37" t="s">
        <v>127</v>
      </c>
      <c r="J664" s="37" t="s">
        <v>34</v>
      </c>
      <c r="K664" s="38">
        <v>0</v>
      </c>
      <c r="L664" s="39"/>
      <c r="M664" s="37"/>
      <c r="N664" s="40">
        <v>0</v>
      </c>
      <c r="O664" s="38">
        <v>0</v>
      </c>
      <c r="P664" s="38">
        <v>0</v>
      </c>
      <c r="Q664" s="38">
        <v>0</v>
      </c>
      <c r="R664" s="39" t="s">
        <v>117</v>
      </c>
      <c r="S664" s="39"/>
      <c r="T664" s="39"/>
      <c r="U664" s="39"/>
      <c r="V664" s="8">
        <f t="shared" si="10"/>
        <v>2022</v>
      </c>
    </row>
    <row r="665" spans="1:22" ht="20.399999999999999" hidden="1" x14ac:dyDescent="0.25">
      <c r="A665" s="36">
        <v>44743</v>
      </c>
      <c r="B665" s="37" t="s">
        <v>19</v>
      </c>
      <c r="C665" s="37" t="s">
        <v>123</v>
      </c>
      <c r="D665" s="37" t="s">
        <v>64</v>
      </c>
      <c r="E665" s="37" t="s">
        <v>5</v>
      </c>
      <c r="F665" s="37" t="s">
        <v>137</v>
      </c>
      <c r="G665" s="37" t="s">
        <v>64</v>
      </c>
      <c r="H665" s="37" t="s">
        <v>138</v>
      </c>
      <c r="I665" s="37" t="s">
        <v>127</v>
      </c>
      <c r="J665" s="37" t="s">
        <v>34</v>
      </c>
      <c r="K665" s="38">
        <v>53.768847999999998</v>
      </c>
      <c r="L665" s="39"/>
      <c r="M665" s="37"/>
      <c r="N665" s="40">
        <v>9.7449999999999992</v>
      </c>
      <c r="O665" s="38">
        <v>9.7347549999999998</v>
      </c>
      <c r="P665" s="38">
        <v>5.0090000000000004E-3</v>
      </c>
      <c r="Q665" s="38">
        <v>5.4669999999999996E-3</v>
      </c>
      <c r="R665" s="40">
        <v>9.7449999999999992</v>
      </c>
      <c r="S665" s="38">
        <v>9.7347549999999998</v>
      </c>
      <c r="T665" s="38">
        <v>5.0090000000000004E-3</v>
      </c>
      <c r="U665" s="38">
        <v>5.4669999999999996E-3</v>
      </c>
      <c r="V665" s="8">
        <f t="shared" si="10"/>
        <v>2022</v>
      </c>
    </row>
    <row r="666" spans="1:22" ht="20.399999999999999" hidden="1" x14ac:dyDescent="0.25">
      <c r="A666" s="36">
        <v>44743</v>
      </c>
      <c r="B666" s="37" t="s">
        <v>20</v>
      </c>
      <c r="C666" s="37" t="s">
        <v>123</v>
      </c>
      <c r="D666" s="37" t="s">
        <v>64</v>
      </c>
      <c r="E666" s="37" t="s">
        <v>5</v>
      </c>
      <c r="F666" s="37" t="s">
        <v>137</v>
      </c>
      <c r="G666" s="37" t="s">
        <v>64</v>
      </c>
      <c r="H666" s="37" t="s">
        <v>138</v>
      </c>
      <c r="I666" s="37" t="s">
        <v>127</v>
      </c>
      <c r="J666" s="37" t="s">
        <v>34</v>
      </c>
      <c r="K666" s="38">
        <v>0</v>
      </c>
      <c r="L666" s="39"/>
      <c r="M666" s="37"/>
      <c r="N666" s="40">
        <v>0</v>
      </c>
      <c r="O666" s="38">
        <v>0</v>
      </c>
      <c r="P666" s="38">
        <v>0</v>
      </c>
      <c r="Q666" s="38">
        <v>0</v>
      </c>
      <c r="R666" s="39" t="s">
        <v>117</v>
      </c>
      <c r="S666" s="39"/>
      <c r="T666" s="39"/>
      <c r="U666" s="39"/>
      <c r="V666" s="8">
        <f t="shared" si="10"/>
        <v>2022</v>
      </c>
    </row>
    <row r="667" spans="1:22" ht="20.399999999999999" hidden="1" x14ac:dyDescent="0.25">
      <c r="A667" s="36">
        <v>44774</v>
      </c>
      <c r="B667" s="37" t="s">
        <v>19</v>
      </c>
      <c r="C667" s="37" t="s">
        <v>123</v>
      </c>
      <c r="D667" s="37" t="s">
        <v>64</v>
      </c>
      <c r="E667" s="37" t="s">
        <v>5</v>
      </c>
      <c r="F667" s="37" t="s">
        <v>137</v>
      </c>
      <c r="G667" s="37" t="s">
        <v>64</v>
      </c>
      <c r="H667" s="37" t="s">
        <v>138</v>
      </c>
      <c r="I667" s="37" t="s">
        <v>127</v>
      </c>
      <c r="J667" s="37" t="s">
        <v>34</v>
      </c>
      <c r="K667" s="38">
        <v>53.768847999999998</v>
      </c>
      <c r="L667" s="39"/>
      <c r="M667" s="37"/>
      <c r="N667" s="40">
        <v>9.7449999999999992</v>
      </c>
      <c r="O667" s="38">
        <v>9.7347549999999998</v>
      </c>
      <c r="P667" s="38">
        <v>5.0090000000000004E-3</v>
      </c>
      <c r="Q667" s="38">
        <v>5.4669999999999996E-3</v>
      </c>
      <c r="R667" s="40">
        <v>9.7449999999999992</v>
      </c>
      <c r="S667" s="38">
        <v>9.7347549999999998</v>
      </c>
      <c r="T667" s="38">
        <v>5.0090000000000004E-3</v>
      </c>
      <c r="U667" s="38">
        <v>5.4669999999999996E-3</v>
      </c>
      <c r="V667" s="8">
        <f t="shared" si="10"/>
        <v>2022</v>
      </c>
    </row>
    <row r="668" spans="1:22" ht="20.399999999999999" hidden="1" x14ac:dyDescent="0.25">
      <c r="A668" s="36">
        <v>44774</v>
      </c>
      <c r="B668" s="37" t="s">
        <v>20</v>
      </c>
      <c r="C668" s="37" t="s">
        <v>123</v>
      </c>
      <c r="D668" s="37" t="s">
        <v>64</v>
      </c>
      <c r="E668" s="37" t="s">
        <v>5</v>
      </c>
      <c r="F668" s="37" t="s">
        <v>137</v>
      </c>
      <c r="G668" s="37" t="s">
        <v>64</v>
      </c>
      <c r="H668" s="37" t="s">
        <v>138</v>
      </c>
      <c r="I668" s="37" t="s">
        <v>127</v>
      </c>
      <c r="J668" s="37" t="s">
        <v>34</v>
      </c>
      <c r="K668" s="38">
        <v>0</v>
      </c>
      <c r="L668" s="39"/>
      <c r="M668" s="37"/>
      <c r="N668" s="40">
        <v>0</v>
      </c>
      <c r="O668" s="38">
        <v>0</v>
      </c>
      <c r="P668" s="38">
        <v>0</v>
      </c>
      <c r="Q668" s="38">
        <v>0</v>
      </c>
      <c r="R668" s="39" t="s">
        <v>117</v>
      </c>
      <c r="S668" s="39"/>
      <c r="T668" s="39"/>
      <c r="U668" s="39"/>
      <c r="V668" s="8">
        <f t="shared" si="10"/>
        <v>2022</v>
      </c>
    </row>
    <row r="669" spans="1:22" ht="20.399999999999999" hidden="1" x14ac:dyDescent="0.25">
      <c r="A669" s="36">
        <v>44805</v>
      </c>
      <c r="B669" s="37" t="s">
        <v>19</v>
      </c>
      <c r="C669" s="37" t="s">
        <v>123</v>
      </c>
      <c r="D669" s="37" t="s">
        <v>64</v>
      </c>
      <c r="E669" s="37" t="s">
        <v>5</v>
      </c>
      <c r="F669" s="37" t="s">
        <v>137</v>
      </c>
      <c r="G669" s="37" t="s">
        <v>64</v>
      </c>
      <c r="H669" s="37" t="s">
        <v>138</v>
      </c>
      <c r="I669" s="37" t="s">
        <v>127</v>
      </c>
      <c r="J669" s="37" t="s">
        <v>34</v>
      </c>
      <c r="K669" s="38">
        <v>53.768847999999998</v>
      </c>
      <c r="L669" s="39"/>
      <c r="M669" s="37"/>
      <c r="N669" s="40">
        <v>9.7449999999999992</v>
      </c>
      <c r="O669" s="38">
        <v>9.7347549999999998</v>
      </c>
      <c r="P669" s="38">
        <v>5.0090000000000004E-3</v>
      </c>
      <c r="Q669" s="38">
        <v>5.4669999999999996E-3</v>
      </c>
      <c r="R669" s="40">
        <v>9.7449999999999992</v>
      </c>
      <c r="S669" s="38">
        <v>9.7347549999999998</v>
      </c>
      <c r="T669" s="38">
        <v>5.0090000000000004E-3</v>
      </c>
      <c r="U669" s="38">
        <v>5.4669999999999996E-3</v>
      </c>
      <c r="V669" s="8">
        <f t="shared" si="10"/>
        <v>2022</v>
      </c>
    </row>
    <row r="670" spans="1:22" ht="20.399999999999999" hidden="1" x14ac:dyDescent="0.25">
      <c r="A670" s="36">
        <v>44805</v>
      </c>
      <c r="B670" s="37" t="s">
        <v>20</v>
      </c>
      <c r="C670" s="37" t="s">
        <v>123</v>
      </c>
      <c r="D670" s="37" t="s">
        <v>64</v>
      </c>
      <c r="E670" s="37" t="s">
        <v>5</v>
      </c>
      <c r="F670" s="37" t="s">
        <v>137</v>
      </c>
      <c r="G670" s="37" t="s">
        <v>64</v>
      </c>
      <c r="H670" s="37" t="s">
        <v>138</v>
      </c>
      <c r="I670" s="37" t="s">
        <v>127</v>
      </c>
      <c r="J670" s="37" t="s">
        <v>34</v>
      </c>
      <c r="K670" s="38">
        <v>0</v>
      </c>
      <c r="L670" s="39"/>
      <c r="M670" s="37"/>
      <c r="N670" s="40">
        <v>0</v>
      </c>
      <c r="O670" s="38">
        <v>0</v>
      </c>
      <c r="P670" s="38">
        <v>0</v>
      </c>
      <c r="Q670" s="38">
        <v>0</v>
      </c>
      <c r="R670" s="39" t="s">
        <v>117</v>
      </c>
      <c r="S670" s="39"/>
      <c r="T670" s="39"/>
      <c r="U670" s="39"/>
      <c r="V670" s="8">
        <f t="shared" si="10"/>
        <v>2022</v>
      </c>
    </row>
    <row r="671" spans="1:22" ht="20.399999999999999" hidden="1" x14ac:dyDescent="0.25">
      <c r="A671" s="36">
        <v>44835</v>
      </c>
      <c r="B671" s="37" t="s">
        <v>19</v>
      </c>
      <c r="C671" s="37" t="s">
        <v>123</v>
      </c>
      <c r="D671" s="37" t="s">
        <v>64</v>
      </c>
      <c r="E671" s="37" t="s">
        <v>5</v>
      </c>
      <c r="F671" s="37" t="s">
        <v>137</v>
      </c>
      <c r="G671" s="37" t="s">
        <v>64</v>
      </c>
      <c r="H671" s="37" t="s">
        <v>138</v>
      </c>
      <c r="I671" s="37" t="s">
        <v>127</v>
      </c>
      <c r="J671" s="37" t="s">
        <v>34</v>
      </c>
      <c r="K671" s="38">
        <v>53.768847999999998</v>
      </c>
      <c r="L671" s="39"/>
      <c r="M671" s="37"/>
      <c r="N671" s="40">
        <v>9.7449999999999992</v>
      </c>
      <c r="O671" s="38">
        <v>9.7347549999999998</v>
      </c>
      <c r="P671" s="38">
        <v>5.0090000000000004E-3</v>
      </c>
      <c r="Q671" s="38">
        <v>5.4669999999999996E-3</v>
      </c>
      <c r="R671" s="40">
        <v>9.7449999999999992</v>
      </c>
      <c r="S671" s="38">
        <v>9.7347549999999998</v>
      </c>
      <c r="T671" s="38">
        <v>5.0090000000000004E-3</v>
      </c>
      <c r="U671" s="38">
        <v>5.4669999999999996E-3</v>
      </c>
      <c r="V671" s="8">
        <f t="shared" si="10"/>
        <v>2022</v>
      </c>
    </row>
    <row r="672" spans="1:22" ht="20.399999999999999" hidden="1" x14ac:dyDescent="0.25">
      <c r="A672" s="36">
        <v>44835</v>
      </c>
      <c r="B672" s="37" t="s">
        <v>20</v>
      </c>
      <c r="C672" s="37" t="s">
        <v>123</v>
      </c>
      <c r="D672" s="37" t="s">
        <v>64</v>
      </c>
      <c r="E672" s="37" t="s">
        <v>5</v>
      </c>
      <c r="F672" s="37" t="s">
        <v>137</v>
      </c>
      <c r="G672" s="37" t="s">
        <v>64</v>
      </c>
      <c r="H672" s="37" t="s">
        <v>138</v>
      </c>
      <c r="I672" s="37" t="s">
        <v>127</v>
      </c>
      <c r="J672" s="37" t="s">
        <v>34</v>
      </c>
      <c r="K672" s="38">
        <v>0</v>
      </c>
      <c r="L672" s="39"/>
      <c r="M672" s="37"/>
      <c r="N672" s="40">
        <v>0</v>
      </c>
      <c r="O672" s="38">
        <v>0</v>
      </c>
      <c r="P672" s="38">
        <v>0</v>
      </c>
      <c r="Q672" s="38">
        <v>0</v>
      </c>
      <c r="R672" s="39" t="s">
        <v>117</v>
      </c>
      <c r="S672" s="39"/>
      <c r="T672" s="39"/>
      <c r="U672" s="39"/>
      <c r="V672" s="8">
        <f t="shared" si="10"/>
        <v>2022</v>
      </c>
    </row>
    <row r="673" spans="1:22" ht="20.399999999999999" hidden="1" x14ac:dyDescent="0.25">
      <c r="A673" s="36">
        <v>44866</v>
      </c>
      <c r="B673" s="37" t="s">
        <v>19</v>
      </c>
      <c r="C673" s="37" t="s">
        <v>123</v>
      </c>
      <c r="D673" s="37" t="s">
        <v>64</v>
      </c>
      <c r="E673" s="37" t="s">
        <v>5</v>
      </c>
      <c r="F673" s="37" t="s">
        <v>137</v>
      </c>
      <c r="G673" s="37" t="s">
        <v>64</v>
      </c>
      <c r="H673" s="37" t="s">
        <v>138</v>
      </c>
      <c r="I673" s="37" t="s">
        <v>127</v>
      </c>
      <c r="J673" s="37" t="s">
        <v>34</v>
      </c>
      <c r="K673" s="38">
        <v>53.768847999999998</v>
      </c>
      <c r="L673" s="39"/>
      <c r="M673" s="37"/>
      <c r="N673" s="40">
        <v>9.7449999999999992</v>
      </c>
      <c r="O673" s="38">
        <v>9.7347549999999998</v>
      </c>
      <c r="P673" s="38">
        <v>5.0090000000000004E-3</v>
      </c>
      <c r="Q673" s="38">
        <v>5.4669999999999996E-3</v>
      </c>
      <c r="R673" s="40">
        <v>9.7449999999999992</v>
      </c>
      <c r="S673" s="38">
        <v>9.7347549999999998</v>
      </c>
      <c r="T673" s="38">
        <v>5.0090000000000004E-3</v>
      </c>
      <c r="U673" s="38">
        <v>5.4669999999999996E-3</v>
      </c>
      <c r="V673" s="8">
        <f t="shared" si="10"/>
        <v>2022</v>
      </c>
    </row>
    <row r="674" spans="1:22" ht="20.399999999999999" hidden="1" x14ac:dyDescent="0.25">
      <c r="A674" s="36">
        <v>44866</v>
      </c>
      <c r="B674" s="37" t="s">
        <v>20</v>
      </c>
      <c r="C674" s="37" t="s">
        <v>123</v>
      </c>
      <c r="D674" s="37" t="s">
        <v>64</v>
      </c>
      <c r="E674" s="37" t="s">
        <v>5</v>
      </c>
      <c r="F674" s="37" t="s">
        <v>137</v>
      </c>
      <c r="G674" s="37" t="s">
        <v>64</v>
      </c>
      <c r="H674" s="37" t="s">
        <v>138</v>
      </c>
      <c r="I674" s="37" t="s">
        <v>127</v>
      </c>
      <c r="J674" s="37" t="s">
        <v>34</v>
      </c>
      <c r="K674" s="38">
        <v>0</v>
      </c>
      <c r="L674" s="39"/>
      <c r="M674" s="37"/>
      <c r="N674" s="40">
        <v>0</v>
      </c>
      <c r="O674" s="38">
        <v>0</v>
      </c>
      <c r="P674" s="38">
        <v>0</v>
      </c>
      <c r="Q674" s="38">
        <v>0</v>
      </c>
      <c r="R674" s="39" t="s">
        <v>117</v>
      </c>
      <c r="S674" s="39"/>
      <c r="T674" s="39"/>
      <c r="U674" s="39"/>
      <c r="V674" s="8">
        <f t="shared" si="10"/>
        <v>2022</v>
      </c>
    </row>
    <row r="675" spans="1:22" ht="20.399999999999999" hidden="1" x14ac:dyDescent="0.25">
      <c r="A675" s="36">
        <v>44896</v>
      </c>
      <c r="B675" s="37" t="s">
        <v>19</v>
      </c>
      <c r="C675" s="37" t="s">
        <v>123</v>
      </c>
      <c r="D675" s="37" t="s">
        <v>64</v>
      </c>
      <c r="E675" s="37" t="s">
        <v>5</v>
      </c>
      <c r="F675" s="37" t="s">
        <v>137</v>
      </c>
      <c r="G675" s="37" t="s">
        <v>64</v>
      </c>
      <c r="H675" s="37" t="s">
        <v>138</v>
      </c>
      <c r="I675" s="37" t="s">
        <v>127</v>
      </c>
      <c r="J675" s="37" t="s">
        <v>34</v>
      </c>
      <c r="K675" s="38">
        <v>53.768847999999998</v>
      </c>
      <c r="L675" s="39"/>
      <c r="M675" s="37"/>
      <c r="N675" s="40">
        <v>9.7449999999999992</v>
      </c>
      <c r="O675" s="38">
        <v>9.7347549999999998</v>
      </c>
      <c r="P675" s="38">
        <v>5.0090000000000004E-3</v>
      </c>
      <c r="Q675" s="38">
        <v>5.4669999999999996E-3</v>
      </c>
      <c r="R675" s="40">
        <v>9.7449999999999992</v>
      </c>
      <c r="S675" s="38">
        <v>9.7347549999999998</v>
      </c>
      <c r="T675" s="38">
        <v>5.0090000000000004E-3</v>
      </c>
      <c r="U675" s="38">
        <v>5.4669999999999996E-3</v>
      </c>
      <c r="V675" s="8">
        <f t="shared" si="10"/>
        <v>2022</v>
      </c>
    </row>
    <row r="676" spans="1:22" ht="20.399999999999999" hidden="1" x14ac:dyDescent="0.25">
      <c r="A676" s="36">
        <v>44896</v>
      </c>
      <c r="B676" s="37" t="s">
        <v>20</v>
      </c>
      <c r="C676" s="37" t="s">
        <v>123</v>
      </c>
      <c r="D676" s="37" t="s">
        <v>64</v>
      </c>
      <c r="E676" s="37" t="s">
        <v>5</v>
      </c>
      <c r="F676" s="37" t="s">
        <v>137</v>
      </c>
      <c r="G676" s="37" t="s">
        <v>64</v>
      </c>
      <c r="H676" s="37" t="s">
        <v>138</v>
      </c>
      <c r="I676" s="37" t="s">
        <v>127</v>
      </c>
      <c r="J676" s="37" t="s">
        <v>34</v>
      </c>
      <c r="K676" s="38">
        <v>0</v>
      </c>
      <c r="L676" s="39"/>
      <c r="M676" s="37"/>
      <c r="N676" s="40">
        <v>0</v>
      </c>
      <c r="O676" s="38">
        <v>0</v>
      </c>
      <c r="P676" s="38">
        <v>0</v>
      </c>
      <c r="Q676" s="38">
        <v>0</v>
      </c>
      <c r="R676" s="39" t="s">
        <v>117</v>
      </c>
      <c r="S676" s="39"/>
      <c r="T676" s="39"/>
      <c r="U676" s="39"/>
      <c r="V676" s="8">
        <f t="shared" si="10"/>
        <v>2022</v>
      </c>
    </row>
    <row r="677" spans="1:22" ht="20.399999999999999" hidden="1" x14ac:dyDescent="0.25">
      <c r="A677" s="36">
        <v>44927</v>
      </c>
      <c r="B677" s="37" t="s">
        <v>19</v>
      </c>
      <c r="C677" s="37" t="s">
        <v>123</v>
      </c>
      <c r="D677" s="37" t="s">
        <v>64</v>
      </c>
      <c r="E677" s="37" t="s">
        <v>5</v>
      </c>
      <c r="F677" s="37" t="s">
        <v>137</v>
      </c>
      <c r="G677" s="37" t="s">
        <v>64</v>
      </c>
      <c r="H677" s="37" t="s">
        <v>138</v>
      </c>
      <c r="I677" s="37" t="s">
        <v>127</v>
      </c>
      <c r="J677" s="37" t="s">
        <v>34</v>
      </c>
      <c r="K677" s="38">
        <v>131.88198199999999</v>
      </c>
      <c r="L677" s="39"/>
      <c r="M677" s="37"/>
      <c r="N677" s="40">
        <v>23.902999999999999</v>
      </c>
      <c r="O677" s="38">
        <v>23.876999999999999</v>
      </c>
      <c r="P677" s="38">
        <v>1.2285000000000001E-2</v>
      </c>
      <c r="Q677" s="38">
        <v>1.341E-2</v>
      </c>
      <c r="R677" s="40">
        <v>23.902999999999999</v>
      </c>
      <c r="S677" s="38">
        <v>23.876999999999999</v>
      </c>
      <c r="T677" s="38">
        <v>1.2285000000000001E-2</v>
      </c>
      <c r="U677" s="38">
        <v>1.341E-2</v>
      </c>
      <c r="V677" s="8">
        <f t="shared" si="10"/>
        <v>2023</v>
      </c>
    </row>
    <row r="678" spans="1:22" ht="20.399999999999999" hidden="1" x14ac:dyDescent="0.25">
      <c r="A678" s="36">
        <v>44958</v>
      </c>
      <c r="B678" s="37" t="s">
        <v>19</v>
      </c>
      <c r="C678" s="37" t="s">
        <v>123</v>
      </c>
      <c r="D678" s="37" t="s">
        <v>64</v>
      </c>
      <c r="E678" s="37" t="s">
        <v>5</v>
      </c>
      <c r="F678" s="37" t="s">
        <v>137</v>
      </c>
      <c r="G678" s="37" t="s">
        <v>64</v>
      </c>
      <c r="H678" s="37" t="s">
        <v>138</v>
      </c>
      <c r="I678" s="37" t="s">
        <v>127</v>
      </c>
      <c r="J678" s="37" t="s">
        <v>34</v>
      </c>
      <c r="K678" s="38">
        <v>55.683503000000002</v>
      </c>
      <c r="L678" s="39"/>
      <c r="M678" s="37"/>
      <c r="N678" s="40">
        <v>10.092000000000001</v>
      </c>
      <c r="O678" s="38">
        <v>10.0814</v>
      </c>
      <c r="P678" s="38">
        <v>5.1869999999999998E-3</v>
      </c>
      <c r="Q678" s="38">
        <v>5.6620000000000004E-3</v>
      </c>
      <c r="R678" s="40">
        <v>10.092000000000001</v>
      </c>
      <c r="S678" s="38">
        <v>10.0814</v>
      </c>
      <c r="T678" s="38">
        <v>5.1869999999999998E-3</v>
      </c>
      <c r="U678" s="38">
        <v>5.6620000000000004E-3</v>
      </c>
      <c r="V678" s="8">
        <f t="shared" si="10"/>
        <v>2023</v>
      </c>
    </row>
    <row r="679" spans="1:22" ht="20.399999999999999" hidden="1" x14ac:dyDescent="0.25">
      <c r="A679" s="36">
        <v>44986</v>
      </c>
      <c r="B679" s="37" t="s">
        <v>19</v>
      </c>
      <c r="C679" s="37" t="s">
        <v>123</v>
      </c>
      <c r="D679" s="37" t="s">
        <v>64</v>
      </c>
      <c r="E679" s="37" t="s">
        <v>5</v>
      </c>
      <c r="F679" s="37" t="s">
        <v>137</v>
      </c>
      <c r="G679" s="37" t="s">
        <v>64</v>
      </c>
      <c r="H679" s="37" t="s">
        <v>138</v>
      </c>
      <c r="I679" s="37" t="s">
        <v>127</v>
      </c>
      <c r="J679" s="37" t="s">
        <v>34</v>
      </c>
      <c r="K679" s="38">
        <v>96.113038000000003</v>
      </c>
      <c r="L679" s="39"/>
      <c r="M679" s="37"/>
      <c r="N679" s="40">
        <v>17.420000000000002</v>
      </c>
      <c r="O679" s="38">
        <v>17.401095999999999</v>
      </c>
      <c r="P679" s="38">
        <v>8.9529999999999992E-3</v>
      </c>
      <c r="Q679" s="38">
        <v>9.7730000000000004E-3</v>
      </c>
      <c r="R679" s="40">
        <v>17.420000000000002</v>
      </c>
      <c r="S679" s="38">
        <v>17.401095999999999</v>
      </c>
      <c r="T679" s="38">
        <v>8.9529999999999992E-3</v>
      </c>
      <c r="U679" s="38">
        <v>9.7730000000000004E-3</v>
      </c>
      <c r="V679" s="8">
        <f t="shared" si="10"/>
        <v>2023</v>
      </c>
    </row>
    <row r="680" spans="1:22" ht="20.399999999999999" hidden="1" x14ac:dyDescent="0.25">
      <c r="A680" s="36">
        <v>45017</v>
      </c>
      <c r="B680" s="37" t="s">
        <v>19</v>
      </c>
      <c r="C680" s="37" t="s">
        <v>123</v>
      </c>
      <c r="D680" s="37" t="s">
        <v>64</v>
      </c>
      <c r="E680" s="37" t="s">
        <v>5</v>
      </c>
      <c r="F680" s="37" t="s">
        <v>137</v>
      </c>
      <c r="G680" s="37" t="s">
        <v>64</v>
      </c>
      <c r="H680" s="37" t="s">
        <v>138</v>
      </c>
      <c r="I680" s="37" t="s">
        <v>127</v>
      </c>
      <c r="J680" s="37" t="s">
        <v>34</v>
      </c>
      <c r="K680" s="38">
        <v>156.61301800000001</v>
      </c>
      <c r="L680" s="39"/>
      <c r="M680" s="37"/>
      <c r="N680" s="40">
        <v>28.385000000000002</v>
      </c>
      <c r="O680" s="38">
        <v>28.354510999999999</v>
      </c>
      <c r="P680" s="38">
        <v>1.4589E-2</v>
      </c>
      <c r="Q680" s="38">
        <v>1.5925000000000002E-2</v>
      </c>
      <c r="R680" s="40">
        <v>28.385000000000002</v>
      </c>
      <c r="S680" s="38">
        <v>28.354510999999999</v>
      </c>
      <c r="T680" s="38">
        <v>1.4589E-2</v>
      </c>
      <c r="U680" s="38">
        <v>1.5925000000000002E-2</v>
      </c>
      <c r="V680" s="8">
        <f t="shared" si="10"/>
        <v>2023</v>
      </c>
    </row>
    <row r="681" spans="1:22" ht="20.399999999999999" hidden="1" x14ac:dyDescent="0.25">
      <c r="A681" s="36">
        <v>45047</v>
      </c>
      <c r="B681" s="37" t="s">
        <v>19</v>
      </c>
      <c r="C681" s="37" t="s">
        <v>123</v>
      </c>
      <c r="D681" s="37" t="s">
        <v>64</v>
      </c>
      <c r="E681" s="37" t="s">
        <v>5</v>
      </c>
      <c r="F681" s="37" t="s">
        <v>137</v>
      </c>
      <c r="G681" s="37" t="s">
        <v>64</v>
      </c>
      <c r="H681" s="37" t="s">
        <v>138</v>
      </c>
      <c r="I681" s="37" t="s">
        <v>127</v>
      </c>
      <c r="J681" s="37" t="s">
        <v>34</v>
      </c>
      <c r="K681" s="38">
        <v>29.307106999999998</v>
      </c>
      <c r="L681" s="39"/>
      <c r="M681" s="37"/>
      <c r="N681" s="40">
        <v>5.3120000000000003</v>
      </c>
      <c r="O681" s="38">
        <v>5.306</v>
      </c>
      <c r="P681" s="38">
        <v>2.7299999999999998E-3</v>
      </c>
      <c r="Q681" s="38">
        <v>2.98E-3</v>
      </c>
      <c r="R681" s="40">
        <v>5.3120000000000003</v>
      </c>
      <c r="S681" s="38">
        <v>5.306</v>
      </c>
      <c r="T681" s="38">
        <v>2.7299999999999998E-3</v>
      </c>
      <c r="U681" s="38">
        <v>2.98E-3</v>
      </c>
      <c r="V681" s="8">
        <f t="shared" si="10"/>
        <v>2023</v>
      </c>
    </row>
    <row r="682" spans="1:22" ht="20.399999999999999" hidden="1" x14ac:dyDescent="0.25">
      <c r="A682" s="36">
        <v>45078</v>
      </c>
      <c r="B682" s="37" t="s">
        <v>19</v>
      </c>
      <c r="C682" s="37" t="s">
        <v>123</v>
      </c>
      <c r="D682" s="37" t="s">
        <v>64</v>
      </c>
      <c r="E682" s="37" t="s">
        <v>5</v>
      </c>
      <c r="F682" s="37" t="s">
        <v>137</v>
      </c>
      <c r="G682" s="37" t="s">
        <v>64</v>
      </c>
      <c r="H682" s="37" t="s">
        <v>138</v>
      </c>
      <c r="I682" s="37" t="s">
        <v>127</v>
      </c>
      <c r="J682" s="37" t="s">
        <v>34</v>
      </c>
      <c r="K682" s="38">
        <v>0</v>
      </c>
      <c r="L682" s="39"/>
      <c r="M682" s="37"/>
      <c r="N682" s="40">
        <v>0</v>
      </c>
      <c r="O682" s="38">
        <v>0</v>
      </c>
      <c r="P682" s="38">
        <v>0</v>
      </c>
      <c r="Q682" s="38">
        <v>0</v>
      </c>
      <c r="R682" s="40">
        <v>0</v>
      </c>
      <c r="S682" s="38">
        <v>0</v>
      </c>
      <c r="T682" s="38">
        <v>0</v>
      </c>
      <c r="U682" s="38">
        <v>0</v>
      </c>
      <c r="V682" s="8">
        <f t="shared" si="10"/>
        <v>2023</v>
      </c>
    </row>
    <row r="683" spans="1:22" ht="20.399999999999999" hidden="1" x14ac:dyDescent="0.25">
      <c r="A683" s="36">
        <v>45108</v>
      </c>
      <c r="B683" s="37" t="s">
        <v>19</v>
      </c>
      <c r="C683" s="37" t="s">
        <v>123</v>
      </c>
      <c r="D683" s="37" t="s">
        <v>64</v>
      </c>
      <c r="E683" s="37" t="s">
        <v>5</v>
      </c>
      <c r="F683" s="37" t="s">
        <v>137</v>
      </c>
      <c r="G683" s="37" t="s">
        <v>64</v>
      </c>
      <c r="H683" s="37" t="s">
        <v>138</v>
      </c>
      <c r="I683" s="37" t="s">
        <v>127</v>
      </c>
      <c r="J683" s="37" t="s">
        <v>34</v>
      </c>
      <c r="K683" s="38">
        <v>0</v>
      </c>
      <c r="L683" s="39"/>
      <c r="M683" s="37"/>
      <c r="N683" s="40">
        <v>0</v>
      </c>
      <c r="O683" s="38">
        <v>0</v>
      </c>
      <c r="P683" s="38">
        <v>0</v>
      </c>
      <c r="Q683" s="38">
        <v>0</v>
      </c>
      <c r="R683" s="40">
        <v>0</v>
      </c>
      <c r="S683" s="38">
        <v>0</v>
      </c>
      <c r="T683" s="38">
        <v>0</v>
      </c>
      <c r="U683" s="38">
        <v>0</v>
      </c>
      <c r="V683" s="8">
        <f t="shared" si="10"/>
        <v>2023</v>
      </c>
    </row>
    <row r="684" spans="1:22" ht="20.399999999999999" hidden="1" x14ac:dyDescent="0.25">
      <c r="A684" s="36">
        <v>45139</v>
      </c>
      <c r="B684" s="37" t="s">
        <v>19</v>
      </c>
      <c r="C684" s="37" t="s">
        <v>123</v>
      </c>
      <c r="D684" s="37" t="s">
        <v>64</v>
      </c>
      <c r="E684" s="37" t="s">
        <v>5</v>
      </c>
      <c r="F684" s="37" t="s">
        <v>137</v>
      </c>
      <c r="G684" s="37" t="s">
        <v>64</v>
      </c>
      <c r="H684" s="37" t="s">
        <v>138</v>
      </c>
      <c r="I684" s="37" t="s">
        <v>127</v>
      </c>
      <c r="J684" s="37" t="s">
        <v>34</v>
      </c>
      <c r="K684" s="38">
        <v>0</v>
      </c>
      <c r="L684" s="39"/>
      <c r="M684" s="37"/>
      <c r="N684" s="40">
        <v>0</v>
      </c>
      <c r="O684" s="38">
        <v>0</v>
      </c>
      <c r="P684" s="38">
        <v>0</v>
      </c>
      <c r="Q684" s="38">
        <v>0</v>
      </c>
      <c r="R684" s="40">
        <v>0</v>
      </c>
      <c r="S684" s="38">
        <v>0</v>
      </c>
      <c r="T684" s="38">
        <v>0</v>
      </c>
      <c r="U684" s="38">
        <v>0</v>
      </c>
      <c r="V684" s="8">
        <f t="shared" si="10"/>
        <v>2023</v>
      </c>
    </row>
    <row r="685" spans="1:22" ht="20.399999999999999" hidden="1" x14ac:dyDescent="0.25">
      <c r="A685" s="36">
        <v>45170</v>
      </c>
      <c r="B685" s="37" t="s">
        <v>19</v>
      </c>
      <c r="C685" s="37" t="s">
        <v>123</v>
      </c>
      <c r="D685" s="37" t="s">
        <v>64</v>
      </c>
      <c r="E685" s="37" t="s">
        <v>5</v>
      </c>
      <c r="F685" s="37" t="s">
        <v>137</v>
      </c>
      <c r="G685" s="37" t="s">
        <v>64</v>
      </c>
      <c r="H685" s="37" t="s">
        <v>138</v>
      </c>
      <c r="I685" s="37" t="s">
        <v>127</v>
      </c>
      <c r="J685" s="37" t="s">
        <v>34</v>
      </c>
      <c r="K685" s="38">
        <v>0</v>
      </c>
      <c r="L685" s="39"/>
      <c r="M685" s="37"/>
      <c r="N685" s="40">
        <v>0</v>
      </c>
      <c r="O685" s="38">
        <v>0</v>
      </c>
      <c r="P685" s="38">
        <v>0</v>
      </c>
      <c r="Q685" s="38">
        <v>0</v>
      </c>
      <c r="R685" s="40">
        <v>0</v>
      </c>
      <c r="S685" s="38">
        <v>0</v>
      </c>
      <c r="T685" s="38">
        <v>0</v>
      </c>
      <c r="U685" s="38">
        <v>0</v>
      </c>
      <c r="V685" s="8">
        <f t="shared" si="10"/>
        <v>2023</v>
      </c>
    </row>
    <row r="686" spans="1:22" ht="20.399999999999999" hidden="1" x14ac:dyDescent="0.25">
      <c r="A686" s="36">
        <v>45200</v>
      </c>
      <c r="B686" s="37" t="s">
        <v>19</v>
      </c>
      <c r="C686" s="37" t="s">
        <v>123</v>
      </c>
      <c r="D686" s="37" t="s">
        <v>64</v>
      </c>
      <c r="E686" s="37" t="s">
        <v>5</v>
      </c>
      <c r="F686" s="37" t="s">
        <v>137</v>
      </c>
      <c r="G686" s="37" t="s">
        <v>64</v>
      </c>
      <c r="H686" s="37" t="s">
        <v>138</v>
      </c>
      <c r="I686" s="37" t="s">
        <v>127</v>
      </c>
      <c r="J686" s="37" t="s">
        <v>34</v>
      </c>
      <c r="K686" s="38">
        <v>0</v>
      </c>
      <c r="L686" s="39"/>
      <c r="M686" s="37"/>
      <c r="N686" s="40">
        <v>0</v>
      </c>
      <c r="O686" s="38">
        <v>0</v>
      </c>
      <c r="P686" s="38">
        <v>0</v>
      </c>
      <c r="Q686" s="38">
        <v>0</v>
      </c>
      <c r="R686" s="40">
        <v>0</v>
      </c>
      <c r="S686" s="38">
        <v>0</v>
      </c>
      <c r="T686" s="38">
        <v>0</v>
      </c>
      <c r="U686" s="38">
        <v>0</v>
      </c>
      <c r="V686" s="8">
        <f t="shared" si="10"/>
        <v>2023</v>
      </c>
    </row>
    <row r="687" spans="1:22" ht="20.399999999999999" hidden="1" x14ac:dyDescent="0.25">
      <c r="A687" s="36">
        <v>45231</v>
      </c>
      <c r="B687" s="37" t="s">
        <v>19</v>
      </c>
      <c r="C687" s="37" t="s">
        <v>123</v>
      </c>
      <c r="D687" s="37" t="s">
        <v>64</v>
      </c>
      <c r="E687" s="37" t="s">
        <v>5</v>
      </c>
      <c r="F687" s="37" t="s">
        <v>137</v>
      </c>
      <c r="G687" s="37" t="s">
        <v>64</v>
      </c>
      <c r="H687" s="37" t="s">
        <v>138</v>
      </c>
      <c r="I687" s="37" t="s">
        <v>127</v>
      </c>
      <c r="J687" s="37" t="s">
        <v>34</v>
      </c>
      <c r="K687" s="38">
        <v>6.9173859999999996</v>
      </c>
      <c r="L687" s="39"/>
      <c r="M687" s="37"/>
      <c r="N687" s="40">
        <v>1.254</v>
      </c>
      <c r="O687" s="38">
        <v>1.25238</v>
      </c>
      <c r="P687" s="38">
        <v>6.4400000000000004E-4</v>
      </c>
      <c r="Q687" s="38">
        <v>7.0299999999999996E-4</v>
      </c>
      <c r="R687" s="40">
        <v>1.254</v>
      </c>
      <c r="S687" s="38">
        <v>1.25238</v>
      </c>
      <c r="T687" s="38">
        <v>6.4400000000000004E-4</v>
      </c>
      <c r="U687" s="38">
        <v>7.0299999999999996E-4</v>
      </c>
      <c r="V687" s="8">
        <f t="shared" si="10"/>
        <v>2023</v>
      </c>
    </row>
    <row r="688" spans="1:22" ht="20.399999999999999" hidden="1" x14ac:dyDescent="0.25">
      <c r="A688" s="36">
        <v>45261</v>
      </c>
      <c r="B688" s="37" t="s">
        <v>19</v>
      </c>
      <c r="C688" s="37" t="s">
        <v>123</v>
      </c>
      <c r="D688" s="37" t="s">
        <v>64</v>
      </c>
      <c r="E688" s="37" t="s">
        <v>5</v>
      </c>
      <c r="F688" s="37" t="s">
        <v>137</v>
      </c>
      <c r="G688" s="37" t="s">
        <v>64</v>
      </c>
      <c r="H688" s="37" t="s">
        <v>138</v>
      </c>
      <c r="I688" s="37" t="s">
        <v>127</v>
      </c>
      <c r="J688" s="37" t="s">
        <v>34</v>
      </c>
      <c r="K688" s="38">
        <v>18.141099000000001</v>
      </c>
      <c r="L688" s="42">
        <v>744.54</v>
      </c>
      <c r="M688" s="37"/>
      <c r="N688" s="40">
        <v>3.2879999999999998</v>
      </c>
      <c r="O688" s="38">
        <v>3.2844139999999999</v>
      </c>
      <c r="P688" s="38">
        <v>1.6900000000000001E-3</v>
      </c>
      <c r="Q688" s="38">
        <v>1.8450000000000001E-3</v>
      </c>
      <c r="R688" s="40">
        <v>3.2879999999999998</v>
      </c>
      <c r="S688" s="38">
        <v>3.2844139999999999</v>
      </c>
      <c r="T688" s="38">
        <v>1.6900000000000001E-3</v>
      </c>
      <c r="U688" s="38">
        <v>1.8450000000000001E-3</v>
      </c>
      <c r="V688" s="8">
        <f t="shared" si="10"/>
        <v>2023</v>
      </c>
    </row>
    <row r="689" spans="1:22" ht="20.399999999999999" hidden="1" x14ac:dyDescent="0.25">
      <c r="A689" s="36">
        <v>44562</v>
      </c>
      <c r="B689" s="37" t="s">
        <v>23</v>
      </c>
      <c r="C689" s="37" t="s">
        <v>123</v>
      </c>
      <c r="D689" s="37" t="s">
        <v>64</v>
      </c>
      <c r="E689" s="37" t="s">
        <v>6</v>
      </c>
      <c r="F689" s="37" t="s">
        <v>137</v>
      </c>
      <c r="G689" s="37" t="s">
        <v>64</v>
      </c>
      <c r="H689" s="37" t="s">
        <v>138</v>
      </c>
      <c r="I689" s="37" t="s">
        <v>127</v>
      </c>
      <c r="J689" s="37" t="s">
        <v>34</v>
      </c>
      <c r="K689" s="38">
        <v>30.663833</v>
      </c>
      <c r="L689" s="39"/>
      <c r="M689" s="37"/>
      <c r="N689" s="40">
        <v>12.56</v>
      </c>
      <c r="O689" s="38">
        <v>12.559718999999999</v>
      </c>
      <c r="P689" s="39"/>
      <c r="Q689" s="39"/>
      <c r="R689" s="40">
        <v>9.4030000000000005</v>
      </c>
      <c r="S689" s="38">
        <v>9.3577139999999996</v>
      </c>
      <c r="T689" s="38">
        <v>2.6579999999999999E-2</v>
      </c>
      <c r="U689" s="38">
        <v>1.9015000000000001E-2</v>
      </c>
      <c r="V689" s="8">
        <f t="shared" si="10"/>
        <v>2022</v>
      </c>
    </row>
    <row r="690" spans="1:22" ht="20.399999999999999" hidden="1" x14ac:dyDescent="0.25">
      <c r="A690" s="36">
        <v>44593</v>
      </c>
      <c r="B690" s="37" t="s">
        <v>23</v>
      </c>
      <c r="C690" s="37" t="s">
        <v>123</v>
      </c>
      <c r="D690" s="37" t="s">
        <v>64</v>
      </c>
      <c r="E690" s="37" t="s">
        <v>6</v>
      </c>
      <c r="F690" s="37" t="s">
        <v>137</v>
      </c>
      <c r="G690" s="37" t="s">
        <v>64</v>
      </c>
      <c r="H690" s="37" t="s">
        <v>138</v>
      </c>
      <c r="I690" s="37" t="s">
        <v>127</v>
      </c>
      <c r="J690" s="37" t="s">
        <v>34</v>
      </c>
      <c r="K690" s="38">
        <v>30.663833</v>
      </c>
      <c r="L690" s="39"/>
      <c r="M690" s="37"/>
      <c r="N690" s="40">
        <v>12.56</v>
      </c>
      <c r="O690" s="38">
        <v>12.559718999999999</v>
      </c>
      <c r="P690" s="39"/>
      <c r="Q690" s="39"/>
      <c r="R690" s="40">
        <v>9.4030000000000005</v>
      </c>
      <c r="S690" s="38">
        <v>9.3577139999999996</v>
      </c>
      <c r="T690" s="38">
        <v>2.6579999999999999E-2</v>
      </c>
      <c r="U690" s="38">
        <v>1.9015000000000001E-2</v>
      </c>
      <c r="V690" s="8">
        <f t="shared" si="10"/>
        <v>2022</v>
      </c>
    </row>
    <row r="691" spans="1:22" ht="20.399999999999999" hidden="1" x14ac:dyDescent="0.25">
      <c r="A691" s="36">
        <v>44621</v>
      </c>
      <c r="B691" s="37" t="s">
        <v>23</v>
      </c>
      <c r="C691" s="37" t="s">
        <v>123</v>
      </c>
      <c r="D691" s="37" t="s">
        <v>64</v>
      </c>
      <c r="E691" s="37" t="s">
        <v>6</v>
      </c>
      <c r="F691" s="37" t="s">
        <v>137</v>
      </c>
      <c r="G691" s="37" t="s">
        <v>64</v>
      </c>
      <c r="H691" s="37" t="s">
        <v>138</v>
      </c>
      <c r="I691" s="37" t="s">
        <v>127</v>
      </c>
      <c r="J691" s="37" t="s">
        <v>34</v>
      </c>
      <c r="K691" s="38">
        <v>30.663833</v>
      </c>
      <c r="L691" s="39"/>
      <c r="M691" s="37"/>
      <c r="N691" s="40">
        <v>12.56</v>
      </c>
      <c r="O691" s="38">
        <v>12.559718999999999</v>
      </c>
      <c r="P691" s="39"/>
      <c r="Q691" s="39"/>
      <c r="R691" s="40">
        <v>9.4030000000000005</v>
      </c>
      <c r="S691" s="38">
        <v>9.3577139999999996</v>
      </c>
      <c r="T691" s="38">
        <v>2.6579999999999999E-2</v>
      </c>
      <c r="U691" s="38">
        <v>1.9015000000000001E-2</v>
      </c>
      <c r="V691" s="8">
        <f t="shared" si="10"/>
        <v>2022</v>
      </c>
    </row>
    <row r="692" spans="1:22" ht="20.399999999999999" hidden="1" x14ac:dyDescent="0.25">
      <c r="A692" s="36">
        <v>44652</v>
      </c>
      <c r="B692" s="37" t="s">
        <v>23</v>
      </c>
      <c r="C692" s="37" t="s">
        <v>123</v>
      </c>
      <c r="D692" s="37" t="s">
        <v>64</v>
      </c>
      <c r="E692" s="37" t="s">
        <v>6</v>
      </c>
      <c r="F692" s="37" t="s">
        <v>137</v>
      </c>
      <c r="G692" s="37" t="s">
        <v>64</v>
      </c>
      <c r="H692" s="37" t="s">
        <v>138</v>
      </c>
      <c r="I692" s="37" t="s">
        <v>127</v>
      </c>
      <c r="J692" s="37" t="s">
        <v>34</v>
      </c>
      <c r="K692" s="38">
        <v>30.663833</v>
      </c>
      <c r="L692" s="39"/>
      <c r="M692" s="37"/>
      <c r="N692" s="40">
        <v>12.56</v>
      </c>
      <c r="O692" s="38">
        <v>12.559718999999999</v>
      </c>
      <c r="P692" s="39"/>
      <c r="Q692" s="39"/>
      <c r="R692" s="40">
        <v>9.4030000000000005</v>
      </c>
      <c r="S692" s="38">
        <v>9.3577139999999996</v>
      </c>
      <c r="T692" s="38">
        <v>2.6579999999999999E-2</v>
      </c>
      <c r="U692" s="38">
        <v>1.9015000000000001E-2</v>
      </c>
      <c r="V692" s="8">
        <f t="shared" ref="V692:V755" si="11">YEAR(A692)</f>
        <v>2022</v>
      </c>
    </row>
    <row r="693" spans="1:22" ht="20.399999999999999" hidden="1" x14ac:dyDescent="0.25">
      <c r="A693" s="36">
        <v>44682</v>
      </c>
      <c r="B693" s="37" t="s">
        <v>23</v>
      </c>
      <c r="C693" s="37" t="s">
        <v>123</v>
      </c>
      <c r="D693" s="37" t="s">
        <v>64</v>
      </c>
      <c r="E693" s="37" t="s">
        <v>6</v>
      </c>
      <c r="F693" s="37" t="s">
        <v>137</v>
      </c>
      <c r="G693" s="37" t="s">
        <v>64</v>
      </c>
      <c r="H693" s="37" t="s">
        <v>138</v>
      </c>
      <c r="I693" s="37" t="s">
        <v>127</v>
      </c>
      <c r="J693" s="37" t="s">
        <v>34</v>
      </c>
      <c r="K693" s="38">
        <v>30.663833</v>
      </c>
      <c r="L693" s="39"/>
      <c r="M693" s="37"/>
      <c r="N693" s="40">
        <v>12.56</v>
      </c>
      <c r="O693" s="38">
        <v>12.559718999999999</v>
      </c>
      <c r="P693" s="39"/>
      <c r="Q693" s="39"/>
      <c r="R693" s="40">
        <v>9.4030000000000005</v>
      </c>
      <c r="S693" s="38">
        <v>9.3577139999999996</v>
      </c>
      <c r="T693" s="38">
        <v>2.6579999999999999E-2</v>
      </c>
      <c r="U693" s="38">
        <v>1.9015000000000001E-2</v>
      </c>
      <c r="V693" s="8">
        <f t="shared" si="11"/>
        <v>2022</v>
      </c>
    </row>
    <row r="694" spans="1:22" ht="20.399999999999999" hidden="1" x14ac:dyDescent="0.25">
      <c r="A694" s="36">
        <v>44713</v>
      </c>
      <c r="B694" s="37" t="s">
        <v>23</v>
      </c>
      <c r="C694" s="37" t="s">
        <v>123</v>
      </c>
      <c r="D694" s="37" t="s">
        <v>64</v>
      </c>
      <c r="E694" s="37" t="s">
        <v>6</v>
      </c>
      <c r="F694" s="37" t="s">
        <v>137</v>
      </c>
      <c r="G694" s="37" t="s">
        <v>64</v>
      </c>
      <c r="H694" s="37" t="s">
        <v>138</v>
      </c>
      <c r="I694" s="37" t="s">
        <v>127</v>
      </c>
      <c r="J694" s="37" t="s">
        <v>34</v>
      </c>
      <c r="K694" s="38">
        <v>30.663833</v>
      </c>
      <c r="L694" s="39"/>
      <c r="M694" s="37"/>
      <c r="N694" s="40">
        <v>12.56</v>
      </c>
      <c r="O694" s="38">
        <v>12.559718999999999</v>
      </c>
      <c r="P694" s="39"/>
      <c r="Q694" s="39"/>
      <c r="R694" s="40">
        <v>9.4030000000000005</v>
      </c>
      <c r="S694" s="38">
        <v>9.3577139999999996</v>
      </c>
      <c r="T694" s="38">
        <v>2.6579999999999999E-2</v>
      </c>
      <c r="U694" s="38">
        <v>1.9015000000000001E-2</v>
      </c>
      <c r="V694" s="8">
        <f t="shared" si="11"/>
        <v>2022</v>
      </c>
    </row>
    <row r="695" spans="1:22" ht="20.399999999999999" hidden="1" x14ac:dyDescent="0.25">
      <c r="A695" s="36">
        <v>44743</v>
      </c>
      <c r="B695" s="37" t="s">
        <v>23</v>
      </c>
      <c r="C695" s="37" t="s">
        <v>123</v>
      </c>
      <c r="D695" s="37" t="s">
        <v>64</v>
      </c>
      <c r="E695" s="37" t="s">
        <v>6</v>
      </c>
      <c r="F695" s="37" t="s">
        <v>137</v>
      </c>
      <c r="G695" s="37" t="s">
        <v>64</v>
      </c>
      <c r="H695" s="37" t="s">
        <v>138</v>
      </c>
      <c r="I695" s="37" t="s">
        <v>127</v>
      </c>
      <c r="J695" s="37" t="s">
        <v>34</v>
      </c>
      <c r="K695" s="38">
        <v>30.663833</v>
      </c>
      <c r="L695" s="39"/>
      <c r="M695" s="37"/>
      <c r="N695" s="40">
        <v>12.56</v>
      </c>
      <c r="O695" s="38">
        <v>12.559718999999999</v>
      </c>
      <c r="P695" s="39"/>
      <c r="Q695" s="39"/>
      <c r="R695" s="40">
        <v>9.4030000000000005</v>
      </c>
      <c r="S695" s="38">
        <v>9.3577139999999996</v>
      </c>
      <c r="T695" s="38">
        <v>2.6579999999999999E-2</v>
      </c>
      <c r="U695" s="38">
        <v>1.9015000000000001E-2</v>
      </c>
      <c r="V695" s="8">
        <f t="shared" si="11"/>
        <v>2022</v>
      </c>
    </row>
    <row r="696" spans="1:22" ht="20.399999999999999" hidden="1" x14ac:dyDescent="0.25">
      <c r="A696" s="36">
        <v>44774</v>
      </c>
      <c r="B696" s="37" t="s">
        <v>23</v>
      </c>
      <c r="C696" s="37" t="s">
        <v>123</v>
      </c>
      <c r="D696" s="37" t="s">
        <v>64</v>
      </c>
      <c r="E696" s="37" t="s">
        <v>6</v>
      </c>
      <c r="F696" s="37" t="s">
        <v>137</v>
      </c>
      <c r="G696" s="37" t="s">
        <v>64</v>
      </c>
      <c r="H696" s="37" t="s">
        <v>138</v>
      </c>
      <c r="I696" s="37" t="s">
        <v>127</v>
      </c>
      <c r="J696" s="37" t="s">
        <v>34</v>
      </c>
      <c r="K696" s="38">
        <v>30.663833</v>
      </c>
      <c r="L696" s="39"/>
      <c r="M696" s="37"/>
      <c r="N696" s="40">
        <v>12.56</v>
      </c>
      <c r="O696" s="38">
        <v>12.559718999999999</v>
      </c>
      <c r="P696" s="39"/>
      <c r="Q696" s="39"/>
      <c r="R696" s="40">
        <v>9.4030000000000005</v>
      </c>
      <c r="S696" s="38">
        <v>9.3577139999999996</v>
      </c>
      <c r="T696" s="38">
        <v>2.6579999999999999E-2</v>
      </c>
      <c r="U696" s="38">
        <v>1.9015000000000001E-2</v>
      </c>
      <c r="V696" s="8">
        <f t="shared" si="11"/>
        <v>2022</v>
      </c>
    </row>
    <row r="697" spans="1:22" ht="20.399999999999999" hidden="1" x14ac:dyDescent="0.25">
      <c r="A697" s="36">
        <v>44805</v>
      </c>
      <c r="B697" s="37" t="s">
        <v>23</v>
      </c>
      <c r="C697" s="37" t="s">
        <v>123</v>
      </c>
      <c r="D697" s="37" t="s">
        <v>64</v>
      </c>
      <c r="E697" s="37" t="s">
        <v>6</v>
      </c>
      <c r="F697" s="37" t="s">
        <v>137</v>
      </c>
      <c r="G697" s="37" t="s">
        <v>64</v>
      </c>
      <c r="H697" s="37" t="s">
        <v>138</v>
      </c>
      <c r="I697" s="37" t="s">
        <v>127</v>
      </c>
      <c r="J697" s="37" t="s">
        <v>34</v>
      </c>
      <c r="K697" s="38">
        <v>30.663833</v>
      </c>
      <c r="L697" s="39"/>
      <c r="M697" s="37"/>
      <c r="N697" s="40">
        <v>12.56</v>
      </c>
      <c r="O697" s="38">
        <v>12.559718999999999</v>
      </c>
      <c r="P697" s="39"/>
      <c r="Q697" s="39"/>
      <c r="R697" s="40">
        <v>9.4030000000000005</v>
      </c>
      <c r="S697" s="38">
        <v>9.3577139999999996</v>
      </c>
      <c r="T697" s="38">
        <v>2.6579999999999999E-2</v>
      </c>
      <c r="U697" s="38">
        <v>1.9015000000000001E-2</v>
      </c>
      <c r="V697" s="8">
        <f t="shared" si="11"/>
        <v>2022</v>
      </c>
    </row>
    <row r="698" spans="1:22" ht="20.399999999999999" hidden="1" x14ac:dyDescent="0.25">
      <c r="A698" s="36">
        <v>44835</v>
      </c>
      <c r="B698" s="37" t="s">
        <v>23</v>
      </c>
      <c r="C698" s="37" t="s">
        <v>123</v>
      </c>
      <c r="D698" s="37" t="s">
        <v>64</v>
      </c>
      <c r="E698" s="37" t="s">
        <v>6</v>
      </c>
      <c r="F698" s="37" t="s">
        <v>137</v>
      </c>
      <c r="G698" s="37" t="s">
        <v>64</v>
      </c>
      <c r="H698" s="37" t="s">
        <v>138</v>
      </c>
      <c r="I698" s="37" t="s">
        <v>127</v>
      </c>
      <c r="J698" s="37" t="s">
        <v>34</v>
      </c>
      <c r="K698" s="38">
        <v>30.663833</v>
      </c>
      <c r="L698" s="39"/>
      <c r="M698" s="37"/>
      <c r="N698" s="40">
        <v>12.56</v>
      </c>
      <c r="O698" s="38">
        <v>12.559718999999999</v>
      </c>
      <c r="P698" s="39"/>
      <c r="Q698" s="39"/>
      <c r="R698" s="40">
        <v>9.4030000000000005</v>
      </c>
      <c r="S698" s="38">
        <v>9.3577139999999996</v>
      </c>
      <c r="T698" s="38">
        <v>2.6579999999999999E-2</v>
      </c>
      <c r="U698" s="38">
        <v>1.9015000000000001E-2</v>
      </c>
      <c r="V698" s="8">
        <f t="shared" si="11"/>
        <v>2022</v>
      </c>
    </row>
    <row r="699" spans="1:22" ht="20.399999999999999" hidden="1" x14ac:dyDescent="0.25">
      <c r="A699" s="36">
        <v>44866</v>
      </c>
      <c r="B699" s="37" t="s">
        <v>23</v>
      </c>
      <c r="C699" s="37" t="s">
        <v>123</v>
      </c>
      <c r="D699" s="37" t="s">
        <v>64</v>
      </c>
      <c r="E699" s="37" t="s">
        <v>6</v>
      </c>
      <c r="F699" s="37" t="s">
        <v>137</v>
      </c>
      <c r="G699" s="37" t="s">
        <v>64</v>
      </c>
      <c r="H699" s="37" t="s">
        <v>138</v>
      </c>
      <c r="I699" s="37" t="s">
        <v>127</v>
      </c>
      <c r="J699" s="37" t="s">
        <v>34</v>
      </c>
      <c r="K699" s="38">
        <v>30.663833</v>
      </c>
      <c r="L699" s="39"/>
      <c r="M699" s="37"/>
      <c r="N699" s="40">
        <v>12.56</v>
      </c>
      <c r="O699" s="38">
        <v>12.559718999999999</v>
      </c>
      <c r="P699" s="39"/>
      <c r="Q699" s="39"/>
      <c r="R699" s="40">
        <v>9.4030000000000005</v>
      </c>
      <c r="S699" s="38">
        <v>9.3577139999999996</v>
      </c>
      <c r="T699" s="38">
        <v>2.6579999999999999E-2</v>
      </c>
      <c r="U699" s="38">
        <v>1.9015000000000001E-2</v>
      </c>
      <c r="V699" s="8">
        <f t="shared" si="11"/>
        <v>2022</v>
      </c>
    </row>
    <row r="700" spans="1:22" ht="20.399999999999999" hidden="1" x14ac:dyDescent="0.25">
      <c r="A700" s="36">
        <v>44896</v>
      </c>
      <c r="B700" s="37" t="s">
        <v>23</v>
      </c>
      <c r="C700" s="37" t="s">
        <v>123</v>
      </c>
      <c r="D700" s="37" t="s">
        <v>64</v>
      </c>
      <c r="E700" s="37" t="s">
        <v>6</v>
      </c>
      <c r="F700" s="37" t="s">
        <v>137</v>
      </c>
      <c r="G700" s="37" t="s">
        <v>64</v>
      </c>
      <c r="H700" s="37" t="s">
        <v>138</v>
      </c>
      <c r="I700" s="37" t="s">
        <v>127</v>
      </c>
      <c r="J700" s="37" t="s">
        <v>34</v>
      </c>
      <c r="K700" s="38">
        <v>30.663833</v>
      </c>
      <c r="L700" s="39"/>
      <c r="M700" s="37"/>
      <c r="N700" s="40">
        <v>12.56</v>
      </c>
      <c r="O700" s="38">
        <v>12.559718999999999</v>
      </c>
      <c r="P700" s="39"/>
      <c r="Q700" s="39"/>
      <c r="R700" s="40">
        <v>9.4030000000000005</v>
      </c>
      <c r="S700" s="38">
        <v>9.3577139999999996</v>
      </c>
      <c r="T700" s="38">
        <v>2.6579999999999999E-2</v>
      </c>
      <c r="U700" s="38">
        <v>1.9015000000000001E-2</v>
      </c>
      <c r="V700" s="8">
        <f t="shared" si="11"/>
        <v>2022</v>
      </c>
    </row>
    <row r="701" spans="1:22" ht="20.399999999999999" hidden="1" x14ac:dyDescent="0.25">
      <c r="A701" s="36">
        <v>44927</v>
      </c>
      <c r="B701" s="37" t="s">
        <v>23</v>
      </c>
      <c r="C701" s="37" t="s">
        <v>123</v>
      </c>
      <c r="D701" s="37" t="s">
        <v>64</v>
      </c>
      <c r="E701" s="37" t="s">
        <v>6</v>
      </c>
      <c r="F701" s="37" t="s">
        <v>137</v>
      </c>
      <c r="G701" s="37" t="s">
        <v>64</v>
      </c>
      <c r="H701" s="37" t="s">
        <v>138</v>
      </c>
      <c r="I701" s="37" t="s">
        <v>127</v>
      </c>
      <c r="J701" s="37" t="s">
        <v>34</v>
      </c>
      <c r="K701" s="38">
        <v>35.170999999999999</v>
      </c>
      <c r="L701" s="39"/>
      <c r="M701" s="37"/>
      <c r="N701" s="40">
        <v>10.736000000000001</v>
      </c>
      <c r="O701" s="38">
        <v>10.735671999999999</v>
      </c>
      <c r="P701" s="39"/>
      <c r="Q701" s="39"/>
      <c r="R701" s="40">
        <v>10.785</v>
      </c>
      <c r="S701" s="38">
        <v>10.733171</v>
      </c>
      <c r="T701" s="38">
        <v>3.0487E-2</v>
      </c>
      <c r="U701" s="38">
        <v>2.181E-2</v>
      </c>
      <c r="V701" s="8">
        <f t="shared" si="11"/>
        <v>2023</v>
      </c>
    </row>
    <row r="702" spans="1:22" ht="20.399999999999999" hidden="1" x14ac:dyDescent="0.25">
      <c r="A702" s="36">
        <v>44958</v>
      </c>
      <c r="B702" s="37" t="s">
        <v>23</v>
      </c>
      <c r="C702" s="37" t="s">
        <v>123</v>
      </c>
      <c r="D702" s="37" t="s">
        <v>64</v>
      </c>
      <c r="E702" s="37" t="s">
        <v>6</v>
      </c>
      <c r="F702" s="37" t="s">
        <v>137</v>
      </c>
      <c r="G702" s="37" t="s">
        <v>64</v>
      </c>
      <c r="H702" s="37" t="s">
        <v>138</v>
      </c>
      <c r="I702" s="37" t="s">
        <v>127</v>
      </c>
      <c r="J702" s="37" t="s">
        <v>34</v>
      </c>
      <c r="K702" s="38">
        <v>33.719000000000001</v>
      </c>
      <c r="L702" s="39"/>
      <c r="M702" s="37"/>
      <c r="N702" s="40">
        <v>10.292</v>
      </c>
      <c r="O702" s="38">
        <v>10.292460999999999</v>
      </c>
      <c r="P702" s="39"/>
      <c r="Q702" s="39"/>
      <c r="R702" s="40">
        <v>10.34</v>
      </c>
      <c r="S702" s="38">
        <v>10.290063</v>
      </c>
      <c r="T702" s="38">
        <v>2.9228000000000001E-2</v>
      </c>
      <c r="U702" s="38">
        <v>2.0909000000000001E-2</v>
      </c>
      <c r="V702" s="8">
        <f t="shared" si="11"/>
        <v>2023</v>
      </c>
    </row>
    <row r="703" spans="1:22" ht="20.399999999999999" hidden="1" x14ac:dyDescent="0.25">
      <c r="A703" s="36">
        <v>44986</v>
      </c>
      <c r="B703" s="37" t="s">
        <v>23</v>
      </c>
      <c r="C703" s="37" t="s">
        <v>123</v>
      </c>
      <c r="D703" s="37" t="s">
        <v>64</v>
      </c>
      <c r="E703" s="37" t="s">
        <v>6</v>
      </c>
      <c r="F703" s="37" t="s">
        <v>137</v>
      </c>
      <c r="G703" s="37" t="s">
        <v>64</v>
      </c>
      <c r="H703" s="37" t="s">
        <v>138</v>
      </c>
      <c r="I703" s="37" t="s">
        <v>127</v>
      </c>
      <c r="J703" s="37" t="s">
        <v>34</v>
      </c>
      <c r="K703" s="38">
        <v>41.51</v>
      </c>
      <c r="L703" s="39"/>
      <c r="M703" s="37"/>
      <c r="N703" s="40">
        <v>12.670999999999999</v>
      </c>
      <c r="O703" s="38">
        <v>12.670603</v>
      </c>
      <c r="P703" s="39"/>
      <c r="Q703" s="39"/>
      <c r="R703" s="40">
        <v>12.728999999999999</v>
      </c>
      <c r="S703" s="38">
        <v>12.66765</v>
      </c>
      <c r="T703" s="38">
        <v>3.5980999999999999E-2</v>
      </c>
      <c r="U703" s="38">
        <v>2.5741E-2</v>
      </c>
      <c r="V703" s="8">
        <f t="shared" si="11"/>
        <v>2023</v>
      </c>
    </row>
    <row r="704" spans="1:22" ht="20.399999999999999" hidden="1" x14ac:dyDescent="0.25">
      <c r="A704" s="36">
        <v>45017</v>
      </c>
      <c r="B704" s="37" t="s">
        <v>23</v>
      </c>
      <c r="C704" s="37" t="s">
        <v>123</v>
      </c>
      <c r="D704" s="37" t="s">
        <v>64</v>
      </c>
      <c r="E704" s="37" t="s">
        <v>6</v>
      </c>
      <c r="F704" s="37" t="s">
        <v>137</v>
      </c>
      <c r="G704" s="37" t="s">
        <v>64</v>
      </c>
      <c r="H704" s="37" t="s">
        <v>138</v>
      </c>
      <c r="I704" s="37" t="s">
        <v>127</v>
      </c>
      <c r="J704" s="37" t="s">
        <v>34</v>
      </c>
      <c r="K704" s="38">
        <v>35.750999999999998</v>
      </c>
      <c r="L704" s="39"/>
      <c r="M704" s="37"/>
      <c r="N704" s="40">
        <v>10.913</v>
      </c>
      <c r="O704" s="38">
        <v>10.912713</v>
      </c>
      <c r="P704" s="39"/>
      <c r="Q704" s="39"/>
      <c r="R704" s="40">
        <v>10.962999999999999</v>
      </c>
      <c r="S704" s="38">
        <v>10.910170000000001</v>
      </c>
      <c r="T704" s="38">
        <v>3.099E-2</v>
      </c>
      <c r="U704" s="38">
        <v>2.2169000000000001E-2</v>
      </c>
      <c r="V704" s="8">
        <f t="shared" si="11"/>
        <v>2023</v>
      </c>
    </row>
    <row r="705" spans="1:22" ht="20.399999999999999" hidden="1" x14ac:dyDescent="0.25">
      <c r="A705" s="36">
        <v>45047</v>
      </c>
      <c r="B705" s="37" t="s">
        <v>23</v>
      </c>
      <c r="C705" s="37" t="s">
        <v>123</v>
      </c>
      <c r="D705" s="37" t="s">
        <v>64</v>
      </c>
      <c r="E705" s="37" t="s">
        <v>6</v>
      </c>
      <c r="F705" s="37" t="s">
        <v>137</v>
      </c>
      <c r="G705" s="37" t="s">
        <v>64</v>
      </c>
      <c r="H705" s="37" t="s">
        <v>138</v>
      </c>
      <c r="I705" s="37" t="s">
        <v>127</v>
      </c>
      <c r="J705" s="37" t="s">
        <v>34</v>
      </c>
      <c r="K705" s="38">
        <v>34</v>
      </c>
      <c r="L705" s="39"/>
      <c r="M705" s="37"/>
      <c r="N705" s="40">
        <v>10.378</v>
      </c>
      <c r="O705" s="38">
        <v>10.378234000000001</v>
      </c>
      <c r="P705" s="39"/>
      <c r="Q705" s="39"/>
      <c r="R705" s="40">
        <v>10.426</v>
      </c>
      <c r="S705" s="38">
        <v>10.375816</v>
      </c>
      <c r="T705" s="38">
        <v>2.9472000000000002E-2</v>
      </c>
      <c r="U705" s="38">
        <v>2.1083999999999999E-2</v>
      </c>
      <c r="V705" s="8">
        <f t="shared" si="11"/>
        <v>2023</v>
      </c>
    </row>
    <row r="706" spans="1:22" ht="20.399999999999999" hidden="1" x14ac:dyDescent="0.25">
      <c r="A706" s="36">
        <v>45078</v>
      </c>
      <c r="B706" s="37" t="s">
        <v>23</v>
      </c>
      <c r="C706" s="37" t="s">
        <v>123</v>
      </c>
      <c r="D706" s="37" t="s">
        <v>64</v>
      </c>
      <c r="E706" s="37" t="s">
        <v>6</v>
      </c>
      <c r="F706" s="37" t="s">
        <v>137</v>
      </c>
      <c r="G706" s="37" t="s">
        <v>64</v>
      </c>
      <c r="H706" s="37" t="s">
        <v>138</v>
      </c>
      <c r="I706" s="37" t="s">
        <v>127</v>
      </c>
      <c r="J706" s="37" t="s">
        <v>34</v>
      </c>
      <c r="K706" s="38">
        <v>34</v>
      </c>
      <c r="L706" s="39"/>
      <c r="M706" s="37"/>
      <c r="N706" s="40">
        <v>10.378</v>
      </c>
      <c r="O706" s="38">
        <v>10.378234000000001</v>
      </c>
      <c r="P706" s="39"/>
      <c r="Q706" s="39"/>
      <c r="R706" s="40">
        <v>10.426</v>
      </c>
      <c r="S706" s="38">
        <v>10.375816</v>
      </c>
      <c r="T706" s="38">
        <v>2.9472000000000002E-2</v>
      </c>
      <c r="U706" s="38">
        <v>2.1083999999999999E-2</v>
      </c>
      <c r="V706" s="8">
        <f t="shared" si="11"/>
        <v>2023</v>
      </c>
    </row>
    <row r="707" spans="1:22" ht="20.399999999999999" hidden="1" x14ac:dyDescent="0.25">
      <c r="A707" s="36">
        <v>45108</v>
      </c>
      <c r="B707" s="37" t="s">
        <v>23</v>
      </c>
      <c r="C707" s="37" t="s">
        <v>123</v>
      </c>
      <c r="D707" s="37" t="s">
        <v>64</v>
      </c>
      <c r="E707" s="37" t="s">
        <v>6</v>
      </c>
      <c r="F707" s="37" t="s">
        <v>137</v>
      </c>
      <c r="G707" s="37" t="s">
        <v>64</v>
      </c>
      <c r="H707" s="37" t="s">
        <v>138</v>
      </c>
      <c r="I707" s="37" t="s">
        <v>127</v>
      </c>
      <c r="J707" s="37" t="s">
        <v>34</v>
      </c>
      <c r="K707" s="38">
        <v>34.29</v>
      </c>
      <c r="L707" s="39"/>
      <c r="M707" s="37"/>
      <c r="N707" s="40">
        <v>10.467000000000001</v>
      </c>
      <c r="O707" s="38">
        <v>10.466754</v>
      </c>
      <c r="P707" s="39"/>
      <c r="Q707" s="39"/>
      <c r="R707" s="40">
        <v>10.515000000000001</v>
      </c>
      <c r="S707" s="38">
        <v>10.464314999999999</v>
      </c>
      <c r="T707" s="38">
        <v>2.9722999999999999E-2</v>
      </c>
      <c r="U707" s="38">
        <v>2.1263000000000001E-2</v>
      </c>
      <c r="V707" s="8">
        <f t="shared" si="11"/>
        <v>2023</v>
      </c>
    </row>
    <row r="708" spans="1:22" ht="20.399999999999999" hidden="1" x14ac:dyDescent="0.25">
      <c r="A708" s="36">
        <v>45139</v>
      </c>
      <c r="B708" s="37" t="s">
        <v>23</v>
      </c>
      <c r="C708" s="37" t="s">
        <v>123</v>
      </c>
      <c r="D708" s="37" t="s">
        <v>64</v>
      </c>
      <c r="E708" s="37" t="s">
        <v>6</v>
      </c>
      <c r="F708" s="37" t="s">
        <v>137</v>
      </c>
      <c r="G708" s="37" t="s">
        <v>64</v>
      </c>
      <c r="H708" s="37" t="s">
        <v>138</v>
      </c>
      <c r="I708" s="37" t="s">
        <v>127</v>
      </c>
      <c r="J708" s="37" t="s">
        <v>34</v>
      </c>
      <c r="K708" s="38">
        <v>35.228000000000002</v>
      </c>
      <c r="L708" s="39"/>
      <c r="M708" s="37"/>
      <c r="N708" s="40">
        <v>10.753</v>
      </c>
      <c r="O708" s="38">
        <v>10.753071</v>
      </c>
      <c r="P708" s="39"/>
      <c r="Q708" s="39"/>
      <c r="R708" s="40">
        <v>10.803000000000001</v>
      </c>
      <c r="S708" s="38">
        <v>10.750565999999999</v>
      </c>
      <c r="T708" s="38">
        <v>3.0536000000000001E-2</v>
      </c>
      <c r="U708" s="38">
        <v>2.1845E-2</v>
      </c>
      <c r="V708" s="8">
        <f t="shared" si="11"/>
        <v>2023</v>
      </c>
    </row>
    <row r="709" spans="1:22" ht="20.399999999999999" hidden="1" x14ac:dyDescent="0.25">
      <c r="A709" s="36">
        <v>45170</v>
      </c>
      <c r="B709" s="37" t="s">
        <v>23</v>
      </c>
      <c r="C709" s="37" t="s">
        <v>123</v>
      </c>
      <c r="D709" s="37" t="s">
        <v>64</v>
      </c>
      <c r="E709" s="37" t="s">
        <v>6</v>
      </c>
      <c r="F709" s="37" t="s">
        <v>137</v>
      </c>
      <c r="G709" s="37" t="s">
        <v>64</v>
      </c>
      <c r="H709" s="37" t="s">
        <v>138</v>
      </c>
      <c r="I709" s="37" t="s">
        <v>127</v>
      </c>
      <c r="J709" s="37" t="s">
        <v>34</v>
      </c>
      <c r="K709" s="38">
        <v>35</v>
      </c>
      <c r="L709" s="39"/>
      <c r="M709" s="37"/>
      <c r="N709" s="40">
        <v>10.683</v>
      </c>
      <c r="O709" s="38">
        <v>10.683476000000001</v>
      </c>
      <c r="P709" s="39"/>
      <c r="Q709" s="39"/>
      <c r="R709" s="40">
        <v>10.733000000000001</v>
      </c>
      <c r="S709" s="38">
        <v>10.680987</v>
      </c>
      <c r="T709" s="38">
        <v>3.0339000000000001E-2</v>
      </c>
      <c r="U709" s="38">
        <v>2.1704000000000001E-2</v>
      </c>
      <c r="V709" s="8">
        <f t="shared" si="11"/>
        <v>2023</v>
      </c>
    </row>
    <row r="710" spans="1:22" ht="20.399999999999999" hidden="1" x14ac:dyDescent="0.25">
      <c r="A710" s="36">
        <v>45200</v>
      </c>
      <c r="B710" s="37" t="s">
        <v>23</v>
      </c>
      <c r="C710" s="37" t="s">
        <v>123</v>
      </c>
      <c r="D710" s="37" t="s">
        <v>64</v>
      </c>
      <c r="E710" s="37" t="s">
        <v>6</v>
      </c>
      <c r="F710" s="37" t="s">
        <v>137</v>
      </c>
      <c r="G710" s="37" t="s">
        <v>64</v>
      </c>
      <c r="H710" s="37" t="s">
        <v>138</v>
      </c>
      <c r="I710" s="37" t="s">
        <v>127</v>
      </c>
      <c r="J710" s="37" t="s">
        <v>34</v>
      </c>
      <c r="K710" s="38">
        <v>31.872</v>
      </c>
      <c r="L710" s="39"/>
      <c r="M710" s="37"/>
      <c r="N710" s="40">
        <v>9.7289999999999992</v>
      </c>
      <c r="O710" s="38">
        <v>9.7286789999999996</v>
      </c>
      <c r="P710" s="39"/>
      <c r="Q710" s="39"/>
      <c r="R710" s="40">
        <v>9.7739999999999991</v>
      </c>
      <c r="S710" s="38">
        <v>9.7264119999999998</v>
      </c>
      <c r="T710" s="38">
        <v>2.7626999999999999E-2</v>
      </c>
      <c r="U710" s="38">
        <v>1.9764E-2</v>
      </c>
      <c r="V710" s="8">
        <f t="shared" si="11"/>
        <v>2023</v>
      </c>
    </row>
    <row r="711" spans="1:22" ht="20.399999999999999" hidden="1" x14ac:dyDescent="0.25">
      <c r="A711" s="36">
        <v>45231</v>
      </c>
      <c r="B711" s="37" t="s">
        <v>23</v>
      </c>
      <c r="C711" s="37" t="s">
        <v>123</v>
      </c>
      <c r="D711" s="37" t="s">
        <v>64</v>
      </c>
      <c r="E711" s="37" t="s">
        <v>6</v>
      </c>
      <c r="F711" s="37" t="s">
        <v>137</v>
      </c>
      <c r="G711" s="37" t="s">
        <v>64</v>
      </c>
      <c r="H711" s="37" t="s">
        <v>138</v>
      </c>
      <c r="I711" s="37" t="s">
        <v>127</v>
      </c>
      <c r="J711" s="37" t="s">
        <v>34</v>
      </c>
      <c r="K711" s="38">
        <v>31.975000000000001</v>
      </c>
      <c r="L711" s="42">
        <v>5477.58</v>
      </c>
      <c r="M711" s="37"/>
      <c r="N711" s="40">
        <v>9.76</v>
      </c>
      <c r="O711" s="38">
        <v>9.7601180000000003</v>
      </c>
      <c r="P711" s="39"/>
      <c r="Q711" s="39"/>
      <c r="R711" s="40">
        <v>9.8049999999999997</v>
      </c>
      <c r="S711" s="38">
        <v>9.7578440000000004</v>
      </c>
      <c r="T711" s="38">
        <v>2.7716000000000001E-2</v>
      </c>
      <c r="U711" s="38">
        <v>1.9827999999999998E-2</v>
      </c>
      <c r="V711" s="8">
        <f t="shared" si="11"/>
        <v>2023</v>
      </c>
    </row>
    <row r="712" spans="1:22" ht="20.399999999999999" hidden="1" x14ac:dyDescent="0.25">
      <c r="A712" s="36">
        <v>45261</v>
      </c>
      <c r="B712" s="37" t="s">
        <v>23</v>
      </c>
      <c r="C712" s="37" t="s">
        <v>123</v>
      </c>
      <c r="D712" s="37" t="s">
        <v>64</v>
      </c>
      <c r="E712" s="37" t="s">
        <v>6</v>
      </c>
      <c r="F712" s="37" t="s">
        <v>137</v>
      </c>
      <c r="G712" s="37" t="s">
        <v>64</v>
      </c>
      <c r="H712" s="37" t="s">
        <v>138</v>
      </c>
      <c r="I712" s="37" t="s">
        <v>127</v>
      </c>
      <c r="J712" s="37" t="s">
        <v>34</v>
      </c>
      <c r="K712" s="38">
        <v>0</v>
      </c>
      <c r="L712" s="42">
        <v>5820.73</v>
      </c>
      <c r="M712" s="37"/>
      <c r="N712" s="40">
        <v>0</v>
      </c>
      <c r="O712" s="38">
        <v>0</v>
      </c>
      <c r="P712" s="39"/>
      <c r="Q712" s="39"/>
      <c r="R712" s="40">
        <v>0</v>
      </c>
      <c r="S712" s="38">
        <v>0</v>
      </c>
      <c r="T712" s="38">
        <v>0</v>
      </c>
      <c r="U712" s="38">
        <v>0</v>
      </c>
      <c r="V712" s="8">
        <f t="shared" si="11"/>
        <v>2023</v>
      </c>
    </row>
    <row r="713" spans="1:22" ht="20.399999999999999" hidden="1" x14ac:dyDescent="0.25">
      <c r="A713" s="36">
        <v>45231</v>
      </c>
      <c r="B713" s="37" t="s">
        <v>29</v>
      </c>
      <c r="C713" s="37" t="s">
        <v>123</v>
      </c>
      <c r="D713" s="37" t="s">
        <v>64</v>
      </c>
      <c r="E713" s="37" t="s">
        <v>7</v>
      </c>
      <c r="F713" s="37" t="s">
        <v>137</v>
      </c>
      <c r="G713" s="37" t="s">
        <v>64</v>
      </c>
      <c r="H713" s="37" t="s">
        <v>138</v>
      </c>
      <c r="I713" s="37" t="s">
        <v>127</v>
      </c>
      <c r="J713" s="37" t="s">
        <v>36</v>
      </c>
      <c r="K713" s="38">
        <v>0</v>
      </c>
      <c r="L713" s="42">
        <v>397.11</v>
      </c>
      <c r="M713" s="37"/>
      <c r="N713" s="40">
        <v>0</v>
      </c>
      <c r="O713" s="38">
        <v>0</v>
      </c>
      <c r="P713" s="39"/>
      <c r="Q713" s="39"/>
      <c r="R713" s="40">
        <v>0</v>
      </c>
      <c r="S713" s="38">
        <v>0</v>
      </c>
      <c r="T713" s="39"/>
      <c r="U713" s="39"/>
      <c r="V713" s="8">
        <f t="shared" si="11"/>
        <v>2023</v>
      </c>
    </row>
    <row r="714" spans="1:22" ht="20.399999999999999" hidden="1" x14ac:dyDescent="0.25">
      <c r="A714" s="36">
        <v>45261</v>
      </c>
      <c r="B714" s="37" t="s">
        <v>25</v>
      </c>
      <c r="C714" s="37" t="s">
        <v>123</v>
      </c>
      <c r="D714" s="37" t="s">
        <v>64</v>
      </c>
      <c r="E714" s="37" t="s">
        <v>7</v>
      </c>
      <c r="F714" s="37" t="s">
        <v>137</v>
      </c>
      <c r="G714" s="37" t="s">
        <v>64</v>
      </c>
      <c r="H714" s="37" t="s">
        <v>138</v>
      </c>
      <c r="I714" s="37" t="s">
        <v>127</v>
      </c>
      <c r="J714" s="37" t="s">
        <v>36</v>
      </c>
      <c r="K714" s="38">
        <v>0.86182499999999995</v>
      </c>
      <c r="L714" s="39"/>
      <c r="M714" s="37"/>
      <c r="N714" s="40">
        <v>0.44800000000000001</v>
      </c>
      <c r="O714" s="38">
        <v>0.44843699999999997</v>
      </c>
      <c r="P714" s="39"/>
      <c r="Q714" s="39"/>
      <c r="R714" s="40">
        <v>0.44800000000000001</v>
      </c>
      <c r="S714" s="38">
        <v>0.44843699999999997</v>
      </c>
      <c r="T714" s="39"/>
      <c r="U714" s="39"/>
      <c r="V714" s="8">
        <f t="shared" si="11"/>
        <v>2023</v>
      </c>
    </row>
    <row r="715" spans="1:22" hidden="1" x14ac:dyDescent="0.25">
      <c r="A715" s="36">
        <v>44562</v>
      </c>
      <c r="B715" s="37" t="s">
        <v>11</v>
      </c>
      <c r="C715" s="37" t="s">
        <v>113</v>
      </c>
      <c r="D715" s="37" t="s">
        <v>65</v>
      </c>
      <c r="E715" s="37" t="s">
        <v>5</v>
      </c>
      <c r="F715" s="37" t="s">
        <v>139</v>
      </c>
      <c r="G715" s="37" t="s">
        <v>65</v>
      </c>
      <c r="H715" s="37" t="s">
        <v>115</v>
      </c>
      <c r="I715" s="37" t="s">
        <v>116</v>
      </c>
      <c r="J715" s="37" t="s">
        <v>34</v>
      </c>
      <c r="K715" s="38">
        <v>0</v>
      </c>
      <c r="L715" s="39"/>
      <c r="M715" s="37"/>
      <c r="N715" s="40">
        <v>0</v>
      </c>
      <c r="O715" s="38">
        <v>0</v>
      </c>
      <c r="P715" s="38">
        <v>0</v>
      </c>
      <c r="Q715" s="38">
        <v>0</v>
      </c>
      <c r="R715" s="40">
        <v>0</v>
      </c>
      <c r="S715" s="38">
        <v>0</v>
      </c>
      <c r="T715" s="38">
        <v>0</v>
      </c>
      <c r="U715" s="38">
        <v>0</v>
      </c>
      <c r="V715" s="8">
        <f t="shared" si="11"/>
        <v>2022</v>
      </c>
    </row>
    <row r="716" spans="1:22" hidden="1" x14ac:dyDescent="0.25">
      <c r="A716" s="36">
        <v>44562</v>
      </c>
      <c r="B716" s="37" t="s">
        <v>19</v>
      </c>
      <c r="C716" s="37" t="s">
        <v>113</v>
      </c>
      <c r="D716" s="37" t="s">
        <v>65</v>
      </c>
      <c r="E716" s="37" t="s">
        <v>5</v>
      </c>
      <c r="F716" s="37" t="s">
        <v>139</v>
      </c>
      <c r="G716" s="37" t="s">
        <v>65</v>
      </c>
      <c r="H716" s="37" t="s">
        <v>115</v>
      </c>
      <c r="I716" s="37" t="s">
        <v>116</v>
      </c>
      <c r="J716" s="37" t="s">
        <v>34</v>
      </c>
      <c r="K716" s="38">
        <v>2.3853930000000001</v>
      </c>
      <c r="L716" s="39"/>
      <c r="M716" s="37"/>
      <c r="N716" s="40">
        <v>0.432</v>
      </c>
      <c r="O716" s="38">
        <v>0.431871</v>
      </c>
      <c r="P716" s="38">
        <v>2.22E-4</v>
      </c>
      <c r="Q716" s="38">
        <v>2.43E-4</v>
      </c>
      <c r="R716" s="40">
        <v>0.432</v>
      </c>
      <c r="S716" s="38">
        <v>0.431871</v>
      </c>
      <c r="T716" s="38">
        <v>2.22E-4</v>
      </c>
      <c r="U716" s="38">
        <v>2.43E-4</v>
      </c>
      <c r="V716" s="8">
        <f t="shared" si="11"/>
        <v>2022</v>
      </c>
    </row>
    <row r="717" spans="1:22" hidden="1" x14ac:dyDescent="0.25">
      <c r="A717" s="36">
        <v>44562</v>
      </c>
      <c r="B717" s="37" t="s">
        <v>20</v>
      </c>
      <c r="C717" s="37" t="s">
        <v>113</v>
      </c>
      <c r="D717" s="37" t="s">
        <v>65</v>
      </c>
      <c r="E717" s="37" t="s">
        <v>5</v>
      </c>
      <c r="F717" s="37" t="s">
        <v>139</v>
      </c>
      <c r="G717" s="37" t="s">
        <v>65</v>
      </c>
      <c r="H717" s="37" t="s">
        <v>115</v>
      </c>
      <c r="I717" s="37" t="s">
        <v>116</v>
      </c>
      <c r="J717" s="37" t="s">
        <v>34</v>
      </c>
      <c r="K717" s="38">
        <v>0</v>
      </c>
      <c r="L717" s="39"/>
      <c r="M717" s="37"/>
      <c r="N717" s="40">
        <v>0</v>
      </c>
      <c r="O717" s="38">
        <v>0</v>
      </c>
      <c r="P717" s="38">
        <v>0</v>
      </c>
      <c r="Q717" s="38">
        <v>0</v>
      </c>
      <c r="R717" s="39" t="s">
        <v>117</v>
      </c>
      <c r="S717" s="39"/>
      <c r="T717" s="39"/>
      <c r="U717" s="39"/>
      <c r="V717" s="8">
        <f t="shared" si="11"/>
        <v>2022</v>
      </c>
    </row>
    <row r="718" spans="1:22" hidden="1" x14ac:dyDescent="0.25">
      <c r="A718" s="36">
        <v>44593</v>
      </c>
      <c r="B718" s="37" t="s">
        <v>11</v>
      </c>
      <c r="C718" s="37" t="s">
        <v>113</v>
      </c>
      <c r="D718" s="37" t="s">
        <v>65</v>
      </c>
      <c r="E718" s="37" t="s">
        <v>5</v>
      </c>
      <c r="F718" s="37" t="s">
        <v>139</v>
      </c>
      <c r="G718" s="37" t="s">
        <v>65</v>
      </c>
      <c r="H718" s="37" t="s">
        <v>115</v>
      </c>
      <c r="I718" s="37" t="s">
        <v>116</v>
      </c>
      <c r="J718" s="37" t="s">
        <v>34</v>
      </c>
      <c r="K718" s="38">
        <v>0</v>
      </c>
      <c r="L718" s="39"/>
      <c r="M718" s="37"/>
      <c r="N718" s="40">
        <v>0</v>
      </c>
      <c r="O718" s="38">
        <v>0</v>
      </c>
      <c r="P718" s="38">
        <v>0</v>
      </c>
      <c r="Q718" s="38">
        <v>0</v>
      </c>
      <c r="R718" s="40">
        <v>0</v>
      </c>
      <c r="S718" s="38">
        <v>0</v>
      </c>
      <c r="T718" s="38">
        <v>0</v>
      </c>
      <c r="U718" s="38">
        <v>0</v>
      </c>
      <c r="V718" s="8">
        <f t="shared" si="11"/>
        <v>2022</v>
      </c>
    </row>
    <row r="719" spans="1:22" hidden="1" x14ac:dyDescent="0.25">
      <c r="A719" s="36">
        <v>44593</v>
      </c>
      <c r="B719" s="37" t="s">
        <v>19</v>
      </c>
      <c r="C719" s="37" t="s">
        <v>113</v>
      </c>
      <c r="D719" s="37" t="s">
        <v>65</v>
      </c>
      <c r="E719" s="37" t="s">
        <v>5</v>
      </c>
      <c r="F719" s="37" t="s">
        <v>139</v>
      </c>
      <c r="G719" s="37" t="s">
        <v>65</v>
      </c>
      <c r="H719" s="37" t="s">
        <v>115</v>
      </c>
      <c r="I719" s="37" t="s">
        <v>116</v>
      </c>
      <c r="J719" s="37" t="s">
        <v>34</v>
      </c>
      <c r="K719" s="38">
        <v>2.3853930000000001</v>
      </c>
      <c r="L719" s="39"/>
      <c r="M719" s="37"/>
      <c r="N719" s="40">
        <v>0.432</v>
      </c>
      <c r="O719" s="38">
        <v>0.431871</v>
      </c>
      <c r="P719" s="38">
        <v>2.22E-4</v>
      </c>
      <c r="Q719" s="38">
        <v>2.43E-4</v>
      </c>
      <c r="R719" s="40">
        <v>0.432</v>
      </c>
      <c r="S719" s="38">
        <v>0.431871</v>
      </c>
      <c r="T719" s="38">
        <v>2.22E-4</v>
      </c>
      <c r="U719" s="38">
        <v>2.43E-4</v>
      </c>
      <c r="V719" s="8">
        <f t="shared" si="11"/>
        <v>2022</v>
      </c>
    </row>
    <row r="720" spans="1:22" hidden="1" x14ac:dyDescent="0.25">
      <c r="A720" s="36">
        <v>44593</v>
      </c>
      <c r="B720" s="37" t="s">
        <v>20</v>
      </c>
      <c r="C720" s="37" t="s">
        <v>113</v>
      </c>
      <c r="D720" s="37" t="s">
        <v>65</v>
      </c>
      <c r="E720" s="37" t="s">
        <v>5</v>
      </c>
      <c r="F720" s="37" t="s">
        <v>139</v>
      </c>
      <c r="G720" s="37" t="s">
        <v>65</v>
      </c>
      <c r="H720" s="37" t="s">
        <v>115</v>
      </c>
      <c r="I720" s="37" t="s">
        <v>116</v>
      </c>
      <c r="J720" s="37" t="s">
        <v>34</v>
      </c>
      <c r="K720" s="38">
        <v>0</v>
      </c>
      <c r="L720" s="39"/>
      <c r="M720" s="37"/>
      <c r="N720" s="40">
        <v>0</v>
      </c>
      <c r="O720" s="38">
        <v>0</v>
      </c>
      <c r="P720" s="38">
        <v>0</v>
      </c>
      <c r="Q720" s="38">
        <v>0</v>
      </c>
      <c r="R720" s="39" t="s">
        <v>117</v>
      </c>
      <c r="S720" s="39"/>
      <c r="T720" s="39"/>
      <c r="U720" s="39"/>
      <c r="V720" s="8">
        <f t="shared" si="11"/>
        <v>2022</v>
      </c>
    </row>
    <row r="721" spans="1:22" hidden="1" x14ac:dyDescent="0.25">
      <c r="A721" s="36">
        <v>44621</v>
      </c>
      <c r="B721" s="37" t="s">
        <v>11</v>
      </c>
      <c r="C721" s="37" t="s">
        <v>113</v>
      </c>
      <c r="D721" s="37" t="s">
        <v>65</v>
      </c>
      <c r="E721" s="37" t="s">
        <v>5</v>
      </c>
      <c r="F721" s="37" t="s">
        <v>139</v>
      </c>
      <c r="G721" s="37" t="s">
        <v>65</v>
      </c>
      <c r="H721" s="37" t="s">
        <v>115</v>
      </c>
      <c r="I721" s="37" t="s">
        <v>116</v>
      </c>
      <c r="J721" s="37" t="s">
        <v>34</v>
      </c>
      <c r="K721" s="38">
        <v>0</v>
      </c>
      <c r="L721" s="39"/>
      <c r="M721" s="37"/>
      <c r="N721" s="40">
        <v>0</v>
      </c>
      <c r="O721" s="38">
        <v>0</v>
      </c>
      <c r="P721" s="38">
        <v>0</v>
      </c>
      <c r="Q721" s="38">
        <v>0</v>
      </c>
      <c r="R721" s="40">
        <v>0</v>
      </c>
      <c r="S721" s="38">
        <v>0</v>
      </c>
      <c r="T721" s="38">
        <v>0</v>
      </c>
      <c r="U721" s="38">
        <v>0</v>
      </c>
      <c r="V721" s="8">
        <f t="shared" si="11"/>
        <v>2022</v>
      </c>
    </row>
    <row r="722" spans="1:22" hidden="1" x14ac:dyDescent="0.25">
      <c r="A722" s="36">
        <v>44621</v>
      </c>
      <c r="B722" s="37" t="s">
        <v>19</v>
      </c>
      <c r="C722" s="37" t="s">
        <v>113</v>
      </c>
      <c r="D722" s="37" t="s">
        <v>65</v>
      </c>
      <c r="E722" s="37" t="s">
        <v>5</v>
      </c>
      <c r="F722" s="37" t="s">
        <v>139</v>
      </c>
      <c r="G722" s="37" t="s">
        <v>65</v>
      </c>
      <c r="H722" s="37" t="s">
        <v>115</v>
      </c>
      <c r="I722" s="37" t="s">
        <v>116</v>
      </c>
      <c r="J722" s="37" t="s">
        <v>34</v>
      </c>
      <c r="K722" s="38">
        <v>2.3853930000000001</v>
      </c>
      <c r="L722" s="39"/>
      <c r="M722" s="37"/>
      <c r="N722" s="40">
        <v>0.432</v>
      </c>
      <c r="O722" s="38">
        <v>0.431871</v>
      </c>
      <c r="P722" s="38">
        <v>2.22E-4</v>
      </c>
      <c r="Q722" s="38">
        <v>2.43E-4</v>
      </c>
      <c r="R722" s="40">
        <v>0.432</v>
      </c>
      <c r="S722" s="38">
        <v>0.431871</v>
      </c>
      <c r="T722" s="38">
        <v>2.22E-4</v>
      </c>
      <c r="U722" s="38">
        <v>2.43E-4</v>
      </c>
      <c r="V722" s="8">
        <f t="shared" si="11"/>
        <v>2022</v>
      </c>
    </row>
    <row r="723" spans="1:22" hidden="1" x14ac:dyDescent="0.25">
      <c r="A723" s="36">
        <v>44621</v>
      </c>
      <c r="B723" s="37" t="s">
        <v>20</v>
      </c>
      <c r="C723" s="37" t="s">
        <v>113</v>
      </c>
      <c r="D723" s="37" t="s">
        <v>65</v>
      </c>
      <c r="E723" s="37" t="s">
        <v>5</v>
      </c>
      <c r="F723" s="37" t="s">
        <v>139</v>
      </c>
      <c r="G723" s="37" t="s">
        <v>65</v>
      </c>
      <c r="H723" s="37" t="s">
        <v>115</v>
      </c>
      <c r="I723" s="37" t="s">
        <v>116</v>
      </c>
      <c r="J723" s="37" t="s">
        <v>34</v>
      </c>
      <c r="K723" s="38">
        <v>0</v>
      </c>
      <c r="L723" s="39"/>
      <c r="M723" s="37"/>
      <c r="N723" s="40">
        <v>0</v>
      </c>
      <c r="O723" s="38">
        <v>0</v>
      </c>
      <c r="P723" s="38">
        <v>0</v>
      </c>
      <c r="Q723" s="38">
        <v>0</v>
      </c>
      <c r="R723" s="39" t="s">
        <v>117</v>
      </c>
      <c r="S723" s="39"/>
      <c r="T723" s="39"/>
      <c r="U723" s="39"/>
      <c r="V723" s="8">
        <f t="shared" si="11"/>
        <v>2022</v>
      </c>
    </row>
    <row r="724" spans="1:22" hidden="1" x14ac:dyDescent="0.25">
      <c r="A724" s="36">
        <v>44652</v>
      </c>
      <c r="B724" s="37" t="s">
        <v>11</v>
      </c>
      <c r="C724" s="37" t="s">
        <v>113</v>
      </c>
      <c r="D724" s="37" t="s">
        <v>65</v>
      </c>
      <c r="E724" s="37" t="s">
        <v>5</v>
      </c>
      <c r="F724" s="37" t="s">
        <v>139</v>
      </c>
      <c r="G724" s="37" t="s">
        <v>65</v>
      </c>
      <c r="H724" s="37" t="s">
        <v>115</v>
      </c>
      <c r="I724" s="37" t="s">
        <v>116</v>
      </c>
      <c r="J724" s="37" t="s">
        <v>34</v>
      </c>
      <c r="K724" s="38">
        <v>0</v>
      </c>
      <c r="L724" s="39"/>
      <c r="M724" s="37"/>
      <c r="N724" s="40">
        <v>0</v>
      </c>
      <c r="O724" s="38">
        <v>0</v>
      </c>
      <c r="P724" s="38">
        <v>0</v>
      </c>
      <c r="Q724" s="38">
        <v>0</v>
      </c>
      <c r="R724" s="40">
        <v>0</v>
      </c>
      <c r="S724" s="38">
        <v>0</v>
      </c>
      <c r="T724" s="38">
        <v>0</v>
      </c>
      <c r="U724" s="38">
        <v>0</v>
      </c>
      <c r="V724" s="8">
        <f t="shared" si="11"/>
        <v>2022</v>
      </c>
    </row>
    <row r="725" spans="1:22" hidden="1" x14ac:dyDescent="0.25">
      <c r="A725" s="36">
        <v>44652</v>
      </c>
      <c r="B725" s="37" t="s">
        <v>19</v>
      </c>
      <c r="C725" s="37" t="s">
        <v>113</v>
      </c>
      <c r="D725" s="37" t="s">
        <v>65</v>
      </c>
      <c r="E725" s="37" t="s">
        <v>5</v>
      </c>
      <c r="F725" s="37" t="s">
        <v>139</v>
      </c>
      <c r="G725" s="37" t="s">
        <v>65</v>
      </c>
      <c r="H725" s="37" t="s">
        <v>115</v>
      </c>
      <c r="I725" s="37" t="s">
        <v>116</v>
      </c>
      <c r="J725" s="37" t="s">
        <v>34</v>
      </c>
      <c r="K725" s="38">
        <v>2.3853930000000001</v>
      </c>
      <c r="L725" s="39"/>
      <c r="M725" s="37"/>
      <c r="N725" s="40">
        <v>0.432</v>
      </c>
      <c r="O725" s="38">
        <v>0.431871</v>
      </c>
      <c r="P725" s="38">
        <v>2.22E-4</v>
      </c>
      <c r="Q725" s="38">
        <v>2.43E-4</v>
      </c>
      <c r="R725" s="40">
        <v>0.432</v>
      </c>
      <c r="S725" s="38">
        <v>0.431871</v>
      </c>
      <c r="T725" s="38">
        <v>2.22E-4</v>
      </c>
      <c r="U725" s="38">
        <v>2.43E-4</v>
      </c>
      <c r="V725" s="8">
        <f t="shared" si="11"/>
        <v>2022</v>
      </c>
    </row>
    <row r="726" spans="1:22" hidden="1" x14ac:dyDescent="0.25">
      <c r="A726" s="36">
        <v>44652</v>
      </c>
      <c r="B726" s="37" t="s">
        <v>20</v>
      </c>
      <c r="C726" s="37" t="s">
        <v>113</v>
      </c>
      <c r="D726" s="37" t="s">
        <v>65</v>
      </c>
      <c r="E726" s="37" t="s">
        <v>5</v>
      </c>
      <c r="F726" s="37" t="s">
        <v>139</v>
      </c>
      <c r="G726" s="37" t="s">
        <v>65</v>
      </c>
      <c r="H726" s="37" t="s">
        <v>115</v>
      </c>
      <c r="I726" s="37" t="s">
        <v>116</v>
      </c>
      <c r="J726" s="37" t="s">
        <v>34</v>
      </c>
      <c r="K726" s="38">
        <v>0</v>
      </c>
      <c r="L726" s="39"/>
      <c r="M726" s="37"/>
      <c r="N726" s="40">
        <v>0</v>
      </c>
      <c r="O726" s="38">
        <v>0</v>
      </c>
      <c r="P726" s="38">
        <v>0</v>
      </c>
      <c r="Q726" s="38">
        <v>0</v>
      </c>
      <c r="R726" s="39" t="s">
        <v>117</v>
      </c>
      <c r="S726" s="39"/>
      <c r="T726" s="39"/>
      <c r="U726" s="39"/>
      <c r="V726" s="8">
        <f t="shared" si="11"/>
        <v>2022</v>
      </c>
    </row>
    <row r="727" spans="1:22" hidden="1" x14ac:dyDescent="0.25">
      <c r="A727" s="36">
        <v>44682</v>
      </c>
      <c r="B727" s="37" t="s">
        <v>11</v>
      </c>
      <c r="C727" s="37" t="s">
        <v>113</v>
      </c>
      <c r="D727" s="37" t="s">
        <v>65</v>
      </c>
      <c r="E727" s="37" t="s">
        <v>5</v>
      </c>
      <c r="F727" s="37" t="s">
        <v>139</v>
      </c>
      <c r="G727" s="37" t="s">
        <v>65</v>
      </c>
      <c r="H727" s="37" t="s">
        <v>115</v>
      </c>
      <c r="I727" s="37" t="s">
        <v>116</v>
      </c>
      <c r="J727" s="37" t="s">
        <v>34</v>
      </c>
      <c r="K727" s="38">
        <v>0</v>
      </c>
      <c r="L727" s="39"/>
      <c r="M727" s="37"/>
      <c r="N727" s="40">
        <v>0</v>
      </c>
      <c r="O727" s="38">
        <v>0</v>
      </c>
      <c r="P727" s="38">
        <v>0</v>
      </c>
      <c r="Q727" s="38">
        <v>0</v>
      </c>
      <c r="R727" s="40">
        <v>0</v>
      </c>
      <c r="S727" s="38">
        <v>0</v>
      </c>
      <c r="T727" s="38">
        <v>0</v>
      </c>
      <c r="U727" s="38">
        <v>0</v>
      </c>
      <c r="V727" s="8">
        <f t="shared" si="11"/>
        <v>2022</v>
      </c>
    </row>
    <row r="728" spans="1:22" hidden="1" x14ac:dyDescent="0.25">
      <c r="A728" s="36">
        <v>44682</v>
      </c>
      <c r="B728" s="37" t="s">
        <v>19</v>
      </c>
      <c r="C728" s="37" t="s">
        <v>113</v>
      </c>
      <c r="D728" s="37" t="s">
        <v>65</v>
      </c>
      <c r="E728" s="37" t="s">
        <v>5</v>
      </c>
      <c r="F728" s="37" t="s">
        <v>139</v>
      </c>
      <c r="G728" s="37" t="s">
        <v>65</v>
      </c>
      <c r="H728" s="37" t="s">
        <v>115</v>
      </c>
      <c r="I728" s="37" t="s">
        <v>116</v>
      </c>
      <c r="J728" s="37" t="s">
        <v>34</v>
      </c>
      <c r="K728" s="38">
        <v>2.3853930000000001</v>
      </c>
      <c r="L728" s="39"/>
      <c r="M728" s="37"/>
      <c r="N728" s="40">
        <v>0.432</v>
      </c>
      <c r="O728" s="38">
        <v>0.431871</v>
      </c>
      <c r="P728" s="38">
        <v>2.22E-4</v>
      </c>
      <c r="Q728" s="38">
        <v>2.43E-4</v>
      </c>
      <c r="R728" s="40">
        <v>0.432</v>
      </c>
      <c r="S728" s="38">
        <v>0.431871</v>
      </c>
      <c r="T728" s="38">
        <v>2.22E-4</v>
      </c>
      <c r="U728" s="38">
        <v>2.43E-4</v>
      </c>
      <c r="V728" s="8">
        <f t="shared" si="11"/>
        <v>2022</v>
      </c>
    </row>
    <row r="729" spans="1:22" hidden="1" x14ac:dyDescent="0.25">
      <c r="A729" s="36">
        <v>44682</v>
      </c>
      <c r="B729" s="37" t="s">
        <v>20</v>
      </c>
      <c r="C729" s="37" t="s">
        <v>113</v>
      </c>
      <c r="D729" s="37" t="s">
        <v>65</v>
      </c>
      <c r="E729" s="37" t="s">
        <v>5</v>
      </c>
      <c r="F729" s="37" t="s">
        <v>139</v>
      </c>
      <c r="G729" s="37" t="s">
        <v>65</v>
      </c>
      <c r="H729" s="37" t="s">
        <v>115</v>
      </c>
      <c r="I729" s="37" t="s">
        <v>116</v>
      </c>
      <c r="J729" s="37" t="s">
        <v>34</v>
      </c>
      <c r="K729" s="38">
        <v>0</v>
      </c>
      <c r="L729" s="39"/>
      <c r="M729" s="37"/>
      <c r="N729" s="40">
        <v>0</v>
      </c>
      <c r="O729" s="38">
        <v>0</v>
      </c>
      <c r="P729" s="38">
        <v>0</v>
      </c>
      <c r="Q729" s="38">
        <v>0</v>
      </c>
      <c r="R729" s="39" t="s">
        <v>117</v>
      </c>
      <c r="S729" s="39"/>
      <c r="T729" s="39"/>
      <c r="U729" s="39"/>
      <c r="V729" s="8">
        <f t="shared" si="11"/>
        <v>2022</v>
      </c>
    </row>
    <row r="730" spans="1:22" hidden="1" x14ac:dyDescent="0.25">
      <c r="A730" s="36">
        <v>44713</v>
      </c>
      <c r="B730" s="37" t="s">
        <v>11</v>
      </c>
      <c r="C730" s="37" t="s">
        <v>113</v>
      </c>
      <c r="D730" s="37" t="s">
        <v>65</v>
      </c>
      <c r="E730" s="37" t="s">
        <v>5</v>
      </c>
      <c r="F730" s="37" t="s">
        <v>139</v>
      </c>
      <c r="G730" s="37" t="s">
        <v>65</v>
      </c>
      <c r="H730" s="37" t="s">
        <v>115</v>
      </c>
      <c r="I730" s="37" t="s">
        <v>116</v>
      </c>
      <c r="J730" s="37" t="s">
        <v>34</v>
      </c>
      <c r="K730" s="38">
        <v>0</v>
      </c>
      <c r="L730" s="39"/>
      <c r="M730" s="37"/>
      <c r="N730" s="40">
        <v>0</v>
      </c>
      <c r="O730" s="38">
        <v>0</v>
      </c>
      <c r="P730" s="38">
        <v>0</v>
      </c>
      <c r="Q730" s="38">
        <v>0</v>
      </c>
      <c r="R730" s="40">
        <v>0</v>
      </c>
      <c r="S730" s="38">
        <v>0</v>
      </c>
      <c r="T730" s="38">
        <v>0</v>
      </c>
      <c r="U730" s="38">
        <v>0</v>
      </c>
      <c r="V730" s="8">
        <f t="shared" si="11"/>
        <v>2022</v>
      </c>
    </row>
    <row r="731" spans="1:22" hidden="1" x14ac:dyDescent="0.25">
      <c r="A731" s="36">
        <v>44713</v>
      </c>
      <c r="B731" s="37" t="s">
        <v>19</v>
      </c>
      <c r="C731" s="37" t="s">
        <v>113</v>
      </c>
      <c r="D731" s="37" t="s">
        <v>65</v>
      </c>
      <c r="E731" s="37" t="s">
        <v>5</v>
      </c>
      <c r="F731" s="37" t="s">
        <v>139</v>
      </c>
      <c r="G731" s="37" t="s">
        <v>65</v>
      </c>
      <c r="H731" s="37" t="s">
        <v>115</v>
      </c>
      <c r="I731" s="37" t="s">
        <v>116</v>
      </c>
      <c r="J731" s="37" t="s">
        <v>34</v>
      </c>
      <c r="K731" s="38">
        <v>2.3853930000000001</v>
      </c>
      <c r="L731" s="39"/>
      <c r="M731" s="37"/>
      <c r="N731" s="40">
        <v>0.432</v>
      </c>
      <c r="O731" s="38">
        <v>0.431871</v>
      </c>
      <c r="P731" s="38">
        <v>2.22E-4</v>
      </c>
      <c r="Q731" s="38">
        <v>2.43E-4</v>
      </c>
      <c r="R731" s="40">
        <v>0.432</v>
      </c>
      <c r="S731" s="38">
        <v>0.431871</v>
      </c>
      <c r="T731" s="38">
        <v>2.22E-4</v>
      </c>
      <c r="U731" s="38">
        <v>2.43E-4</v>
      </c>
      <c r="V731" s="8">
        <f t="shared" si="11"/>
        <v>2022</v>
      </c>
    </row>
    <row r="732" spans="1:22" hidden="1" x14ac:dyDescent="0.25">
      <c r="A732" s="36">
        <v>44713</v>
      </c>
      <c r="B732" s="37" t="s">
        <v>20</v>
      </c>
      <c r="C732" s="37" t="s">
        <v>113</v>
      </c>
      <c r="D732" s="37" t="s">
        <v>65</v>
      </c>
      <c r="E732" s="37" t="s">
        <v>5</v>
      </c>
      <c r="F732" s="37" t="s">
        <v>139</v>
      </c>
      <c r="G732" s="37" t="s">
        <v>65</v>
      </c>
      <c r="H732" s="37" t="s">
        <v>115</v>
      </c>
      <c r="I732" s="37" t="s">
        <v>116</v>
      </c>
      <c r="J732" s="37" t="s">
        <v>34</v>
      </c>
      <c r="K732" s="38">
        <v>0</v>
      </c>
      <c r="L732" s="39"/>
      <c r="M732" s="37"/>
      <c r="N732" s="40">
        <v>0</v>
      </c>
      <c r="O732" s="38">
        <v>0</v>
      </c>
      <c r="P732" s="38">
        <v>0</v>
      </c>
      <c r="Q732" s="38">
        <v>0</v>
      </c>
      <c r="R732" s="39" t="s">
        <v>117</v>
      </c>
      <c r="S732" s="39"/>
      <c r="T732" s="39"/>
      <c r="U732" s="39"/>
      <c r="V732" s="8">
        <f t="shared" si="11"/>
        <v>2022</v>
      </c>
    </row>
    <row r="733" spans="1:22" hidden="1" x14ac:dyDescent="0.25">
      <c r="A733" s="36">
        <v>44743</v>
      </c>
      <c r="B733" s="37" t="s">
        <v>11</v>
      </c>
      <c r="C733" s="37" t="s">
        <v>113</v>
      </c>
      <c r="D733" s="37" t="s">
        <v>65</v>
      </c>
      <c r="E733" s="37" t="s">
        <v>5</v>
      </c>
      <c r="F733" s="37" t="s">
        <v>139</v>
      </c>
      <c r="G733" s="37" t="s">
        <v>65</v>
      </c>
      <c r="H733" s="37" t="s">
        <v>115</v>
      </c>
      <c r="I733" s="37" t="s">
        <v>116</v>
      </c>
      <c r="J733" s="37" t="s">
        <v>34</v>
      </c>
      <c r="K733" s="38">
        <v>0</v>
      </c>
      <c r="L733" s="39"/>
      <c r="M733" s="37"/>
      <c r="N733" s="40">
        <v>0</v>
      </c>
      <c r="O733" s="38">
        <v>0</v>
      </c>
      <c r="P733" s="38">
        <v>0</v>
      </c>
      <c r="Q733" s="38">
        <v>0</v>
      </c>
      <c r="R733" s="40">
        <v>0</v>
      </c>
      <c r="S733" s="38">
        <v>0</v>
      </c>
      <c r="T733" s="38">
        <v>0</v>
      </c>
      <c r="U733" s="38">
        <v>0</v>
      </c>
      <c r="V733" s="8">
        <f t="shared" si="11"/>
        <v>2022</v>
      </c>
    </row>
    <row r="734" spans="1:22" hidden="1" x14ac:dyDescent="0.25">
      <c r="A734" s="36">
        <v>44743</v>
      </c>
      <c r="B734" s="37" t="s">
        <v>19</v>
      </c>
      <c r="C734" s="37" t="s">
        <v>113</v>
      </c>
      <c r="D734" s="37" t="s">
        <v>65</v>
      </c>
      <c r="E734" s="37" t="s">
        <v>5</v>
      </c>
      <c r="F734" s="37" t="s">
        <v>139</v>
      </c>
      <c r="G734" s="37" t="s">
        <v>65</v>
      </c>
      <c r="H734" s="37" t="s">
        <v>115</v>
      </c>
      <c r="I734" s="37" t="s">
        <v>116</v>
      </c>
      <c r="J734" s="37" t="s">
        <v>34</v>
      </c>
      <c r="K734" s="38">
        <v>2.3853930000000001</v>
      </c>
      <c r="L734" s="39"/>
      <c r="M734" s="37"/>
      <c r="N734" s="40">
        <v>0.432</v>
      </c>
      <c r="O734" s="38">
        <v>0.431871</v>
      </c>
      <c r="P734" s="38">
        <v>2.22E-4</v>
      </c>
      <c r="Q734" s="38">
        <v>2.43E-4</v>
      </c>
      <c r="R734" s="40">
        <v>0.432</v>
      </c>
      <c r="S734" s="38">
        <v>0.431871</v>
      </c>
      <c r="T734" s="38">
        <v>2.22E-4</v>
      </c>
      <c r="U734" s="38">
        <v>2.43E-4</v>
      </c>
      <c r="V734" s="8">
        <f t="shared" si="11"/>
        <v>2022</v>
      </c>
    </row>
    <row r="735" spans="1:22" s="41" customFormat="1" ht="14.4" hidden="1" x14ac:dyDescent="0.3">
      <c r="A735" s="36">
        <v>44743</v>
      </c>
      <c r="B735" s="37" t="s">
        <v>20</v>
      </c>
      <c r="C735" s="37" t="s">
        <v>113</v>
      </c>
      <c r="D735" s="37" t="s">
        <v>65</v>
      </c>
      <c r="E735" s="37" t="s">
        <v>5</v>
      </c>
      <c r="F735" s="37" t="s">
        <v>139</v>
      </c>
      <c r="G735" s="37" t="s">
        <v>65</v>
      </c>
      <c r="H735" s="37" t="s">
        <v>115</v>
      </c>
      <c r="I735" s="37" t="s">
        <v>116</v>
      </c>
      <c r="J735" s="37" t="s">
        <v>34</v>
      </c>
      <c r="K735" s="38">
        <v>0</v>
      </c>
      <c r="L735" s="39"/>
      <c r="M735" s="37"/>
      <c r="N735" s="40">
        <v>0</v>
      </c>
      <c r="O735" s="38">
        <v>0</v>
      </c>
      <c r="P735" s="38">
        <v>0</v>
      </c>
      <c r="Q735" s="38">
        <v>0</v>
      </c>
      <c r="R735" s="39" t="s">
        <v>117</v>
      </c>
      <c r="S735" s="39"/>
      <c r="T735" s="39"/>
      <c r="U735" s="39"/>
      <c r="V735" s="8">
        <f t="shared" si="11"/>
        <v>2022</v>
      </c>
    </row>
    <row r="736" spans="1:22" s="41" customFormat="1" ht="14.4" hidden="1" x14ac:dyDescent="0.3">
      <c r="A736" s="36">
        <v>44774</v>
      </c>
      <c r="B736" s="37" t="s">
        <v>11</v>
      </c>
      <c r="C736" s="37" t="s">
        <v>113</v>
      </c>
      <c r="D736" s="37" t="s">
        <v>65</v>
      </c>
      <c r="E736" s="37" t="s">
        <v>5</v>
      </c>
      <c r="F736" s="37" t="s">
        <v>139</v>
      </c>
      <c r="G736" s="37" t="s">
        <v>65</v>
      </c>
      <c r="H736" s="37" t="s">
        <v>115</v>
      </c>
      <c r="I736" s="37" t="s">
        <v>116</v>
      </c>
      <c r="J736" s="37" t="s">
        <v>34</v>
      </c>
      <c r="K736" s="38">
        <v>0</v>
      </c>
      <c r="L736" s="39"/>
      <c r="M736" s="37"/>
      <c r="N736" s="40">
        <v>0</v>
      </c>
      <c r="O736" s="38">
        <v>0</v>
      </c>
      <c r="P736" s="38">
        <v>0</v>
      </c>
      <c r="Q736" s="38">
        <v>0</v>
      </c>
      <c r="R736" s="40">
        <v>0</v>
      </c>
      <c r="S736" s="38">
        <v>0</v>
      </c>
      <c r="T736" s="38">
        <v>0</v>
      </c>
      <c r="U736" s="38">
        <v>0</v>
      </c>
      <c r="V736" s="8">
        <f t="shared" si="11"/>
        <v>2022</v>
      </c>
    </row>
    <row r="737" spans="1:22" s="41" customFormat="1" ht="14.4" hidden="1" x14ac:dyDescent="0.3">
      <c r="A737" s="36">
        <v>44774</v>
      </c>
      <c r="B737" s="37" t="s">
        <v>19</v>
      </c>
      <c r="C737" s="37" t="s">
        <v>113</v>
      </c>
      <c r="D737" s="37" t="s">
        <v>65</v>
      </c>
      <c r="E737" s="37" t="s">
        <v>5</v>
      </c>
      <c r="F737" s="37" t="s">
        <v>139</v>
      </c>
      <c r="G737" s="37" t="s">
        <v>65</v>
      </c>
      <c r="H737" s="37" t="s">
        <v>115</v>
      </c>
      <c r="I737" s="37" t="s">
        <v>116</v>
      </c>
      <c r="J737" s="37" t="s">
        <v>34</v>
      </c>
      <c r="K737" s="38">
        <v>2.3853930000000001</v>
      </c>
      <c r="L737" s="39"/>
      <c r="M737" s="37"/>
      <c r="N737" s="40">
        <v>0.432</v>
      </c>
      <c r="O737" s="38">
        <v>0.431871</v>
      </c>
      <c r="P737" s="38">
        <v>2.22E-4</v>
      </c>
      <c r="Q737" s="38">
        <v>2.43E-4</v>
      </c>
      <c r="R737" s="40">
        <v>0.432</v>
      </c>
      <c r="S737" s="38">
        <v>0.431871</v>
      </c>
      <c r="T737" s="38">
        <v>2.22E-4</v>
      </c>
      <c r="U737" s="38">
        <v>2.43E-4</v>
      </c>
      <c r="V737" s="8">
        <f t="shared" si="11"/>
        <v>2022</v>
      </c>
    </row>
    <row r="738" spans="1:22" s="41" customFormat="1" ht="14.4" hidden="1" x14ac:dyDescent="0.3">
      <c r="A738" s="36">
        <v>44774</v>
      </c>
      <c r="B738" s="37" t="s">
        <v>20</v>
      </c>
      <c r="C738" s="37" t="s">
        <v>113</v>
      </c>
      <c r="D738" s="37" t="s">
        <v>65</v>
      </c>
      <c r="E738" s="37" t="s">
        <v>5</v>
      </c>
      <c r="F738" s="37" t="s">
        <v>139</v>
      </c>
      <c r="G738" s="37" t="s">
        <v>65</v>
      </c>
      <c r="H738" s="37" t="s">
        <v>115</v>
      </c>
      <c r="I738" s="37" t="s">
        <v>116</v>
      </c>
      <c r="J738" s="37" t="s">
        <v>34</v>
      </c>
      <c r="K738" s="38">
        <v>0</v>
      </c>
      <c r="L738" s="39"/>
      <c r="M738" s="37"/>
      <c r="N738" s="40">
        <v>0</v>
      </c>
      <c r="O738" s="38">
        <v>0</v>
      </c>
      <c r="P738" s="38">
        <v>0</v>
      </c>
      <c r="Q738" s="38">
        <v>0</v>
      </c>
      <c r="R738" s="39" t="s">
        <v>117</v>
      </c>
      <c r="S738" s="39"/>
      <c r="T738" s="39"/>
      <c r="U738" s="39"/>
      <c r="V738" s="8">
        <f t="shared" si="11"/>
        <v>2022</v>
      </c>
    </row>
    <row r="739" spans="1:22" s="41" customFormat="1" ht="14.4" hidden="1" x14ac:dyDescent="0.3">
      <c r="A739" s="36">
        <v>44805</v>
      </c>
      <c r="B739" s="37" t="s">
        <v>11</v>
      </c>
      <c r="C739" s="37" t="s">
        <v>113</v>
      </c>
      <c r="D739" s="37" t="s">
        <v>65</v>
      </c>
      <c r="E739" s="37" t="s">
        <v>5</v>
      </c>
      <c r="F739" s="37" t="s">
        <v>139</v>
      </c>
      <c r="G739" s="37" t="s">
        <v>65</v>
      </c>
      <c r="H739" s="37" t="s">
        <v>115</v>
      </c>
      <c r="I739" s="37" t="s">
        <v>116</v>
      </c>
      <c r="J739" s="37" t="s">
        <v>34</v>
      </c>
      <c r="K739" s="38">
        <v>0</v>
      </c>
      <c r="L739" s="39"/>
      <c r="M739" s="37"/>
      <c r="N739" s="40">
        <v>0</v>
      </c>
      <c r="O739" s="38">
        <v>0</v>
      </c>
      <c r="P739" s="38">
        <v>0</v>
      </c>
      <c r="Q739" s="38">
        <v>0</v>
      </c>
      <c r="R739" s="40">
        <v>0</v>
      </c>
      <c r="S739" s="38">
        <v>0</v>
      </c>
      <c r="T739" s="38">
        <v>0</v>
      </c>
      <c r="U739" s="38">
        <v>0</v>
      </c>
      <c r="V739" s="8">
        <f t="shared" si="11"/>
        <v>2022</v>
      </c>
    </row>
    <row r="740" spans="1:22" s="41" customFormat="1" ht="14.4" hidden="1" x14ac:dyDescent="0.3">
      <c r="A740" s="36">
        <v>44805</v>
      </c>
      <c r="B740" s="37" t="s">
        <v>19</v>
      </c>
      <c r="C740" s="37" t="s">
        <v>113</v>
      </c>
      <c r="D740" s="37" t="s">
        <v>65</v>
      </c>
      <c r="E740" s="37" t="s">
        <v>5</v>
      </c>
      <c r="F740" s="37" t="s">
        <v>139</v>
      </c>
      <c r="G740" s="37" t="s">
        <v>65</v>
      </c>
      <c r="H740" s="37" t="s">
        <v>115</v>
      </c>
      <c r="I740" s="37" t="s">
        <v>116</v>
      </c>
      <c r="J740" s="37" t="s">
        <v>34</v>
      </c>
      <c r="K740" s="38">
        <v>2.3853930000000001</v>
      </c>
      <c r="L740" s="39"/>
      <c r="M740" s="37"/>
      <c r="N740" s="40">
        <v>0.432</v>
      </c>
      <c r="O740" s="38">
        <v>0.431871</v>
      </c>
      <c r="P740" s="38">
        <v>2.22E-4</v>
      </c>
      <c r="Q740" s="38">
        <v>2.43E-4</v>
      </c>
      <c r="R740" s="40">
        <v>0.432</v>
      </c>
      <c r="S740" s="38">
        <v>0.431871</v>
      </c>
      <c r="T740" s="38">
        <v>2.22E-4</v>
      </c>
      <c r="U740" s="38">
        <v>2.43E-4</v>
      </c>
      <c r="V740" s="8">
        <f t="shared" si="11"/>
        <v>2022</v>
      </c>
    </row>
    <row r="741" spans="1:22" s="41" customFormat="1" ht="14.4" hidden="1" x14ac:dyDescent="0.3">
      <c r="A741" s="36">
        <v>44805</v>
      </c>
      <c r="B741" s="37" t="s">
        <v>20</v>
      </c>
      <c r="C741" s="37" t="s">
        <v>113</v>
      </c>
      <c r="D741" s="37" t="s">
        <v>65</v>
      </c>
      <c r="E741" s="37" t="s">
        <v>5</v>
      </c>
      <c r="F741" s="37" t="s">
        <v>139</v>
      </c>
      <c r="G741" s="37" t="s">
        <v>65</v>
      </c>
      <c r="H741" s="37" t="s">
        <v>115</v>
      </c>
      <c r="I741" s="37" t="s">
        <v>116</v>
      </c>
      <c r="J741" s="37" t="s">
        <v>34</v>
      </c>
      <c r="K741" s="38">
        <v>0</v>
      </c>
      <c r="L741" s="39"/>
      <c r="M741" s="37"/>
      <c r="N741" s="40">
        <v>0</v>
      </c>
      <c r="O741" s="38">
        <v>0</v>
      </c>
      <c r="P741" s="38">
        <v>0</v>
      </c>
      <c r="Q741" s="38">
        <v>0</v>
      </c>
      <c r="R741" s="39" t="s">
        <v>117</v>
      </c>
      <c r="S741" s="39"/>
      <c r="T741" s="39"/>
      <c r="U741" s="39"/>
      <c r="V741" s="8">
        <f t="shared" si="11"/>
        <v>2022</v>
      </c>
    </row>
    <row r="742" spans="1:22" s="41" customFormat="1" ht="14.4" hidden="1" x14ac:dyDescent="0.3">
      <c r="A742" s="36">
        <v>44835</v>
      </c>
      <c r="B742" s="37" t="s">
        <v>11</v>
      </c>
      <c r="C742" s="37" t="s">
        <v>113</v>
      </c>
      <c r="D742" s="37" t="s">
        <v>65</v>
      </c>
      <c r="E742" s="37" t="s">
        <v>5</v>
      </c>
      <c r="F742" s="37" t="s">
        <v>139</v>
      </c>
      <c r="G742" s="37" t="s">
        <v>65</v>
      </c>
      <c r="H742" s="37" t="s">
        <v>115</v>
      </c>
      <c r="I742" s="37" t="s">
        <v>116</v>
      </c>
      <c r="J742" s="37" t="s">
        <v>34</v>
      </c>
      <c r="K742" s="38">
        <v>0</v>
      </c>
      <c r="L742" s="39"/>
      <c r="M742" s="37"/>
      <c r="N742" s="40">
        <v>0</v>
      </c>
      <c r="O742" s="38">
        <v>0</v>
      </c>
      <c r="P742" s="38">
        <v>0</v>
      </c>
      <c r="Q742" s="38">
        <v>0</v>
      </c>
      <c r="R742" s="40">
        <v>0</v>
      </c>
      <c r="S742" s="38">
        <v>0</v>
      </c>
      <c r="T742" s="38">
        <v>0</v>
      </c>
      <c r="U742" s="38">
        <v>0</v>
      </c>
      <c r="V742" s="8">
        <f t="shared" si="11"/>
        <v>2022</v>
      </c>
    </row>
    <row r="743" spans="1:22" s="41" customFormat="1" ht="14.4" hidden="1" x14ac:dyDescent="0.3">
      <c r="A743" s="36">
        <v>44835</v>
      </c>
      <c r="B743" s="37" t="s">
        <v>19</v>
      </c>
      <c r="C743" s="37" t="s">
        <v>113</v>
      </c>
      <c r="D743" s="37" t="s">
        <v>65</v>
      </c>
      <c r="E743" s="37" t="s">
        <v>5</v>
      </c>
      <c r="F743" s="37" t="s">
        <v>139</v>
      </c>
      <c r="G743" s="37" t="s">
        <v>65</v>
      </c>
      <c r="H743" s="37" t="s">
        <v>115</v>
      </c>
      <c r="I743" s="37" t="s">
        <v>116</v>
      </c>
      <c r="J743" s="37" t="s">
        <v>34</v>
      </c>
      <c r="K743" s="38">
        <v>2.3853930000000001</v>
      </c>
      <c r="L743" s="39"/>
      <c r="M743" s="37"/>
      <c r="N743" s="40">
        <v>0.432</v>
      </c>
      <c r="O743" s="38">
        <v>0.431871</v>
      </c>
      <c r="P743" s="38">
        <v>2.22E-4</v>
      </c>
      <c r="Q743" s="38">
        <v>2.43E-4</v>
      </c>
      <c r="R743" s="40">
        <v>0.432</v>
      </c>
      <c r="S743" s="38">
        <v>0.431871</v>
      </c>
      <c r="T743" s="38">
        <v>2.22E-4</v>
      </c>
      <c r="U743" s="38">
        <v>2.43E-4</v>
      </c>
      <c r="V743" s="8">
        <f t="shared" si="11"/>
        <v>2022</v>
      </c>
    </row>
    <row r="744" spans="1:22" s="41" customFormat="1" ht="14.4" hidden="1" x14ac:dyDescent="0.3">
      <c r="A744" s="36">
        <v>44835</v>
      </c>
      <c r="B744" s="37" t="s">
        <v>20</v>
      </c>
      <c r="C744" s="37" t="s">
        <v>113</v>
      </c>
      <c r="D744" s="37" t="s">
        <v>65</v>
      </c>
      <c r="E744" s="37" t="s">
        <v>5</v>
      </c>
      <c r="F744" s="37" t="s">
        <v>139</v>
      </c>
      <c r="G744" s="37" t="s">
        <v>65</v>
      </c>
      <c r="H744" s="37" t="s">
        <v>115</v>
      </c>
      <c r="I744" s="37" t="s">
        <v>116</v>
      </c>
      <c r="J744" s="37" t="s">
        <v>34</v>
      </c>
      <c r="K744" s="38">
        <v>0</v>
      </c>
      <c r="L744" s="39"/>
      <c r="M744" s="37"/>
      <c r="N744" s="40">
        <v>0</v>
      </c>
      <c r="O744" s="38">
        <v>0</v>
      </c>
      <c r="P744" s="38">
        <v>0</v>
      </c>
      <c r="Q744" s="38">
        <v>0</v>
      </c>
      <c r="R744" s="39" t="s">
        <v>117</v>
      </c>
      <c r="S744" s="39"/>
      <c r="T744" s="39"/>
      <c r="U744" s="39"/>
      <c r="V744" s="8">
        <f t="shared" si="11"/>
        <v>2022</v>
      </c>
    </row>
    <row r="745" spans="1:22" s="41" customFormat="1" ht="14.4" hidden="1" x14ac:dyDescent="0.3">
      <c r="A745" s="36">
        <v>44866</v>
      </c>
      <c r="B745" s="37" t="s">
        <v>11</v>
      </c>
      <c r="C745" s="37" t="s">
        <v>113</v>
      </c>
      <c r="D745" s="37" t="s">
        <v>65</v>
      </c>
      <c r="E745" s="37" t="s">
        <v>5</v>
      </c>
      <c r="F745" s="37" t="s">
        <v>139</v>
      </c>
      <c r="G745" s="37" t="s">
        <v>65</v>
      </c>
      <c r="H745" s="37" t="s">
        <v>115</v>
      </c>
      <c r="I745" s="37" t="s">
        <v>116</v>
      </c>
      <c r="J745" s="37" t="s">
        <v>34</v>
      </c>
      <c r="K745" s="38">
        <v>0</v>
      </c>
      <c r="L745" s="39"/>
      <c r="M745" s="37"/>
      <c r="N745" s="40">
        <v>0</v>
      </c>
      <c r="O745" s="38">
        <v>0</v>
      </c>
      <c r="P745" s="38">
        <v>0</v>
      </c>
      <c r="Q745" s="38">
        <v>0</v>
      </c>
      <c r="R745" s="40">
        <v>0</v>
      </c>
      <c r="S745" s="38">
        <v>0</v>
      </c>
      <c r="T745" s="38">
        <v>0</v>
      </c>
      <c r="U745" s="38">
        <v>0</v>
      </c>
      <c r="V745" s="8">
        <f t="shared" si="11"/>
        <v>2022</v>
      </c>
    </row>
    <row r="746" spans="1:22" s="41" customFormat="1" ht="14.4" hidden="1" x14ac:dyDescent="0.3">
      <c r="A746" s="36">
        <v>44866</v>
      </c>
      <c r="B746" s="37" t="s">
        <v>19</v>
      </c>
      <c r="C746" s="37" t="s">
        <v>113</v>
      </c>
      <c r="D746" s="37" t="s">
        <v>65</v>
      </c>
      <c r="E746" s="37" t="s">
        <v>5</v>
      </c>
      <c r="F746" s="37" t="s">
        <v>139</v>
      </c>
      <c r="G746" s="37" t="s">
        <v>65</v>
      </c>
      <c r="H746" s="37" t="s">
        <v>115</v>
      </c>
      <c r="I746" s="37" t="s">
        <v>116</v>
      </c>
      <c r="J746" s="37" t="s">
        <v>34</v>
      </c>
      <c r="K746" s="38">
        <v>2.3853930000000001</v>
      </c>
      <c r="L746" s="39"/>
      <c r="M746" s="37"/>
      <c r="N746" s="40">
        <v>0.432</v>
      </c>
      <c r="O746" s="38">
        <v>0.431871</v>
      </c>
      <c r="P746" s="38">
        <v>2.22E-4</v>
      </c>
      <c r="Q746" s="38">
        <v>2.43E-4</v>
      </c>
      <c r="R746" s="40">
        <v>0.432</v>
      </c>
      <c r="S746" s="38">
        <v>0.431871</v>
      </c>
      <c r="T746" s="38">
        <v>2.22E-4</v>
      </c>
      <c r="U746" s="38">
        <v>2.43E-4</v>
      </c>
      <c r="V746" s="8">
        <f t="shared" si="11"/>
        <v>2022</v>
      </c>
    </row>
    <row r="747" spans="1:22" s="41" customFormat="1" ht="14.4" hidden="1" x14ac:dyDescent="0.3">
      <c r="A747" s="36">
        <v>44866</v>
      </c>
      <c r="B747" s="37" t="s">
        <v>20</v>
      </c>
      <c r="C747" s="37" t="s">
        <v>113</v>
      </c>
      <c r="D747" s="37" t="s">
        <v>65</v>
      </c>
      <c r="E747" s="37" t="s">
        <v>5</v>
      </c>
      <c r="F747" s="37" t="s">
        <v>139</v>
      </c>
      <c r="G747" s="37" t="s">
        <v>65</v>
      </c>
      <c r="H747" s="37" t="s">
        <v>115</v>
      </c>
      <c r="I747" s="37" t="s">
        <v>116</v>
      </c>
      <c r="J747" s="37" t="s">
        <v>34</v>
      </c>
      <c r="K747" s="38">
        <v>0</v>
      </c>
      <c r="L747" s="39"/>
      <c r="M747" s="37"/>
      <c r="N747" s="40">
        <v>0</v>
      </c>
      <c r="O747" s="38">
        <v>0</v>
      </c>
      <c r="P747" s="38">
        <v>0</v>
      </c>
      <c r="Q747" s="38">
        <v>0</v>
      </c>
      <c r="R747" s="39" t="s">
        <v>117</v>
      </c>
      <c r="S747" s="39"/>
      <c r="T747" s="39"/>
      <c r="U747" s="39"/>
      <c r="V747" s="8">
        <f t="shared" si="11"/>
        <v>2022</v>
      </c>
    </row>
    <row r="748" spans="1:22" s="41" customFormat="1" ht="14.4" hidden="1" x14ac:dyDescent="0.3">
      <c r="A748" s="36">
        <v>44896</v>
      </c>
      <c r="B748" s="37" t="s">
        <v>11</v>
      </c>
      <c r="C748" s="37" t="s">
        <v>113</v>
      </c>
      <c r="D748" s="37" t="s">
        <v>65</v>
      </c>
      <c r="E748" s="37" t="s">
        <v>5</v>
      </c>
      <c r="F748" s="37" t="s">
        <v>139</v>
      </c>
      <c r="G748" s="37" t="s">
        <v>65</v>
      </c>
      <c r="H748" s="37" t="s">
        <v>115</v>
      </c>
      <c r="I748" s="37" t="s">
        <v>116</v>
      </c>
      <c r="J748" s="37" t="s">
        <v>34</v>
      </c>
      <c r="K748" s="38">
        <v>0</v>
      </c>
      <c r="L748" s="39"/>
      <c r="M748" s="37"/>
      <c r="N748" s="40">
        <v>0</v>
      </c>
      <c r="O748" s="38">
        <v>0</v>
      </c>
      <c r="P748" s="38">
        <v>0</v>
      </c>
      <c r="Q748" s="38">
        <v>0</v>
      </c>
      <c r="R748" s="40">
        <v>0</v>
      </c>
      <c r="S748" s="38">
        <v>0</v>
      </c>
      <c r="T748" s="38">
        <v>0</v>
      </c>
      <c r="U748" s="38">
        <v>0</v>
      </c>
      <c r="V748" s="8">
        <f t="shared" si="11"/>
        <v>2022</v>
      </c>
    </row>
    <row r="749" spans="1:22" s="41" customFormat="1" ht="14.4" hidden="1" x14ac:dyDescent="0.3">
      <c r="A749" s="36">
        <v>44896</v>
      </c>
      <c r="B749" s="37" t="s">
        <v>19</v>
      </c>
      <c r="C749" s="37" t="s">
        <v>113</v>
      </c>
      <c r="D749" s="37" t="s">
        <v>65</v>
      </c>
      <c r="E749" s="37" t="s">
        <v>5</v>
      </c>
      <c r="F749" s="37" t="s">
        <v>139</v>
      </c>
      <c r="G749" s="37" t="s">
        <v>65</v>
      </c>
      <c r="H749" s="37" t="s">
        <v>115</v>
      </c>
      <c r="I749" s="37" t="s">
        <v>116</v>
      </c>
      <c r="J749" s="37" t="s">
        <v>34</v>
      </c>
      <c r="K749" s="38">
        <v>2.3853930000000001</v>
      </c>
      <c r="L749" s="39"/>
      <c r="M749" s="37"/>
      <c r="N749" s="40">
        <v>0.432</v>
      </c>
      <c r="O749" s="38">
        <v>0.431871</v>
      </c>
      <c r="P749" s="38">
        <v>2.22E-4</v>
      </c>
      <c r="Q749" s="38">
        <v>2.43E-4</v>
      </c>
      <c r="R749" s="40">
        <v>0.432</v>
      </c>
      <c r="S749" s="38">
        <v>0.431871</v>
      </c>
      <c r="T749" s="38">
        <v>2.22E-4</v>
      </c>
      <c r="U749" s="38">
        <v>2.43E-4</v>
      </c>
      <c r="V749" s="8">
        <f t="shared" si="11"/>
        <v>2022</v>
      </c>
    </row>
    <row r="750" spans="1:22" s="41" customFormat="1" ht="14.4" hidden="1" x14ac:dyDescent="0.3">
      <c r="A750" s="36">
        <v>44896</v>
      </c>
      <c r="B750" s="37" t="s">
        <v>20</v>
      </c>
      <c r="C750" s="37" t="s">
        <v>113</v>
      </c>
      <c r="D750" s="37" t="s">
        <v>65</v>
      </c>
      <c r="E750" s="37" t="s">
        <v>5</v>
      </c>
      <c r="F750" s="37" t="s">
        <v>139</v>
      </c>
      <c r="G750" s="37" t="s">
        <v>65</v>
      </c>
      <c r="H750" s="37" t="s">
        <v>115</v>
      </c>
      <c r="I750" s="37" t="s">
        <v>116</v>
      </c>
      <c r="J750" s="37" t="s">
        <v>34</v>
      </c>
      <c r="K750" s="38">
        <v>0</v>
      </c>
      <c r="L750" s="39"/>
      <c r="M750" s="37"/>
      <c r="N750" s="40">
        <v>0</v>
      </c>
      <c r="O750" s="38">
        <v>0</v>
      </c>
      <c r="P750" s="38">
        <v>0</v>
      </c>
      <c r="Q750" s="38">
        <v>0</v>
      </c>
      <c r="R750" s="39" t="s">
        <v>117</v>
      </c>
      <c r="S750" s="39"/>
      <c r="T750" s="39"/>
      <c r="U750" s="39"/>
      <c r="V750" s="8">
        <f t="shared" si="11"/>
        <v>2022</v>
      </c>
    </row>
    <row r="751" spans="1:22" s="41" customFormat="1" ht="14.4" hidden="1" x14ac:dyDescent="0.3">
      <c r="A751" s="36">
        <v>44562</v>
      </c>
      <c r="B751" s="37" t="s">
        <v>23</v>
      </c>
      <c r="C751" s="37" t="s">
        <v>113</v>
      </c>
      <c r="D751" s="37" t="s">
        <v>65</v>
      </c>
      <c r="E751" s="37" t="s">
        <v>6</v>
      </c>
      <c r="F751" s="37" t="s">
        <v>139</v>
      </c>
      <c r="G751" s="37" t="s">
        <v>65</v>
      </c>
      <c r="H751" s="37" t="s">
        <v>115</v>
      </c>
      <c r="I751" s="37" t="s">
        <v>116</v>
      </c>
      <c r="J751" s="37" t="s">
        <v>34</v>
      </c>
      <c r="K751" s="38">
        <v>2.0242499999999999</v>
      </c>
      <c r="L751" s="39"/>
      <c r="M751" s="37"/>
      <c r="N751" s="40">
        <v>0.63400000000000001</v>
      </c>
      <c r="O751" s="38">
        <v>0.63419800000000004</v>
      </c>
      <c r="P751" s="39"/>
      <c r="Q751" s="39"/>
      <c r="R751" s="40">
        <v>0.30499999999999999</v>
      </c>
      <c r="S751" s="38">
        <v>0.30323299999999997</v>
      </c>
      <c r="T751" s="38">
        <v>9.2800000000000001E-4</v>
      </c>
      <c r="U751" s="38">
        <v>6.78E-4</v>
      </c>
      <c r="V751" s="8">
        <f t="shared" si="11"/>
        <v>2022</v>
      </c>
    </row>
    <row r="752" spans="1:22" s="41" customFormat="1" ht="14.4" hidden="1" x14ac:dyDescent="0.3">
      <c r="A752" s="36">
        <v>44593</v>
      </c>
      <c r="B752" s="37" t="s">
        <v>23</v>
      </c>
      <c r="C752" s="37" t="s">
        <v>113</v>
      </c>
      <c r="D752" s="37" t="s">
        <v>65</v>
      </c>
      <c r="E752" s="37" t="s">
        <v>6</v>
      </c>
      <c r="F752" s="37" t="s">
        <v>139</v>
      </c>
      <c r="G752" s="37" t="s">
        <v>65</v>
      </c>
      <c r="H752" s="37" t="s">
        <v>115</v>
      </c>
      <c r="I752" s="37" t="s">
        <v>116</v>
      </c>
      <c r="J752" s="37" t="s">
        <v>34</v>
      </c>
      <c r="K752" s="38">
        <v>2.0242499999999999</v>
      </c>
      <c r="L752" s="39"/>
      <c r="M752" s="37"/>
      <c r="N752" s="40">
        <v>0.63400000000000001</v>
      </c>
      <c r="O752" s="38">
        <v>0.63419800000000004</v>
      </c>
      <c r="P752" s="39"/>
      <c r="Q752" s="39"/>
      <c r="R752" s="40">
        <v>0.30499999999999999</v>
      </c>
      <c r="S752" s="38">
        <v>0.30323299999999997</v>
      </c>
      <c r="T752" s="38">
        <v>9.2800000000000001E-4</v>
      </c>
      <c r="U752" s="38">
        <v>6.78E-4</v>
      </c>
      <c r="V752" s="8">
        <f t="shared" si="11"/>
        <v>2022</v>
      </c>
    </row>
    <row r="753" spans="1:22" s="41" customFormat="1" ht="14.4" hidden="1" x14ac:dyDescent="0.3">
      <c r="A753" s="36">
        <v>44621</v>
      </c>
      <c r="B753" s="37" t="s">
        <v>23</v>
      </c>
      <c r="C753" s="37" t="s">
        <v>113</v>
      </c>
      <c r="D753" s="37" t="s">
        <v>65</v>
      </c>
      <c r="E753" s="37" t="s">
        <v>6</v>
      </c>
      <c r="F753" s="37" t="s">
        <v>139</v>
      </c>
      <c r="G753" s="37" t="s">
        <v>65</v>
      </c>
      <c r="H753" s="37" t="s">
        <v>115</v>
      </c>
      <c r="I753" s="37" t="s">
        <v>116</v>
      </c>
      <c r="J753" s="37" t="s">
        <v>34</v>
      </c>
      <c r="K753" s="38">
        <v>2.0242499999999999</v>
      </c>
      <c r="L753" s="39"/>
      <c r="M753" s="37"/>
      <c r="N753" s="40">
        <v>0.63400000000000001</v>
      </c>
      <c r="O753" s="38">
        <v>0.63419800000000004</v>
      </c>
      <c r="P753" s="39"/>
      <c r="Q753" s="39"/>
      <c r="R753" s="40">
        <v>0.30499999999999999</v>
      </c>
      <c r="S753" s="38">
        <v>0.30323299999999997</v>
      </c>
      <c r="T753" s="38">
        <v>9.2800000000000001E-4</v>
      </c>
      <c r="U753" s="38">
        <v>6.78E-4</v>
      </c>
      <c r="V753" s="8">
        <f t="shared" si="11"/>
        <v>2022</v>
      </c>
    </row>
    <row r="754" spans="1:22" s="41" customFormat="1" ht="14.4" hidden="1" x14ac:dyDescent="0.3">
      <c r="A754" s="36">
        <v>44652</v>
      </c>
      <c r="B754" s="37" t="s">
        <v>23</v>
      </c>
      <c r="C754" s="37" t="s">
        <v>113</v>
      </c>
      <c r="D754" s="37" t="s">
        <v>65</v>
      </c>
      <c r="E754" s="37" t="s">
        <v>6</v>
      </c>
      <c r="F754" s="37" t="s">
        <v>139</v>
      </c>
      <c r="G754" s="37" t="s">
        <v>65</v>
      </c>
      <c r="H754" s="37" t="s">
        <v>115</v>
      </c>
      <c r="I754" s="37" t="s">
        <v>116</v>
      </c>
      <c r="J754" s="37" t="s">
        <v>34</v>
      </c>
      <c r="K754" s="38">
        <v>2.0242499999999999</v>
      </c>
      <c r="L754" s="39"/>
      <c r="M754" s="37"/>
      <c r="N754" s="40">
        <v>0.63400000000000001</v>
      </c>
      <c r="O754" s="38">
        <v>0.63419800000000004</v>
      </c>
      <c r="P754" s="39"/>
      <c r="Q754" s="39"/>
      <c r="R754" s="40">
        <v>0.30499999999999999</v>
      </c>
      <c r="S754" s="38">
        <v>0.30323299999999997</v>
      </c>
      <c r="T754" s="38">
        <v>9.2800000000000001E-4</v>
      </c>
      <c r="U754" s="38">
        <v>6.78E-4</v>
      </c>
      <c r="V754" s="8">
        <f t="shared" si="11"/>
        <v>2022</v>
      </c>
    </row>
    <row r="755" spans="1:22" s="41" customFormat="1" ht="14.4" hidden="1" x14ac:dyDescent="0.3">
      <c r="A755" s="36">
        <v>44682</v>
      </c>
      <c r="B755" s="37" t="s">
        <v>23</v>
      </c>
      <c r="C755" s="37" t="s">
        <v>113</v>
      </c>
      <c r="D755" s="37" t="s">
        <v>65</v>
      </c>
      <c r="E755" s="37" t="s">
        <v>6</v>
      </c>
      <c r="F755" s="37" t="s">
        <v>139</v>
      </c>
      <c r="G755" s="37" t="s">
        <v>65</v>
      </c>
      <c r="H755" s="37" t="s">
        <v>115</v>
      </c>
      <c r="I755" s="37" t="s">
        <v>116</v>
      </c>
      <c r="J755" s="37" t="s">
        <v>34</v>
      </c>
      <c r="K755" s="38">
        <v>2.0242499999999999</v>
      </c>
      <c r="L755" s="39"/>
      <c r="M755" s="37"/>
      <c r="N755" s="40">
        <v>0.63400000000000001</v>
      </c>
      <c r="O755" s="38">
        <v>0.63419800000000004</v>
      </c>
      <c r="P755" s="39"/>
      <c r="Q755" s="39"/>
      <c r="R755" s="40">
        <v>0.30499999999999999</v>
      </c>
      <c r="S755" s="38">
        <v>0.30323299999999997</v>
      </c>
      <c r="T755" s="38">
        <v>9.2800000000000001E-4</v>
      </c>
      <c r="U755" s="38">
        <v>6.78E-4</v>
      </c>
      <c r="V755" s="8">
        <f t="shared" si="11"/>
        <v>2022</v>
      </c>
    </row>
    <row r="756" spans="1:22" s="41" customFormat="1" ht="14.4" hidden="1" x14ac:dyDescent="0.3">
      <c r="A756" s="36">
        <v>44713</v>
      </c>
      <c r="B756" s="37" t="s">
        <v>23</v>
      </c>
      <c r="C756" s="37" t="s">
        <v>113</v>
      </c>
      <c r="D756" s="37" t="s">
        <v>65</v>
      </c>
      <c r="E756" s="37" t="s">
        <v>6</v>
      </c>
      <c r="F756" s="37" t="s">
        <v>139</v>
      </c>
      <c r="G756" s="37" t="s">
        <v>65</v>
      </c>
      <c r="H756" s="37" t="s">
        <v>115</v>
      </c>
      <c r="I756" s="37" t="s">
        <v>116</v>
      </c>
      <c r="J756" s="37" t="s">
        <v>34</v>
      </c>
      <c r="K756" s="38">
        <v>2.0242499999999999</v>
      </c>
      <c r="L756" s="39"/>
      <c r="M756" s="37"/>
      <c r="N756" s="40">
        <v>0.63400000000000001</v>
      </c>
      <c r="O756" s="38">
        <v>0.63419800000000004</v>
      </c>
      <c r="P756" s="39"/>
      <c r="Q756" s="39"/>
      <c r="R756" s="40">
        <v>0.30499999999999999</v>
      </c>
      <c r="S756" s="38">
        <v>0.30323299999999997</v>
      </c>
      <c r="T756" s="38">
        <v>9.2800000000000001E-4</v>
      </c>
      <c r="U756" s="38">
        <v>6.78E-4</v>
      </c>
      <c r="V756" s="8">
        <f t="shared" ref="V756:V819" si="12">YEAR(A756)</f>
        <v>2022</v>
      </c>
    </row>
    <row r="757" spans="1:22" s="41" customFormat="1" ht="14.4" hidden="1" x14ac:dyDescent="0.3">
      <c r="A757" s="36">
        <v>44743</v>
      </c>
      <c r="B757" s="37" t="s">
        <v>23</v>
      </c>
      <c r="C757" s="37" t="s">
        <v>113</v>
      </c>
      <c r="D757" s="37" t="s">
        <v>65</v>
      </c>
      <c r="E757" s="37" t="s">
        <v>6</v>
      </c>
      <c r="F757" s="37" t="s">
        <v>139</v>
      </c>
      <c r="G757" s="37" t="s">
        <v>65</v>
      </c>
      <c r="H757" s="37" t="s">
        <v>115</v>
      </c>
      <c r="I757" s="37" t="s">
        <v>116</v>
      </c>
      <c r="J757" s="37" t="s">
        <v>34</v>
      </c>
      <c r="K757" s="38">
        <v>2.0242499999999999</v>
      </c>
      <c r="L757" s="39"/>
      <c r="M757" s="37"/>
      <c r="N757" s="40">
        <v>0.63400000000000001</v>
      </c>
      <c r="O757" s="38">
        <v>0.63419800000000004</v>
      </c>
      <c r="P757" s="39"/>
      <c r="Q757" s="39"/>
      <c r="R757" s="40">
        <v>0.30499999999999999</v>
      </c>
      <c r="S757" s="38">
        <v>0.30323299999999997</v>
      </c>
      <c r="T757" s="38">
        <v>9.2800000000000001E-4</v>
      </c>
      <c r="U757" s="38">
        <v>6.78E-4</v>
      </c>
      <c r="V757" s="8">
        <f t="shared" si="12"/>
        <v>2022</v>
      </c>
    </row>
    <row r="758" spans="1:22" s="41" customFormat="1" ht="14.4" hidden="1" x14ac:dyDescent="0.3">
      <c r="A758" s="36">
        <v>44774</v>
      </c>
      <c r="B758" s="37" t="s">
        <v>23</v>
      </c>
      <c r="C758" s="37" t="s">
        <v>113</v>
      </c>
      <c r="D758" s="37" t="s">
        <v>65</v>
      </c>
      <c r="E758" s="37" t="s">
        <v>6</v>
      </c>
      <c r="F758" s="37" t="s">
        <v>139</v>
      </c>
      <c r="G758" s="37" t="s">
        <v>65</v>
      </c>
      <c r="H758" s="37" t="s">
        <v>115</v>
      </c>
      <c r="I758" s="37" t="s">
        <v>116</v>
      </c>
      <c r="J758" s="37" t="s">
        <v>34</v>
      </c>
      <c r="K758" s="38">
        <v>2.0242499999999999</v>
      </c>
      <c r="L758" s="39"/>
      <c r="M758" s="37"/>
      <c r="N758" s="40">
        <v>0.63400000000000001</v>
      </c>
      <c r="O758" s="38">
        <v>0.63419800000000004</v>
      </c>
      <c r="P758" s="39"/>
      <c r="Q758" s="39"/>
      <c r="R758" s="40">
        <v>0.30499999999999999</v>
      </c>
      <c r="S758" s="38">
        <v>0.30323299999999997</v>
      </c>
      <c r="T758" s="38">
        <v>9.2800000000000001E-4</v>
      </c>
      <c r="U758" s="38">
        <v>6.78E-4</v>
      </c>
      <c r="V758" s="8">
        <f t="shared" si="12"/>
        <v>2022</v>
      </c>
    </row>
    <row r="759" spans="1:22" s="41" customFormat="1" ht="14.4" hidden="1" x14ac:dyDescent="0.3">
      <c r="A759" s="36">
        <v>44805</v>
      </c>
      <c r="B759" s="37" t="s">
        <v>23</v>
      </c>
      <c r="C759" s="37" t="s">
        <v>113</v>
      </c>
      <c r="D759" s="37" t="s">
        <v>65</v>
      </c>
      <c r="E759" s="37" t="s">
        <v>6</v>
      </c>
      <c r="F759" s="37" t="s">
        <v>139</v>
      </c>
      <c r="G759" s="37" t="s">
        <v>65</v>
      </c>
      <c r="H759" s="37" t="s">
        <v>115</v>
      </c>
      <c r="I759" s="37" t="s">
        <v>116</v>
      </c>
      <c r="J759" s="37" t="s">
        <v>34</v>
      </c>
      <c r="K759" s="38">
        <v>2.0242499999999999</v>
      </c>
      <c r="L759" s="39"/>
      <c r="M759" s="37"/>
      <c r="N759" s="40">
        <v>0.63400000000000001</v>
      </c>
      <c r="O759" s="38">
        <v>0.63419800000000004</v>
      </c>
      <c r="P759" s="39"/>
      <c r="Q759" s="39"/>
      <c r="R759" s="40">
        <v>0.30499999999999999</v>
      </c>
      <c r="S759" s="38">
        <v>0.30323299999999997</v>
      </c>
      <c r="T759" s="38">
        <v>9.2800000000000001E-4</v>
      </c>
      <c r="U759" s="38">
        <v>6.78E-4</v>
      </c>
      <c r="V759" s="8">
        <f t="shared" si="12"/>
        <v>2022</v>
      </c>
    </row>
    <row r="760" spans="1:22" s="41" customFormat="1" ht="14.4" hidden="1" x14ac:dyDescent="0.3">
      <c r="A760" s="36">
        <v>44835</v>
      </c>
      <c r="B760" s="37" t="s">
        <v>23</v>
      </c>
      <c r="C760" s="37" t="s">
        <v>113</v>
      </c>
      <c r="D760" s="37" t="s">
        <v>65</v>
      </c>
      <c r="E760" s="37" t="s">
        <v>6</v>
      </c>
      <c r="F760" s="37" t="s">
        <v>139</v>
      </c>
      <c r="G760" s="37" t="s">
        <v>65</v>
      </c>
      <c r="H760" s="37" t="s">
        <v>115</v>
      </c>
      <c r="I760" s="37" t="s">
        <v>116</v>
      </c>
      <c r="J760" s="37" t="s">
        <v>34</v>
      </c>
      <c r="K760" s="38">
        <v>2.0242499999999999</v>
      </c>
      <c r="L760" s="39"/>
      <c r="M760" s="37"/>
      <c r="N760" s="40">
        <v>0.63400000000000001</v>
      </c>
      <c r="O760" s="38">
        <v>0.63419800000000004</v>
      </c>
      <c r="P760" s="39"/>
      <c r="Q760" s="39"/>
      <c r="R760" s="40">
        <v>0.30499999999999999</v>
      </c>
      <c r="S760" s="38">
        <v>0.30323299999999997</v>
      </c>
      <c r="T760" s="38">
        <v>9.2800000000000001E-4</v>
      </c>
      <c r="U760" s="38">
        <v>6.78E-4</v>
      </c>
      <c r="V760" s="8">
        <f t="shared" si="12"/>
        <v>2022</v>
      </c>
    </row>
    <row r="761" spans="1:22" s="41" customFormat="1" ht="14.4" hidden="1" x14ac:dyDescent="0.3">
      <c r="A761" s="36">
        <v>44866</v>
      </c>
      <c r="B761" s="37" t="s">
        <v>23</v>
      </c>
      <c r="C761" s="37" t="s">
        <v>113</v>
      </c>
      <c r="D761" s="37" t="s">
        <v>65</v>
      </c>
      <c r="E761" s="37" t="s">
        <v>6</v>
      </c>
      <c r="F761" s="37" t="s">
        <v>139</v>
      </c>
      <c r="G761" s="37" t="s">
        <v>65</v>
      </c>
      <c r="H761" s="37" t="s">
        <v>115</v>
      </c>
      <c r="I761" s="37" t="s">
        <v>116</v>
      </c>
      <c r="J761" s="37" t="s">
        <v>34</v>
      </c>
      <c r="K761" s="38">
        <v>2.0242499999999999</v>
      </c>
      <c r="L761" s="39"/>
      <c r="M761" s="37"/>
      <c r="N761" s="40">
        <v>0.63400000000000001</v>
      </c>
      <c r="O761" s="38">
        <v>0.63419800000000004</v>
      </c>
      <c r="P761" s="39"/>
      <c r="Q761" s="39"/>
      <c r="R761" s="40">
        <v>0.30499999999999999</v>
      </c>
      <c r="S761" s="38">
        <v>0.30323299999999997</v>
      </c>
      <c r="T761" s="38">
        <v>9.2800000000000001E-4</v>
      </c>
      <c r="U761" s="38">
        <v>6.78E-4</v>
      </c>
      <c r="V761" s="8">
        <f t="shared" si="12"/>
        <v>2022</v>
      </c>
    </row>
    <row r="762" spans="1:22" s="41" customFormat="1" ht="14.4" hidden="1" x14ac:dyDescent="0.3">
      <c r="A762" s="36">
        <v>44896</v>
      </c>
      <c r="B762" s="37" t="s">
        <v>23</v>
      </c>
      <c r="C762" s="37" t="s">
        <v>113</v>
      </c>
      <c r="D762" s="37" t="s">
        <v>65</v>
      </c>
      <c r="E762" s="37" t="s">
        <v>6</v>
      </c>
      <c r="F762" s="37" t="s">
        <v>139</v>
      </c>
      <c r="G762" s="37" t="s">
        <v>65</v>
      </c>
      <c r="H762" s="37" t="s">
        <v>115</v>
      </c>
      <c r="I762" s="37" t="s">
        <v>116</v>
      </c>
      <c r="J762" s="37" t="s">
        <v>34</v>
      </c>
      <c r="K762" s="38">
        <v>2.0242499999999999</v>
      </c>
      <c r="L762" s="39"/>
      <c r="M762" s="37"/>
      <c r="N762" s="40">
        <v>0.63400000000000001</v>
      </c>
      <c r="O762" s="38">
        <v>0.63419800000000004</v>
      </c>
      <c r="P762" s="39"/>
      <c r="Q762" s="39"/>
      <c r="R762" s="40">
        <v>0.30499999999999999</v>
      </c>
      <c r="S762" s="38">
        <v>0.30323299999999997</v>
      </c>
      <c r="T762" s="38">
        <v>9.2800000000000001E-4</v>
      </c>
      <c r="U762" s="38">
        <v>6.78E-4</v>
      </c>
      <c r="V762" s="8">
        <f t="shared" si="12"/>
        <v>2022</v>
      </c>
    </row>
    <row r="763" spans="1:22" s="41" customFormat="1" ht="14.4" hidden="1" x14ac:dyDescent="0.3">
      <c r="A763" s="36">
        <v>44927</v>
      </c>
      <c r="B763" s="37" t="s">
        <v>23</v>
      </c>
      <c r="C763" s="37" t="s">
        <v>113</v>
      </c>
      <c r="D763" s="37" t="s">
        <v>65</v>
      </c>
      <c r="E763" s="37" t="s">
        <v>6</v>
      </c>
      <c r="F763" s="37" t="s">
        <v>139</v>
      </c>
      <c r="G763" s="37" t="s">
        <v>65</v>
      </c>
      <c r="H763" s="37" t="s">
        <v>115</v>
      </c>
      <c r="I763" s="37" t="s">
        <v>116</v>
      </c>
      <c r="J763" s="37" t="s">
        <v>34</v>
      </c>
      <c r="K763" s="38">
        <v>2.226</v>
      </c>
      <c r="L763" s="39"/>
      <c r="M763" s="37"/>
      <c r="N763" s="40">
        <v>0.61199999999999999</v>
      </c>
      <c r="O763" s="38">
        <v>0.61239500000000002</v>
      </c>
      <c r="P763" s="39"/>
      <c r="Q763" s="39"/>
      <c r="R763" s="40">
        <v>0.33500000000000002</v>
      </c>
      <c r="S763" s="38">
        <v>0.333455</v>
      </c>
      <c r="T763" s="38">
        <v>1.021E-3</v>
      </c>
      <c r="U763" s="38">
        <v>7.45E-4</v>
      </c>
      <c r="V763" s="8">
        <f t="shared" si="12"/>
        <v>2023</v>
      </c>
    </row>
    <row r="764" spans="1:22" s="41" customFormat="1" ht="14.4" hidden="1" x14ac:dyDescent="0.3">
      <c r="A764" s="36">
        <v>44958</v>
      </c>
      <c r="B764" s="37" t="s">
        <v>23</v>
      </c>
      <c r="C764" s="37" t="s">
        <v>113</v>
      </c>
      <c r="D764" s="37" t="s">
        <v>65</v>
      </c>
      <c r="E764" s="37" t="s">
        <v>6</v>
      </c>
      <c r="F764" s="37" t="s">
        <v>139</v>
      </c>
      <c r="G764" s="37" t="s">
        <v>65</v>
      </c>
      <c r="H764" s="37" t="s">
        <v>115</v>
      </c>
      <c r="I764" s="37" t="s">
        <v>116</v>
      </c>
      <c r="J764" s="37" t="s">
        <v>34</v>
      </c>
      <c r="K764" s="38">
        <v>2.226</v>
      </c>
      <c r="L764" s="39"/>
      <c r="M764" s="37"/>
      <c r="N764" s="40">
        <v>0.61199999999999999</v>
      </c>
      <c r="O764" s="38">
        <v>0.61239500000000002</v>
      </c>
      <c r="P764" s="39"/>
      <c r="Q764" s="39"/>
      <c r="R764" s="40">
        <v>0.33500000000000002</v>
      </c>
      <c r="S764" s="38">
        <v>0.333455</v>
      </c>
      <c r="T764" s="38">
        <v>1.021E-3</v>
      </c>
      <c r="U764" s="38">
        <v>7.45E-4</v>
      </c>
      <c r="V764" s="8">
        <f t="shared" si="12"/>
        <v>2023</v>
      </c>
    </row>
    <row r="765" spans="1:22" s="41" customFormat="1" ht="14.4" hidden="1" x14ac:dyDescent="0.3">
      <c r="A765" s="36">
        <v>44986</v>
      </c>
      <c r="B765" s="37" t="s">
        <v>23</v>
      </c>
      <c r="C765" s="37" t="s">
        <v>113</v>
      </c>
      <c r="D765" s="37" t="s">
        <v>65</v>
      </c>
      <c r="E765" s="37" t="s">
        <v>6</v>
      </c>
      <c r="F765" s="37" t="s">
        <v>139</v>
      </c>
      <c r="G765" s="37" t="s">
        <v>65</v>
      </c>
      <c r="H765" s="37" t="s">
        <v>115</v>
      </c>
      <c r="I765" s="37" t="s">
        <v>116</v>
      </c>
      <c r="J765" s="37" t="s">
        <v>34</v>
      </c>
      <c r="K765" s="38">
        <v>2.226</v>
      </c>
      <c r="L765" s="39"/>
      <c r="M765" s="37"/>
      <c r="N765" s="40">
        <v>0.61199999999999999</v>
      </c>
      <c r="O765" s="38">
        <v>0.61239500000000002</v>
      </c>
      <c r="P765" s="39"/>
      <c r="Q765" s="39"/>
      <c r="R765" s="40">
        <v>0.33500000000000002</v>
      </c>
      <c r="S765" s="38">
        <v>0.333455</v>
      </c>
      <c r="T765" s="38">
        <v>1.021E-3</v>
      </c>
      <c r="U765" s="38">
        <v>7.45E-4</v>
      </c>
      <c r="V765" s="8">
        <f t="shared" si="12"/>
        <v>2023</v>
      </c>
    </row>
    <row r="766" spans="1:22" s="41" customFormat="1" ht="14.4" hidden="1" x14ac:dyDescent="0.3">
      <c r="A766" s="36">
        <v>45017</v>
      </c>
      <c r="B766" s="37" t="s">
        <v>23</v>
      </c>
      <c r="C766" s="37" t="s">
        <v>113</v>
      </c>
      <c r="D766" s="37" t="s">
        <v>65</v>
      </c>
      <c r="E766" s="37" t="s">
        <v>6</v>
      </c>
      <c r="F766" s="37" t="s">
        <v>139</v>
      </c>
      <c r="G766" s="37" t="s">
        <v>65</v>
      </c>
      <c r="H766" s="37" t="s">
        <v>115</v>
      </c>
      <c r="I766" s="37" t="s">
        <v>116</v>
      </c>
      <c r="J766" s="37" t="s">
        <v>34</v>
      </c>
      <c r="K766" s="38">
        <v>2.226</v>
      </c>
      <c r="L766" s="39"/>
      <c r="M766" s="37"/>
      <c r="N766" s="40">
        <v>0.61199999999999999</v>
      </c>
      <c r="O766" s="38">
        <v>0.61239500000000002</v>
      </c>
      <c r="P766" s="39"/>
      <c r="Q766" s="39"/>
      <c r="R766" s="40">
        <v>0.33500000000000002</v>
      </c>
      <c r="S766" s="38">
        <v>0.333455</v>
      </c>
      <c r="T766" s="38">
        <v>1.021E-3</v>
      </c>
      <c r="U766" s="38">
        <v>7.45E-4</v>
      </c>
      <c r="V766" s="8">
        <f t="shared" si="12"/>
        <v>2023</v>
      </c>
    </row>
    <row r="767" spans="1:22" s="41" customFormat="1" ht="14.4" hidden="1" x14ac:dyDescent="0.3">
      <c r="A767" s="36">
        <v>45047</v>
      </c>
      <c r="B767" s="37" t="s">
        <v>23</v>
      </c>
      <c r="C767" s="37" t="s">
        <v>113</v>
      </c>
      <c r="D767" s="37" t="s">
        <v>65</v>
      </c>
      <c r="E767" s="37" t="s">
        <v>6</v>
      </c>
      <c r="F767" s="37" t="s">
        <v>139</v>
      </c>
      <c r="G767" s="37" t="s">
        <v>65</v>
      </c>
      <c r="H767" s="37" t="s">
        <v>115</v>
      </c>
      <c r="I767" s="37" t="s">
        <v>116</v>
      </c>
      <c r="J767" s="37" t="s">
        <v>34</v>
      </c>
      <c r="K767" s="38">
        <v>2.226</v>
      </c>
      <c r="L767" s="39"/>
      <c r="M767" s="37"/>
      <c r="N767" s="40">
        <v>0.61199999999999999</v>
      </c>
      <c r="O767" s="38">
        <v>0.61239500000000002</v>
      </c>
      <c r="P767" s="39"/>
      <c r="Q767" s="39"/>
      <c r="R767" s="40">
        <v>0.33500000000000002</v>
      </c>
      <c r="S767" s="38">
        <v>0.333455</v>
      </c>
      <c r="T767" s="38">
        <v>1.021E-3</v>
      </c>
      <c r="U767" s="38">
        <v>7.45E-4</v>
      </c>
      <c r="V767" s="8">
        <f t="shared" si="12"/>
        <v>2023</v>
      </c>
    </row>
    <row r="768" spans="1:22" s="41" customFormat="1" ht="14.4" hidden="1" x14ac:dyDescent="0.3">
      <c r="A768" s="36">
        <v>45078</v>
      </c>
      <c r="B768" s="37" t="s">
        <v>23</v>
      </c>
      <c r="C768" s="37" t="s">
        <v>113</v>
      </c>
      <c r="D768" s="37" t="s">
        <v>65</v>
      </c>
      <c r="E768" s="37" t="s">
        <v>6</v>
      </c>
      <c r="F768" s="37" t="s">
        <v>139</v>
      </c>
      <c r="G768" s="37" t="s">
        <v>65</v>
      </c>
      <c r="H768" s="37" t="s">
        <v>115</v>
      </c>
      <c r="I768" s="37" t="s">
        <v>116</v>
      </c>
      <c r="J768" s="37" t="s">
        <v>34</v>
      </c>
      <c r="K768" s="38">
        <v>2.226</v>
      </c>
      <c r="L768" s="39"/>
      <c r="M768" s="37"/>
      <c r="N768" s="40">
        <v>0.61199999999999999</v>
      </c>
      <c r="O768" s="38">
        <v>0.61239500000000002</v>
      </c>
      <c r="P768" s="39"/>
      <c r="Q768" s="39"/>
      <c r="R768" s="40">
        <v>0.33500000000000002</v>
      </c>
      <c r="S768" s="38">
        <v>0.333455</v>
      </c>
      <c r="T768" s="38">
        <v>1.021E-3</v>
      </c>
      <c r="U768" s="38">
        <v>7.45E-4</v>
      </c>
      <c r="V768" s="8">
        <f t="shared" si="12"/>
        <v>2023</v>
      </c>
    </row>
    <row r="769" spans="1:22" s="41" customFormat="1" ht="14.4" hidden="1" x14ac:dyDescent="0.3">
      <c r="A769" s="36">
        <v>45108</v>
      </c>
      <c r="B769" s="37" t="s">
        <v>23</v>
      </c>
      <c r="C769" s="37" t="s">
        <v>113</v>
      </c>
      <c r="D769" s="37" t="s">
        <v>65</v>
      </c>
      <c r="E769" s="37" t="s">
        <v>6</v>
      </c>
      <c r="F769" s="37" t="s">
        <v>139</v>
      </c>
      <c r="G769" s="37" t="s">
        <v>65</v>
      </c>
      <c r="H769" s="37" t="s">
        <v>115</v>
      </c>
      <c r="I769" s="37" t="s">
        <v>116</v>
      </c>
      <c r="J769" s="37" t="s">
        <v>34</v>
      </c>
      <c r="K769" s="38">
        <v>2.226</v>
      </c>
      <c r="L769" s="39"/>
      <c r="M769" s="37"/>
      <c r="N769" s="40">
        <v>0.61199999999999999</v>
      </c>
      <c r="O769" s="38">
        <v>0.61239500000000002</v>
      </c>
      <c r="P769" s="39"/>
      <c r="Q769" s="39"/>
      <c r="R769" s="40">
        <v>0.33500000000000002</v>
      </c>
      <c r="S769" s="38">
        <v>0.333455</v>
      </c>
      <c r="T769" s="38">
        <v>1.021E-3</v>
      </c>
      <c r="U769" s="38">
        <v>7.45E-4</v>
      </c>
      <c r="V769" s="8">
        <f t="shared" si="12"/>
        <v>2023</v>
      </c>
    </row>
    <row r="770" spans="1:22" s="41" customFormat="1" ht="14.4" hidden="1" x14ac:dyDescent="0.3">
      <c r="A770" s="36">
        <v>45139</v>
      </c>
      <c r="B770" s="37" t="s">
        <v>23</v>
      </c>
      <c r="C770" s="37" t="s">
        <v>113</v>
      </c>
      <c r="D770" s="37" t="s">
        <v>65</v>
      </c>
      <c r="E770" s="37" t="s">
        <v>6</v>
      </c>
      <c r="F770" s="37" t="s">
        <v>139</v>
      </c>
      <c r="G770" s="37" t="s">
        <v>65</v>
      </c>
      <c r="H770" s="37" t="s">
        <v>115</v>
      </c>
      <c r="I770" s="37" t="s">
        <v>116</v>
      </c>
      <c r="J770" s="37" t="s">
        <v>34</v>
      </c>
      <c r="K770" s="38">
        <v>2.226</v>
      </c>
      <c r="L770" s="39"/>
      <c r="M770" s="37"/>
      <c r="N770" s="40">
        <v>0.61199999999999999</v>
      </c>
      <c r="O770" s="38">
        <v>0.61239500000000002</v>
      </c>
      <c r="P770" s="39"/>
      <c r="Q770" s="39"/>
      <c r="R770" s="40">
        <v>0.33500000000000002</v>
      </c>
      <c r="S770" s="38">
        <v>0.333455</v>
      </c>
      <c r="T770" s="38">
        <v>1.021E-3</v>
      </c>
      <c r="U770" s="38">
        <v>7.45E-4</v>
      </c>
      <c r="V770" s="8">
        <f t="shared" si="12"/>
        <v>2023</v>
      </c>
    </row>
    <row r="771" spans="1:22" s="41" customFormat="1" ht="14.4" hidden="1" x14ac:dyDescent="0.3">
      <c r="A771" s="36">
        <v>45170</v>
      </c>
      <c r="B771" s="37" t="s">
        <v>23</v>
      </c>
      <c r="C771" s="37" t="s">
        <v>113</v>
      </c>
      <c r="D771" s="37" t="s">
        <v>65</v>
      </c>
      <c r="E771" s="37" t="s">
        <v>6</v>
      </c>
      <c r="F771" s="37" t="s">
        <v>139</v>
      </c>
      <c r="G771" s="37" t="s">
        <v>65</v>
      </c>
      <c r="H771" s="37" t="s">
        <v>115</v>
      </c>
      <c r="I771" s="37" t="s">
        <v>116</v>
      </c>
      <c r="J771" s="37" t="s">
        <v>34</v>
      </c>
      <c r="K771" s="38">
        <v>2.226</v>
      </c>
      <c r="L771" s="39"/>
      <c r="M771" s="37"/>
      <c r="N771" s="40">
        <v>0.61199999999999999</v>
      </c>
      <c r="O771" s="38">
        <v>0.61239500000000002</v>
      </c>
      <c r="P771" s="39"/>
      <c r="Q771" s="39"/>
      <c r="R771" s="40">
        <v>0.33500000000000002</v>
      </c>
      <c r="S771" s="38">
        <v>0.333455</v>
      </c>
      <c r="T771" s="38">
        <v>1.021E-3</v>
      </c>
      <c r="U771" s="38">
        <v>7.45E-4</v>
      </c>
      <c r="V771" s="8">
        <f t="shared" si="12"/>
        <v>2023</v>
      </c>
    </row>
    <row r="772" spans="1:22" s="41" customFormat="1" ht="14.4" hidden="1" x14ac:dyDescent="0.3">
      <c r="A772" s="36">
        <v>45200</v>
      </c>
      <c r="B772" s="37" t="s">
        <v>23</v>
      </c>
      <c r="C772" s="37" t="s">
        <v>113</v>
      </c>
      <c r="D772" s="37" t="s">
        <v>65</v>
      </c>
      <c r="E772" s="37" t="s">
        <v>6</v>
      </c>
      <c r="F772" s="37" t="s">
        <v>139</v>
      </c>
      <c r="G772" s="37" t="s">
        <v>65</v>
      </c>
      <c r="H772" s="37" t="s">
        <v>115</v>
      </c>
      <c r="I772" s="37" t="s">
        <v>116</v>
      </c>
      <c r="J772" s="37" t="s">
        <v>34</v>
      </c>
      <c r="K772" s="38">
        <v>2.226</v>
      </c>
      <c r="L772" s="39"/>
      <c r="M772" s="37"/>
      <c r="N772" s="40">
        <v>0.61199999999999999</v>
      </c>
      <c r="O772" s="38">
        <v>0.61239500000000002</v>
      </c>
      <c r="P772" s="39"/>
      <c r="Q772" s="39"/>
      <c r="R772" s="40">
        <v>0.33500000000000002</v>
      </c>
      <c r="S772" s="38">
        <v>0.333455</v>
      </c>
      <c r="T772" s="38">
        <v>1.021E-3</v>
      </c>
      <c r="U772" s="38">
        <v>7.45E-4</v>
      </c>
      <c r="V772" s="8">
        <f t="shared" si="12"/>
        <v>2023</v>
      </c>
    </row>
    <row r="773" spans="1:22" s="41" customFormat="1" ht="14.4" hidden="1" x14ac:dyDescent="0.3">
      <c r="A773" s="36">
        <v>45231</v>
      </c>
      <c r="B773" s="37" t="s">
        <v>23</v>
      </c>
      <c r="C773" s="37" t="s">
        <v>113</v>
      </c>
      <c r="D773" s="37" t="s">
        <v>65</v>
      </c>
      <c r="E773" s="37" t="s">
        <v>6</v>
      </c>
      <c r="F773" s="37" t="s">
        <v>139</v>
      </c>
      <c r="G773" s="37" t="s">
        <v>65</v>
      </c>
      <c r="H773" s="37" t="s">
        <v>115</v>
      </c>
      <c r="I773" s="37" t="s">
        <v>116</v>
      </c>
      <c r="J773" s="37" t="s">
        <v>34</v>
      </c>
      <c r="K773" s="38">
        <v>1.698</v>
      </c>
      <c r="L773" s="42">
        <v>260.96627100000001</v>
      </c>
      <c r="M773" s="37"/>
      <c r="N773" s="40">
        <v>0.46700000000000003</v>
      </c>
      <c r="O773" s="38">
        <v>0.46713700000000002</v>
      </c>
      <c r="P773" s="39"/>
      <c r="Q773" s="39"/>
      <c r="R773" s="40">
        <v>0.25600000000000001</v>
      </c>
      <c r="S773" s="38">
        <v>0.25435999999999998</v>
      </c>
      <c r="T773" s="38">
        <v>7.7899999999999996E-4</v>
      </c>
      <c r="U773" s="38">
        <v>5.6800000000000004E-4</v>
      </c>
      <c r="V773" s="8">
        <f t="shared" si="12"/>
        <v>2023</v>
      </c>
    </row>
    <row r="774" spans="1:22" s="41" customFormat="1" ht="14.4" hidden="1" x14ac:dyDescent="0.3">
      <c r="A774" s="36">
        <v>45261</v>
      </c>
      <c r="B774" s="37" t="s">
        <v>23</v>
      </c>
      <c r="C774" s="37" t="s">
        <v>113</v>
      </c>
      <c r="D774" s="37" t="s">
        <v>65</v>
      </c>
      <c r="E774" s="37" t="s">
        <v>6</v>
      </c>
      <c r="F774" s="37" t="s">
        <v>139</v>
      </c>
      <c r="G774" s="37" t="s">
        <v>65</v>
      </c>
      <c r="H774" s="37" t="s">
        <v>115</v>
      </c>
      <c r="I774" s="37" t="s">
        <v>116</v>
      </c>
      <c r="J774" s="37" t="s">
        <v>34</v>
      </c>
      <c r="K774" s="38">
        <v>2.754</v>
      </c>
      <c r="L774" s="42">
        <v>154.53600499999999</v>
      </c>
      <c r="M774" s="37"/>
      <c r="N774" s="40">
        <v>0.75800000000000001</v>
      </c>
      <c r="O774" s="38">
        <v>0.75765300000000002</v>
      </c>
      <c r="P774" s="39"/>
      <c r="Q774" s="39"/>
      <c r="R774" s="40">
        <v>0.41499999999999998</v>
      </c>
      <c r="S774" s="38">
        <v>0.412549</v>
      </c>
      <c r="T774" s="38">
        <v>1.263E-3</v>
      </c>
      <c r="U774" s="38">
        <v>9.2199999999999997E-4</v>
      </c>
      <c r="V774" s="8">
        <f t="shared" si="12"/>
        <v>2023</v>
      </c>
    </row>
    <row r="775" spans="1:22" s="41" customFormat="1" ht="14.4" hidden="1" x14ac:dyDescent="0.3">
      <c r="A775" s="36">
        <v>44562</v>
      </c>
      <c r="B775" s="37" t="s">
        <v>11</v>
      </c>
      <c r="C775" s="37" t="s">
        <v>123</v>
      </c>
      <c r="D775" s="37" t="s">
        <v>66</v>
      </c>
      <c r="E775" s="37" t="s">
        <v>5</v>
      </c>
      <c r="F775" s="37" t="s">
        <v>140</v>
      </c>
      <c r="G775" s="37" t="s">
        <v>141</v>
      </c>
      <c r="H775" s="37" t="s">
        <v>130</v>
      </c>
      <c r="I775" s="37" t="s">
        <v>127</v>
      </c>
      <c r="J775" s="37" t="s">
        <v>34</v>
      </c>
      <c r="K775" s="38">
        <v>0.61274099999999998</v>
      </c>
      <c r="L775" s="39"/>
      <c r="M775" s="37" t="s">
        <v>117</v>
      </c>
      <c r="N775" s="40">
        <v>0.14599999999999999</v>
      </c>
      <c r="O775" s="38">
        <v>0.14383699999999999</v>
      </c>
      <c r="P775" s="38">
        <v>1.9319999999999999E-3</v>
      </c>
      <c r="Q775" s="38">
        <v>1.7E-5</v>
      </c>
      <c r="R775" s="40">
        <v>0.14599999999999999</v>
      </c>
      <c r="S775" s="38">
        <v>0.14383699999999999</v>
      </c>
      <c r="T775" s="38">
        <v>1.9319999999999999E-3</v>
      </c>
      <c r="U775" s="38">
        <v>1.7E-5</v>
      </c>
      <c r="V775" s="8">
        <f t="shared" si="12"/>
        <v>2022</v>
      </c>
    </row>
    <row r="776" spans="1:22" s="41" customFormat="1" ht="14.4" hidden="1" x14ac:dyDescent="0.3">
      <c r="A776" s="36">
        <v>44562</v>
      </c>
      <c r="B776" s="37" t="s">
        <v>19</v>
      </c>
      <c r="C776" s="37" t="s">
        <v>123</v>
      </c>
      <c r="D776" s="37" t="s">
        <v>66</v>
      </c>
      <c r="E776" s="37" t="s">
        <v>5</v>
      </c>
      <c r="F776" s="37" t="s">
        <v>140</v>
      </c>
      <c r="G776" s="37" t="s">
        <v>141</v>
      </c>
      <c r="H776" s="37" t="s">
        <v>130</v>
      </c>
      <c r="I776" s="37" t="s">
        <v>127</v>
      </c>
      <c r="J776" s="37" t="s">
        <v>34</v>
      </c>
      <c r="K776" s="38">
        <v>7304.4271550000003</v>
      </c>
      <c r="L776" s="42">
        <v>123254.42</v>
      </c>
      <c r="M776" s="37" t="s">
        <v>117</v>
      </c>
      <c r="N776" s="40">
        <v>1323.877</v>
      </c>
      <c r="O776" s="38">
        <v>1322.4536439999999</v>
      </c>
      <c r="P776" s="38">
        <v>0.68041799999999997</v>
      </c>
      <c r="Q776" s="38">
        <v>0.74272700000000003</v>
      </c>
      <c r="R776" s="40">
        <v>1323.877</v>
      </c>
      <c r="S776" s="38">
        <v>1322.4536439999999</v>
      </c>
      <c r="T776" s="38">
        <v>0.68041799999999997</v>
      </c>
      <c r="U776" s="38">
        <v>0.74272700000000003</v>
      </c>
      <c r="V776" s="8">
        <f t="shared" si="12"/>
        <v>2022</v>
      </c>
    </row>
    <row r="777" spans="1:22" s="41" customFormat="1" ht="14.4" hidden="1" x14ac:dyDescent="0.3">
      <c r="A777" s="36">
        <v>44562</v>
      </c>
      <c r="B777" s="37" t="s">
        <v>20</v>
      </c>
      <c r="C777" s="37" t="s">
        <v>123</v>
      </c>
      <c r="D777" s="37" t="s">
        <v>66</v>
      </c>
      <c r="E777" s="37" t="s">
        <v>5</v>
      </c>
      <c r="F777" s="37" t="s">
        <v>140</v>
      </c>
      <c r="G777" s="37" t="s">
        <v>141</v>
      </c>
      <c r="H777" s="37" t="s">
        <v>130</v>
      </c>
      <c r="I777" s="37" t="s">
        <v>127</v>
      </c>
      <c r="J777" s="37" t="s">
        <v>34</v>
      </c>
      <c r="K777" s="38">
        <v>17.204111999999999</v>
      </c>
      <c r="L777" s="39"/>
      <c r="M777" s="37" t="s">
        <v>117</v>
      </c>
      <c r="N777" s="40">
        <v>3.706</v>
      </c>
      <c r="O777" s="38">
        <v>3.6906490000000001</v>
      </c>
      <c r="P777" s="38">
        <v>9.6159999999999995E-3</v>
      </c>
      <c r="Q777" s="38">
        <v>5.2480000000000001E-3</v>
      </c>
      <c r="R777" s="39" t="s">
        <v>117</v>
      </c>
      <c r="S777" s="39"/>
      <c r="T777" s="39"/>
      <c r="U777" s="39"/>
      <c r="V777" s="8">
        <f t="shared" si="12"/>
        <v>2022</v>
      </c>
    </row>
    <row r="778" spans="1:22" s="41" customFormat="1" ht="14.4" hidden="1" x14ac:dyDescent="0.3">
      <c r="A778" s="36">
        <v>44593</v>
      </c>
      <c r="B778" s="37" t="s">
        <v>11</v>
      </c>
      <c r="C778" s="37" t="s">
        <v>123</v>
      </c>
      <c r="D778" s="37" t="s">
        <v>66</v>
      </c>
      <c r="E778" s="37" t="s">
        <v>5</v>
      </c>
      <c r="F778" s="37" t="s">
        <v>140</v>
      </c>
      <c r="G778" s="37" t="s">
        <v>141</v>
      </c>
      <c r="H778" s="37" t="s">
        <v>130</v>
      </c>
      <c r="I778" s="37" t="s">
        <v>127</v>
      </c>
      <c r="J778" s="37" t="s">
        <v>34</v>
      </c>
      <c r="K778" s="38">
        <v>0.61274099999999998</v>
      </c>
      <c r="L778" s="39"/>
      <c r="M778" s="37" t="s">
        <v>117</v>
      </c>
      <c r="N778" s="40">
        <v>0.14599999999999999</v>
      </c>
      <c r="O778" s="38">
        <v>0.14383699999999999</v>
      </c>
      <c r="P778" s="38">
        <v>1.9319999999999999E-3</v>
      </c>
      <c r="Q778" s="38">
        <v>1.7E-5</v>
      </c>
      <c r="R778" s="40">
        <v>0.14599999999999999</v>
      </c>
      <c r="S778" s="38">
        <v>0.14383699999999999</v>
      </c>
      <c r="T778" s="38">
        <v>1.9319999999999999E-3</v>
      </c>
      <c r="U778" s="38">
        <v>1.7E-5</v>
      </c>
      <c r="V778" s="8">
        <f t="shared" si="12"/>
        <v>2022</v>
      </c>
    </row>
    <row r="779" spans="1:22" s="41" customFormat="1" ht="14.4" hidden="1" x14ac:dyDescent="0.3">
      <c r="A779" s="36">
        <v>44593</v>
      </c>
      <c r="B779" s="37" t="s">
        <v>19</v>
      </c>
      <c r="C779" s="37" t="s">
        <v>123</v>
      </c>
      <c r="D779" s="37" t="s">
        <v>66</v>
      </c>
      <c r="E779" s="37" t="s">
        <v>5</v>
      </c>
      <c r="F779" s="37" t="s">
        <v>140</v>
      </c>
      <c r="G779" s="37" t="s">
        <v>141</v>
      </c>
      <c r="H779" s="37" t="s">
        <v>130</v>
      </c>
      <c r="I779" s="37" t="s">
        <v>127</v>
      </c>
      <c r="J779" s="37" t="s">
        <v>34</v>
      </c>
      <c r="K779" s="38">
        <v>6262.0319719999998</v>
      </c>
      <c r="L779" s="42">
        <v>117692.32</v>
      </c>
      <c r="M779" s="37" t="s">
        <v>117</v>
      </c>
      <c r="N779" s="40">
        <v>1134.95</v>
      </c>
      <c r="O779" s="38">
        <v>1133.729836</v>
      </c>
      <c r="P779" s="38">
        <v>0.58331699999999997</v>
      </c>
      <c r="Q779" s="38">
        <v>0.63673500000000005</v>
      </c>
      <c r="R779" s="40">
        <v>1134.95</v>
      </c>
      <c r="S779" s="38">
        <v>1133.729836</v>
      </c>
      <c r="T779" s="38">
        <v>0.58331699999999997</v>
      </c>
      <c r="U779" s="38">
        <v>0.63673500000000005</v>
      </c>
      <c r="V779" s="8">
        <f t="shared" si="12"/>
        <v>2022</v>
      </c>
    </row>
    <row r="780" spans="1:22" s="41" customFormat="1" ht="14.4" hidden="1" x14ac:dyDescent="0.3">
      <c r="A780" s="36">
        <v>44593</v>
      </c>
      <c r="B780" s="37" t="s">
        <v>20</v>
      </c>
      <c r="C780" s="37" t="s">
        <v>123</v>
      </c>
      <c r="D780" s="37" t="s">
        <v>66</v>
      </c>
      <c r="E780" s="37" t="s">
        <v>5</v>
      </c>
      <c r="F780" s="37" t="s">
        <v>140</v>
      </c>
      <c r="G780" s="37" t="s">
        <v>141</v>
      </c>
      <c r="H780" s="37" t="s">
        <v>130</v>
      </c>
      <c r="I780" s="37" t="s">
        <v>127</v>
      </c>
      <c r="J780" s="37" t="s">
        <v>34</v>
      </c>
      <c r="K780" s="38">
        <v>17.204111999999999</v>
      </c>
      <c r="L780" s="39"/>
      <c r="M780" s="37" t="s">
        <v>117</v>
      </c>
      <c r="N780" s="40">
        <v>3.706</v>
      </c>
      <c r="O780" s="38">
        <v>3.6906490000000001</v>
      </c>
      <c r="P780" s="38">
        <v>9.6159999999999995E-3</v>
      </c>
      <c r="Q780" s="38">
        <v>5.2480000000000001E-3</v>
      </c>
      <c r="R780" s="39" t="s">
        <v>117</v>
      </c>
      <c r="S780" s="39"/>
      <c r="T780" s="39"/>
      <c r="U780" s="39"/>
      <c r="V780" s="8">
        <f t="shared" si="12"/>
        <v>2022</v>
      </c>
    </row>
    <row r="781" spans="1:22" s="41" customFormat="1" ht="14.4" hidden="1" x14ac:dyDescent="0.3">
      <c r="A781" s="36">
        <v>44621</v>
      </c>
      <c r="B781" s="37" t="s">
        <v>11</v>
      </c>
      <c r="C781" s="37" t="s">
        <v>123</v>
      </c>
      <c r="D781" s="37" t="s">
        <v>66</v>
      </c>
      <c r="E781" s="37" t="s">
        <v>5</v>
      </c>
      <c r="F781" s="37" t="s">
        <v>140</v>
      </c>
      <c r="G781" s="37" t="s">
        <v>141</v>
      </c>
      <c r="H781" s="37" t="s">
        <v>130</v>
      </c>
      <c r="I781" s="37" t="s">
        <v>127</v>
      </c>
      <c r="J781" s="37" t="s">
        <v>34</v>
      </c>
      <c r="K781" s="38">
        <v>0.61274099999999998</v>
      </c>
      <c r="L781" s="39"/>
      <c r="M781" s="37" t="s">
        <v>117</v>
      </c>
      <c r="N781" s="40">
        <v>0.14599999999999999</v>
      </c>
      <c r="O781" s="38">
        <v>0.14383699999999999</v>
      </c>
      <c r="P781" s="38">
        <v>1.9319999999999999E-3</v>
      </c>
      <c r="Q781" s="38">
        <v>1.7E-5</v>
      </c>
      <c r="R781" s="40">
        <v>0.14599999999999999</v>
      </c>
      <c r="S781" s="38">
        <v>0.14383699999999999</v>
      </c>
      <c r="T781" s="38">
        <v>1.9319999999999999E-3</v>
      </c>
      <c r="U781" s="38">
        <v>1.7E-5</v>
      </c>
      <c r="V781" s="8">
        <f t="shared" si="12"/>
        <v>2022</v>
      </c>
    </row>
    <row r="782" spans="1:22" s="41" customFormat="1" ht="14.4" hidden="1" x14ac:dyDescent="0.3">
      <c r="A782" s="36">
        <v>44621</v>
      </c>
      <c r="B782" s="37" t="s">
        <v>19</v>
      </c>
      <c r="C782" s="37" t="s">
        <v>123</v>
      </c>
      <c r="D782" s="37" t="s">
        <v>66</v>
      </c>
      <c r="E782" s="37" t="s">
        <v>5</v>
      </c>
      <c r="F782" s="37" t="s">
        <v>140</v>
      </c>
      <c r="G782" s="37" t="s">
        <v>141</v>
      </c>
      <c r="H782" s="37" t="s">
        <v>130</v>
      </c>
      <c r="I782" s="37" t="s">
        <v>127</v>
      </c>
      <c r="J782" s="37" t="s">
        <v>34</v>
      </c>
      <c r="K782" s="38">
        <v>6070.4015920000002</v>
      </c>
      <c r="L782" s="42">
        <v>114223.03</v>
      </c>
      <c r="M782" s="37" t="s">
        <v>117</v>
      </c>
      <c r="N782" s="40">
        <v>1100.2180000000001</v>
      </c>
      <c r="O782" s="38">
        <v>1099.035494</v>
      </c>
      <c r="P782" s="38">
        <v>0.56546700000000005</v>
      </c>
      <c r="Q782" s="38">
        <v>0.61724900000000005</v>
      </c>
      <c r="R782" s="40">
        <v>1100.2180000000001</v>
      </c>
      <c r="S782" s="38">
        <v>1099.035494</v>
      </c>
      <c r="T782" s="38">
        <v>0.56546700000000005</v>
      </c>
      <c r="U782" s="38">
        <v>0.61724900000000005</v>
      </c>
      <c r="V782" s="8">
        <f t="shared" si="12"/>
        <v>2022</v>
      </c>
    </row>
    <row r="783" spans="1:22" s="41" customFormat="1" ht="14.4" hidden="1" x14ac:dyDescent="0.3">
      <c r="A783" s="36">
        <v>44621</v>
      </c>
      <c r="B783" s="37" t="s">
        <v>20</v>
      </c>
      <c r="C783" s="37" t="s">
        <v>123</v>
      </c>
      <c r="D783" s="37" t="s">
        <v>66</v>
      </c>
      <c r="E783" s="37" t="s">
        <v>5</v>
      </c>
      <c r="F783" s="37" t="s">
        <v>140</v>
      </c>
      <c r="G783" s="37" t="s">
        <v>141</v>
      </c>
      <c r="H783" s="37" t="s">
        <v>130</v>
      </c>
      <c r="I783" s="37" t="s">
        <v>127</v>
      </c>
      <c r="J783" s="37" t="s">
        <v>34</v>
      </c>
      <c r="K783" s="38">
        <v>17.204111999999999</v>
      </c>
      <c r="L783" s="39"/>
      <c r="M783" s="37" t="s">
        <v>117</v>
      </c>
      <c r="N783" s="40">
        <v>3.706</v>
      </c>
      <c r="O783" s="38">
        <v>3.6906490000000001</v>
      </c>
      <c r="P783" s="38">
        <v>9.6159999999999995E-3</v>
      </c>
      <c r="Q783" s="38">
        <v>5.2480000000000001E-3</v>
      </c>
      <c r="R783" s="39" t="s">
        <v>117</v>
      </c>
      <c r="S783" s="39"/>
      <c r="T783" s="39"/>
      <c r="U783" s="39"/>
      <c r="V783" s="8">
        <f t="shared" si="12"/>
        <v>2022</v>
      </c>
    </row>
    <row r="784" spans="1:22" s="41" customFormat="1" ht="14.4" hidden="1" x14ac:dyDescent="0.3">
      <c r="A784" s="36">
        <v>44652</v>
      </c>
      <c r="B784" s="37" t="s">
        <v>11</v>
      </c>
      <c r="C784" s="37" t="s">
        <v>123</v>
      </c>
      <c r="D784" s="37" t="s">
        <v>66</v>
      </c>
      <c r="E784" s="37" t="s">
        <v>5</v>
      </c>
      <c r="F784" s="37" t="s">
        <v>140</v>
      </c>
      <c r="G784" s="37" t="s">
        <v>141</v>
      </c>
      <c r="H784" s="37" t="s">
        <v>130</v>
      </c>
      <c r="I784" s="37" t="s">
        <v>127</v>
      </c>
      <c r="J784" s="37" t="s">
        <v>34</v>
      </c>
      <c r="K784" s="38">
        <v>0.61274099999999998</v>
      </c>
      <c r="L784" s="39"/>
      <c r="M784" s="37" t="s">
        <v>117</v>
      </c>
      <c r="N784" s="40">
        <v>0.14599999999999999</v>
      </c>
      <c r="O784" s="38">
        <v>0.14383699999999999</v>
      </c>
      <c r="P784" s="38">
        <v>1.9319999999999999E-3</v>
      </c>
      <c r="Q784" s="38">
        <v>1.7E-5</v>
      </c>
      <c r="R784" s="40">
        <v>0.14599999999999999</v>
      </c>
      <c r="S784" s="38">
        <v>0.14383699999999999</v>
      </c>
      <c r="T784" s="38">
        <v>1.9319999999999999E-3</v>
      </c>
      <c r="U784" s="38">
        <v>1.7E-5</v>
      </c>
      <c r="V784" s="8">
        <f t="shared" si="12"/>
        <v>2022</v>
      </c>
    </row>
    <row r="785" spans="1:22" s="41" customFormat="1" ht="14.4" hidden="1" x14ac:dyDescent="0.3">
      <c r="A785" s="36">
        <v>44652</v>
      </c>
      <c r="B785" s="37" t="s">
        <v>19</v>
      </c>
      <c r="C785" s="37" t="s">
        <v>123</v>
      </c>
      <c r="D785" s="37" t="s">
        <v>66</v>
      </c>
      <c r="E785" s="37" t="s">
        <v>5</v>
      </c>
      <c r="F785" s="37" t="s">
        <v>140</v>
      </c>
      <c r="G785" s="37" t="s">
        <v>141</v>
      </c>
      <c r="H785" s="37" t="s">
        <v>130</v>
      </c>
      <c r="I785" s="37" t="s">
        <v>127</v>
      </c>
      <c r="J785" s="37" t="s">
        <v>34</v>
      </c>
      <c r="K785" s="38">
        <v>5718.543396</v>
      </c>
      <c r="L785" s="42">
        <v>107435.67</v>
      </c>
      <c r="M785" s="37" t="s">
        <v>117</v>
      </c>
      <c r="N785" s="40">
        <v>1036.4459999999999</v>
      </c>
      <c r="O785" s="38">
        <v>1035.332189</v>
      </c>
      <c r="P785" s="38">
        <v>0.53269100000000003</v>
      </c>
      <c r="Q785" s="38">
        <v>0.58147199999999999</v>
      </c>
      <c r="R785" s="40">
        <v>1036.4459999999999</v>
      </c>
      <c r="S785" s="38">
        <v>1035.332189</v>
      </c>
      <c r="T785" s="38">
        <v>0.53269100000000003</v>
      </c>
      <c r="U785" s="38">
        <v>0.58147199999999999</v>
      </c>
      <c r="V785" s="8">
        <f t="shared" si="12"/>
        <v>2022</v>
      </c>
    </row>
    <row r="786" spans="1:22" s="41" customFormat="1" ht="14.4" hidden="1" x14ac:dyDescent="0.3">
      <c r="A786" s="36">
        <v>44652</v>
      </c>
      <c r="B786" s="37" t="s">
        <v>20</v>
      </c>
      <c r="C786" s="37" t="s">
        <v>123</v>
      </c>
      <c r="D786" s="37" t="s">
        <v>66</v>
      </c>
      <c r="E786" s="37" t="s">
        <v>5</v>
      </c>
      <c r="F786" s="37" t="s">
        <v>140</v>
      </c>
      <c r="G786" s="37" t="s">
        <v>141</v>
      </c>
      <c r="H786" s="37" t="s">
        <v>130</v>
      </c>
      <c r="I786" s="37" t="s">
        <v>127</v>
      </c>
      <c r="J786" s="37" t="s">
        <v>34</v>
      </c>
      <c r="K786" s="38">
        <v>17.204111999999999</v>
      </c>
      <c r="L786" s="39"/>
      <c r="M786" s="37" t="s">
        <v>117</v>
      </c>
      <c r="N786" s="40">
        <v>3.706</v>
      </c>
      <c r="O786" s="38">
        <v>3.6906490000000001</v>
      </c>
      <c r="P786" s="38">
        <v>9.6159999999999995E-3</v>
      </c>
      <c r="Q786" s="38">
        <v>5.2480000000000001E-3</v>
      </c>
      <c r="R786" s="39" t="s">
        <v>117</v>
      </c>
      <c r="S786" s="39"/>
      <c r="T786" s="39"/>
      <c r="U786" s="39"/>
      <c r="V786" s="8">
        <f t="shared" si="12"/>
        <v>2022</v>
      </c>
    </row>
    <row r="787" spans="1:22" s="41" customFormat="1" ht="14.4" hidden="1" x14ac:dyDescent="0.3">
      <c r="A787" s="36">
        <v>44682</v>
      </c>
      <c r="B787" s="37" t="s">
        <v>11</v>
      </c>
      <c r="C787" s="37" t="s">
        <v>123</v>
      </c>
      <c r="D787" s="37" t="s">
        <v>66</v>
      </c>
      <c r="E787" s="37" t="s">
        <v>5</v>
      </c>
      <c r="F787" s="37" t="s">
        <v>140</v>
      </c>
      <c r="G787" s="37" t="s">
        <v>141</v>
      </c>
      <c r="H787" s="37" t="s">
        <v>130</v>
      </c>
      <c r="I787" s="37" t="s">
        <v>127</v>
      </c>
      <c r="J787" s="37" t="s">
        <v>34</v>
      </c>
      <c r="K787" s="38">
        <v>0.61274099999999998</v>
      </c>
      <c r="L787" s="39"/>
      <c r="M787" s="37" t="s">
        <v>117</v>
      </c>
      <c r="N787" s="40">
        <v>0.14599999999999999</v>
      </c>
      <c r="O787" s="38">
        <v>0.14383699999999999</v>
      </c>
      <c r="P787" s="38">
        <v>1.9319999999999999E-3</v>
      </c>
      <c r="Q787" s="38">
        <v>1.7E-5</v>
      </c>
      <c r="R787" s="40">
        <v>0.14599999999999999</v>
      </c>
      <c r="S787" s="38">
        <v>0.14383699999999999</v>
      </c>
      <c r="T787" s="38">
        <v>1.9319999999999999E-3</v>
      </c>
      <c r="U787" s="38">
        <v>1.7E-5</v>
      </c>
      <c r="V787" s="8">
        <f t="shared" si="12"/>
        <v>2022</v>
      </c>
    </row>
    <row r="788" spans="1:22" s="41" customFormat="1" ht="14.4" hidden="1" x14ac:dyDescent="0.3">
      <c r="A788" s="36">
        <v>44682</v>
      </c>
      <c r="B788" s="37" t="s">
        <v>19</v>
      </c>
      <c r="C788" s="37" t="s">
        <v>123</v>
      </c>
      <c r="D788" s="37" t="s">
        <v>66</v>
      </c>
      <c r="E788" s="37" t="s">
        <v>5</v>
      </c>
      <c r="F788" s="37" t="s">
        <v>140</v>
      </c>
      <c r="G788" s="37" t="s">
        <v>141</v>
      </c>
      <c r="H788" s="37" t="s">
        <v>130</v>
      </c>
      <c r="I788" s="37" t="s">
        <v>127</v>
      </c>
      <c r="J788" s="37" t="s">
        <v>34</v>
      </c>
      <c r="K788" s="38">
        <v>5182.1764460000004</v>
      </c>
      <c r="L788" s="42">
        <v>114546.08</v>
      </c>
      <c r="M788" s="37" t="s">
        <v>117</v>
      </c>
      <c r="N788" s="40">
        <v>939.23400000000004</v>
      </c>
      <c r="O788" s="38">
        <v>938.22389899999996</v>
      </c>
      <c r="P788" s="38">
        <v>0.48272700000000002</v>
      </c>
      <c r="Q788" s="38">
        <v>0.52693299999999998</v>
      </c>
      <c r="R788" s="40">
        <v>939.23400000000004</v>
      </c>
      <c r="S788" s="38">
        <v>938.22389899999996</v>
      </c>
      <c r="T788" s="38">
        <v>0.48272700000000002</v>
      </c>
      <c r="U788" s="38">
        <v>0.52693299999999998</v>
      </c>
      <c r="V788" s="8">
        <f t="shared" si="12"/>
        <v>2022</v>
      </c>
    </row>
    <row r="789" spans="1:22" s="41" customFormat="1" ht="14.4" hidden="1" x14ac:dyDescent="0.3">
      <c r="A789" s="36">
        <v>44682</v>
      </c>
      <c r="B789" s="37" t="s">
        <v>20</v>
      </c>
      <c r="C789" s="37" t="s">
        <v>123</v>
      </c>
      <c r="D789" s="37" t="s">
        <v>66</v>
      </c>
      <c r="E789" s="37" t="s">
        <v>5</v>
      </c>
      <c r="F789" s="37" t="s">
        <v>140</v>
      </c>
      <c r="G789" s="37" t="s">
        <v>141</v>
      </c>
      <c r="H789" s="37" t="s">
        <v>130</v>
      </c>
      <c r="I789" s="37" t="s">
        <v>127</v>
      </c>
      <c r="J789" s="37" t="s">
        <v>34</v>
      </c>
      <c r="K789" s="38">
        <v>17.204111999999999</v>
      </c>
      <c r="L789" s="39"/>
      <c r="M789" s="37" t="s">
        <v>117</v>
      </c>
      <c r="N789" s="40">
        <v>3.706</v>
      </c>
      <c r="O789" s="38">
        <v>3.6906490000000001</v>
      </c>
      <c r="P789" s="38">
        <v>9.6159999999999995E-3</v>
      </c>
      <c r="Q789" s="38">
        <v>5.2480000000000001E-3</v>
      </c>
      <c r="R789" s="39" t="s">
        <v>117</v>
      </c>
      <c r="S789" s="39"/>
      <c r="T789" s="39"/>
      <c r="U789" s="39"/>
      <c r="V789" s="8">
        <f t="shared" si="12"/>
        <v>2022</v>
      </c>
    </row>
    <row r="790" spans="1:22" s="41" customFormat="1" ht="14.4" hidden="1" x14ac:dyDescent="0.3">
      <c r="A790" s="36">
        <v>44713</v>
      </c>
      <c r="B790" s="37" t="s">
        <v>11</v>
      </c>
      <c r="C790" s="37" t="s">
        <v>123</v>
      </c>
      <c r="D790" s="37" t="s">
        <v>66</v>
      </c>
      <c r="E790" s="37" t="s">
        <v>5</v>
      </c>
      <c r="F790" s="37" t="s">
        <v>140</v>
      </c>
      <c r="G790" s="37" t="s">
        <v>141</v>
      </c>
      <c r="H790" s="37" t="s">
        <v>130</v>
      </c>
      <c r="I790" s="37" t="s">
        <v>127</v>
      </c>
      <c r="J790" s="37" t="s">
        <v>34</v>
      </c>
      <c r="K790" s="38">
        <v>0.61274099999999998</v>
      </c>
      <c r="L790" s="39"/>
      <c r="M790" s="37" t="s">
        <v>117</v>
      </c>
      <c r="N790" s="40">
        <v>0.14599999999999999</v>
      </c>
      <c r="O790" s="38">
        <v>0.14383699999999999</v>
      </c>
      <c r="P790" s="38">
        <v>1.9319999999999999E-3</v>
      </c>
      <c r="Q790" s="38">
        <v>1.7E-5</v>
      </c>
      <c r="R790" s="40">
        <v>0.14599999999999999</v>
      </c>
      <c r="S790" s="38">
        <v>0.14383699999999999</v>
      </c>
      <c r="T790" s="38">
        <v>1.9319999999999999E-3</v>
      </c>
      <c r="U790" s="38">
        <v>1.7E-5</v>
      </c>
      <c r="V790" s="8">
        <f t="shared" si="12"/>
        <v>2022</v>
      </c>
    </row>
    <row r="791" spans="1:22" s="41" customFormat="1" ht="14.4" hidden="1" x14ac:dyDescent="0.3">
      <c r="A791" s="36">
        <v>44713</v>
      </c>
      <c r="B791" s="37" t="s">
        <v>19</v>
      </c>
      <c r="C791" s="37" t="s">
        <v>123</v>
      </c>
      <c r="D791" s="37" t="s">
        <v>66</v>
      </c>
      <c r="E791" s="37" t="s">
        <v>5</v>
      </c>
      <c r="F791" s="37" t="s">
        <v>140</v>
      </c>
      <c r="G791" s="37" t="s">
        <v>141</v>
      </c>
      <c r="H791" s="37" t="s">
        <v>130</v>
      </c>
      <c r="I791" s="37" t="s">
        <v>127</v>
      </c>
      <c r="J791" s="37" t="s">
        <v>34</v>
      </c>
      <c r="K791" s="38">
        <v>4903.3456990000004</v>
      </c>
      <c r="L791" s="42">
        <v>129635.05</v>
      </c>
      <c r="M791" s="37" t="s">
        <v>117</v>
      </c>
      <c r="N791" s="40">
        <v>888.697</v>
      </c>
      <c r="O791" s="38">
        <v>887.74208499999997</v>
      </c>
      <c r="P791" s="38">
        <v>0.45675399999999999</v>
      </c>
      <c r="Q791" s="38">
        <v>0.498581</v>
      </c>
      <c r="R791" s="40">
        <v>888.697</v>
      </c>
      <c r="S791" s="38">
        <v>887.74208499999997</v>
      </c>
      <c r="T791" s="38">
        <v>0.45675399999999999</v>
      </c>
      <c r="U791" s="38">
        <v>0.498581</v>
      </c>
      <c r="V791" s="8">
        <f t="shared" si="12"/>
        <v>2022</v>
      </c>
    </row>
    <row r="792" spans="1:22" s="41" customFormat="1" ht="14.4" hidden="1" x14ac:dyDescent="0.3">
      <c r="A792" s="36">
        <v>44713</v>
      </c>
      <c r="B792" s="37" t="s">
        <v>20</v>
      </c>
      <c r="C792" s="37" t="s">
        <v>123</v>
      </c>
      <c r="D792" s="37" t="s">
        <v>66</v>
      </c>
      <c r="E792" s="37" t="s">
        <v>5</v>
      </c>
      <c r="F792" s="37" t="s">
        <v>140</v>
      </c>
      <c r="G792" s="37" t="s">
        <v>141</v>
      </c>
      <c r="H792" s="37" t="s">
        <v>130</v>
      </c>
      <c r="I792" s="37" t="s">
        <v>127</v>
      </c>
      <c r="J792" s="37" t="s">
        <v>34</v>
      </c>
      <c r="K792" s="38">
        <v>17.204111999999999</v>
      </c>
      <c r="L792" s="39"/>
      <c r="M792" s="37" t="s">
        <v>117</v>
      </c>
      <c r="N792" s="40">
        <v>3.706</v>
      </c>
      <c r="O792" s="38">
        <v>3.6906490000000001</v>
      </c>
      <c r="P792" s="38">
        <v>9.6159999999999995E-3</v>
      </c>
      <c r="Q792" s="38">
        <v>5.2480000000000001E-3</v>
      </c>
      <c r="R792" s="39" t="s">
        <v>117</v>
      </c>
      <c r="S792" s="39"/>
      <c r="T792" s="39"/>
      <c r="U792" s="39"/>
      <c r="V792" s="8">
        <f t="shared" si="12"/>
        <v>2022</v>
      </c>
    </row>
    <row r="793" spans="1:22" s="41" customFormat="1" ht="14.4" hidden="1" x14ac:dyDescent="0.3">
      <c r="A793" s="36">
        <v>44743</v>
      </c>
      <c r="B793" s="37" t="s">
        <v>11</v>
      </c>
      <c r="C793" s="37" t="s">
        <v>123</v>
      </c>
      <c r="D793" s="37" t="s">
        <v>66</v>
      </c>
      <c r="E793" s="37" t="s">
        <v>5</v>
      </c>
      <c r="F793" s="37" t="s">
        <v>140</v>
      </c>
      <c r="G793" s="37" t="s">
        <v>141</v>
      </c>
      <c r="H793" s="37" t="s">
        <v>130</v>
      </c>
      <c r="I793" s="37" t="s">
        <v>127</v>
      </c>
      <c r="J793" s="37" t="s">
        <v>34</v>
      </c>
      <c r="K793" s="38">
        <v>0.61274099999999998</v>
      </c>
      <c r="L793" s="39"/>
      <c r="M793" s="37" t="s">
        <v>117</v>
      </c>
      <c r="N793" s="40">
        <v>0.14599999999999999</v>
      </c>
      <c r="O793" s="38">
        <v>0.14383699999999999</v>
      </c>
      <c r="P793" s="38">
        <v>1.9319999999999999E-3</v>
      </c>
      <c r="Q793" s="38">
        <v>1.7E-5</v>
      </c>
      <c r="R793" s="40">
        <v>0.14599999999999999</v>
      </c>
      <c r="S793" s="38">
        <v>0.14383699999999999</v>
      </c>
      <c r="T793" s="38">
        <v>1.9319999999999999E-3</v>
      </c>
      <c r="U793" s="38">
        <v>1.7E-5</v>
      </c>
      <c r="V793" s="8">
        <f t="shared" si="12"/>
        <v>2022</v>
      </c>
    </row>
    <row r="794" spans="1:22" s="41" customFormat="1" ht="14.4" hidden="1" x14ac:dyDescent="0.3">
      <c r="A794" s="36">
        <v>44743</v>
      </c>
      <c r="B794" s="37" t="s">
        <v>19</v>
      </c>
      <c r="C794" s="37" t="s">
        <v>123</v>
      </c>
      <c r="D794" s="37" t="s">
        <v>66</v>
      </c>
      <c r="E794" s="37" t="s">
        <v>5</v>
      </c>
      <c r="F794" s="37" t="s">
        <v>140</v>
      </c>
      <c r="G794" s="37" t="s">
        <v>141</v>
      </c>
      <c r="H794" s="37" t="s">
        <v>130</v>
      </c>
      <c r="I794" s="37" t="s">
        <v>127</v>
      </c>
      <c r="J794" s="37" t="s">
        <v>34</v>
      </c>
      <c r="K794" s="38">
        <v>5377.6841569999997</v>
      </c>
      <c r="L794" s="42">
        <v>139487.01999999999</v>
      </c>
      <c r="M794" s="37" t="s">
        <v>117</v>
      </c>
      <c r="N794" s="40">
        <v>974.66800000000001</v>
      </c>
      <c r="O794" s="38">
        <v>973.620225</v>
      </c>
      <c r="P794" s="38">
        <v>0.50093900000000002</v>
      </c>
      <c r="Q794" s="38">
        <v>0.54681299999999999</v>
      </c>
      <c r="R794" s="40">
        <v>974.66800000000001</v>
      </c>
      <c r="S794" s="38">
        <v>973.620225</v>
      </c>
      <c r="T794" s="38">
        <v>0.50093900000000002</v>
      </c>
      <c r="U794" s="38">
        <v>0.54681299999999999</v>
      </c>
      <c r="V794" s="8">
        <f t="shared" si="12"/>
        <v>2022</v>
      </c>
    </row>
    <row r="795" spans="1:22" s="41" customFormat="1" ht="14.4" hidden="1" x14ac:dyDescent="0.3">
      <c r="A795" s="36">
        <v>44743</v>
      </c>
      <c r="B795" s="37" t="s">
        <v>20</v>
      </c>
      <c r="C795" s="37" t="s">
        <v>123</v>
      </c>
      <c r="D795" s="37" t="s">
        <v>66</v>
      </c>
      <c r="E795" s="37" t="s">
        <v>5</v>
      </c>
      <c r="F795" s="37" t="s">
        <v>140</v>
      </c>
      <c r="G795" s="37" t="s">
        <v>141</v>
      </c>
      <c r="H795" s="37" t="s">
        <v>130</v>
      </c>
      <c r="I795" s="37" t="s">
        <v>127</v>
      </c>
      <c r="J795" s="37" t="s">
        <v>34</v>
      </c>
      <c r="K795" s="38">
        <v>17.204111999999999</v>
      </c>
      <c r="L795" s="39"/>
      <c r="M795" s="37" t="s">
        <v>117</v>
      </c>
      <c r="N795" s="40">
        <v>3.706</v>
      </c>
      <c r="O795" s="38">
        <v>3.6906490000000001</v>
      </c>
      <c r="P795" s="38">
        <v>9.6159999999999995E-3</v>
      </c>
      <c r="Q795" s="38">
        <v>5.2480000000000001E-3</v>
      </c>
      <c r="R795" s="39" t="s">
        <v>117</v>
      </c>
      <c r="S795" s="39"/>
      <c r="T795" s="39"/>
      <c r="U795" s="39"/>
      <c r="V795" s="8">
        <f t="shared" si="12"/>
        <v>2022</v>
      </c>
    </row>
    <row r="796" spans="1:22" s="41" customFormat="1" ht="14.4" hidden="1" x14ac:dyDescent="0.3">
      <c r="A796" s="36">
        <v>44774</v>
      </c>
      <c r="B796" s="37" t="s">
        <v>11</v>
      </c>
      <c r="C796" s="37" t="s">
        <v>123</v>
      </c>
      <c r="D796" s="37" t="s">
        <v>66</v>
      </c>
      <c r="E796" s="37" t="s">
        <v>5</v>
      </c>
      <c r="F796" s="37" t="s">
        <v>140</v>
      </c>
      <c r="G796" s="37" t="s">
        <v>141</v>
      </c>
      <c r="H796" s="37" t="s">
        <v>130</v>
      </c>
      <c r="I796" s="37" t="s">
        <v>127</v>
      </c>
      <c r="J796" s="37" t="s">
        <v>34</v>
      </c>
      <c r="K796" s="38">
        <v>0.61274099999999998</v>
      </c>
      <c r="L796" s="39"/>
      <c r="M796" s="37" t="s">
        <v>117</v>
      </c>
      <c r="N796" s="40">
        <v>0.14599999999999999</v>
      </c>
      <c r="O796" s="38">
        <v>0.14383699999999999</v>
      </c>
      <c r="P796" s="38">
        <v>1.9319999999999999E-3</v>
      </c>
      <c r="Q796" s="38">
        <v>1.7E-5</v>
      </c>
      <c r="R796" s="40">
        <v>0.14599999999999999</v>
      </c>
      <c r="S796" s="38">
        <v>0.14383699999999999</v>
      </c>
      <c r="T796" s="38">
        <v>1.9319999999999999E-3</v>
      </c>
      <c r="U796" s="38">
        <v>1.7E-5</v>
      </c>
      <c r="V796" s="8">
        <f t="shared" si="12"/>
        <v>2022</v>
      </c>
    </row>
    <row r="797" spans="1:22" s="41" customFormat="1" ht="14.4" hidden="1" x14ac:dyDescent="0.3">
      <c r="A797" s="36">
        <v>44774</v>
      </c>
      <c r="B797" s="37" t="s">
        <v>19</v>
      </c>
      <c r="C797" s="37" t="s">
        <v>123</v>
      </c>
      <c r="D797" s="37" t="s">
        <v>66</v>
      </c>
      <c r="E797" s="37" t="s">
        <v>5</v>
      </c>
      <c r="F797" s="37" t="s">
        <v>140</v>
      </c>
      <c r="G797" s="37" t="s">
        <v>141</v>
      </c>
      <c r="H797" s="37" t="s">
        <v>130</v>
      </c>
      <c r="I797" s="37" t="s">
        <v>127</v>
      </c>
      <c r="J797" s="37" t="s">
        <v>34</v>
      </c>
      <c r="K797" s="38">
        <v>5224.343511</v>
      </c>
      <c r="L797" s="42">
        <v>165463.64000000001</v>
      </c>
      <c r="M797" s="37" t="s">
        <v>117</v>
      </c>
      <c r="N797" s="40">
        <v>946.87599999999998</v>
      </c>
      <c r="O797" s="38">
        <v>945.85817199999997</v>
      </c>
      <c r="P797" s="38">
        <v>0.486655</v>
      </c>
      <c r="Q797" s="38">
        <v>0.53122100000000005</v>
      </c>
      <c r="R797" s="40">
        <v>946.87599999999998</v>
      </c>
      <c r="S797" s="38">
        <v>945.85817199999997</v>
      </c>
      <c r="T797" s="38">
        <v>0.486655</v>
      </c>
      <c r="U797" s="38">
        <v>0.53122100000000005</v>
      </c>
      <c r="V797" s="8">
        <f t="shared" si="12"/>
        <v>2022</v>
      </c>
    </row>
    <row r="798" spans="1:22" s="41" customFormat="1" ht="14.4" hidden="1" x14ac:dyDescent="0.3">
      <c r="A798" s="36">
        <v>44774</v>
      </c>
      <c r="B798" s="37" t="s">
        <v>20</v>
      </c>
      <c r="C798" s="37" t="s">
        <v>123</v>
      </c>
      <c r="D798" s="37" t="s">
        <v>66</v>
      </c>
      <c r="E798" s="37" t="s">
        <v>5</v>
      </c>
      <c r="F798" s="37" t="s">
        <v>140</v>
      </c>
      <c r="G798" s="37" t="s">
        <v>141</v>
      </c>
      <c r="H798" s="37" t="s">
        <v>130</v>
      </c>
      <c r="I798" s="37" t="s">
        <v>127</v>
      </c>
      <c r="J798" s="37" t="s">
        <v>34</v>
      </c>
      <c r="K798" s="38">
        <v>17.204111999999999</v>
      </c>
      <c r="L798" s="39"/>
      <c r="M798" s="37" t="s">
        <v>117</v>
      </c>
      <c r="N798" s="40">
        <v>3.706</v>
      </c>
      <c r="O798" s="38">
        <v>3.6906490000000001</v>
      </c>
      <c r="P798" s="38">
        <v>9.6159999999999995E-3</v>
      </c>
      <c r="Q798" s="38">
        <v>5.2480000000000001E-3</v>
      </c>
      <c r="R798" s="39" t="s">
        <v>117</v>
      </c>
      <c r="S798" s="39"/>
      <c r="T798" s="39"/>
      <c r="U798" s="39"/>
      <c r="V798" s="8">
        <f t="shared" si="12"/>
        <v>2022</v>
      </c>
    </row>
    <row r="799" spans="1:22" s="41" customFormat="1" ht="14.4" hidden="1" x14ac:dyDescent="0.3">
      <c r="A799" s="36">
        <v>44805</v>
      </c>
      <c r="B799" s="37" t="s">
        <v>11</v>
      </c>
      <c r="C799" s="37" t="s">
        <v>123</v>
      </c>
      <c r="D799" s="37" t="s">
        <v>66</v>
      </c>
      <c r="E799" s="37" t="s">
        <v>5</v>
      </c>
      <c r="F799" s="37" t="s">
        <v>140</v>
      </c>
      <c r="G799" s="37" t="s">
        <v>141</v>
      </c>
      <c r="H799" s="37" t="s">
        <v>130</v>
      </c>
      <c r="I799" s="37" t="s">
        <v>127</v>
      </c>
      <c r="J799" s="37" t="s">
        <v>34</v>
      </c>
      <c r="K799" s="38">
        <v>0.61274099999999998</v>
      </c>
      <c r="L799" s="39"/>
      <c r="M799" s="37" t="s">
        <v>117</v>
      </c>
      <c r="N799" s="40">
        <v>0.14599999999999999</v>
      </c>
      <c r="O799" s="38">
        <v>0.14383699999999999</v>
      </c>
      <c r="P799" s="38">
        <v>1.9319999999999999E-3</v>
      </c>
      <c r="Q799" s="38">
        <v>1.7E-5</v>
      </c>
      <c r="R799" s="40">
        <v>0.14599999999999999</v>
      </c>
      <c r="S799" s="38">
        <v>0.14383699999999999</v>
      </c>
      <c r="T799" s="38">
        <v>1.9319999999999999E-3</v>
      </c>
      <c r="U799" s="38">
        <v>1.7E-5</v>
      </c>
      <c r="V799" s="8">
        <f t="shared" si="12"/>
        <v>2022</v>
      </c>
    </row>
    <row r="800" spans="1:22" s="41" customFormat="1" ht="14.4" hidden="1" x14ac:dyDescent="0.3">
      <c r="A800" s="36">
        <v>44805</v>
      </c>
      <c r="B800" s="37" t="s">
        <v>19</v>
      </c>
      <c r="C800" s="37" t="s">
        <v>123</v>
      </c>
      <c r="D800" s="37" t="s">
        <v>66</v>
      </c>
      <c r="E800" s="37" t="s">
        <v>5</v>
      </c>
      <c r="F800" s="37" t="s">
        <v>140</v>
      </c>
      <c r="G800" s="37" t="s">
        <v>141</v>
      </c>
      <c r="H800" s="37" t="s">
        <v>130</v>
      </c>
      <c r="I800" s="37" t="s">
        <v>127</v>
      </c>
      <c r="J800" s="37" t="s">
        <v>34</v>
      </c>
      <c r="K800" s="38">
        <v>6119.0484589999996</v>
      </c>
      <c r="L800" s="42">
        <v>136158.82</v>
      </c>
      <c r="M800" s="37" t="s">
        <v>117</v>
      </c>
      <c r="N800" s="40">
        <v>1109.0350000000001</v>
      </c>
      <c r="O800" s="38">
        <v>1107.842924</v>
      </c>
      <c r="P800" s="38">
        <v>0.569998</v>
      </c>
      <c r="Q800" s="38">
        <v>0.62219599999999997</v>
      </c>
      <c r="R800" s="40">
        <v>1109.0350000000001</v>
      </c>
      <c r="S800" s="38">
        <v>1107.842924</v>
      </c>
      <c r="T800" s="38">
        <v>0.569998</v>
      </c>
      <c r="U800" s="38">
        <v>0.62219599999999997</v>
      </c>
      <c r="V800" s="8">
        <f t="shared" si="12"/>
        <v>2022</v>
      </c>
    </row>
    <row r="801" spans="1:22" s="41" customFormat="1" ht="14.4" hidden="1" x14ac:dyDescent="0.3">
      <c r="A801" s="36">
        <v>44805</v>
      </c>
      <c r="B801" s="37" t="s">
        <v>20</v>
      </c>
      <c r="C801" s="37" t="s">
        <v>123</v>
      </c>
      <c r="D801" s="37" t="s">
        <v>66</v>
      </c>
      <c r="E801" s="37" t="s">
        <v>5</v>
      </c>
      <c r="F801" s="37" t="s">
        <v>140</v>
      </c>
      <c r="G801" s="37" t="s">
        <v>141</v>
      </c>
      <c r="H801" s="37" t="s">
        <v>130</v>
      </c>
      <c r="I801" s="37" t="s">
        <v>127</v>
      </c>
      <c r="J801" s="37" t="s">
        <v>34</v>
      </c>
      <c r="K801" s="38">
        <v>17.204111999999999</v>
      </c>
      <c r="L801" s="39"/>
      <c r="M801" s="37" t="s">
        <v>117</v>
      </c>
      <c r="N801" s="40">
        <v>3.706</v>
      </c>
      <c r="O801" s="38">
        <v>3.6906490000000001</v>
      </c>
      <c r="P801" s="38">
        <v>9.6159999999999995E-3</v>
      </c>
      <c r="Q801" s="38">
        <v>5.2480000000000001E-3</v>
      </c>
      <c r="R801" s="39" t="s">
        <v>117</v>
      </c>
      <c r="S801" s="39"/>
      <c r="T801" s="39"/>
      <c r="U801" s="39"/>
      <c r="V801" s="8">
        <f t="shared" si="12"/>
        <v>2022</v>
      </c>
    </row>
    <row r="802" spans="1:22" s="41" customFormat="1" ht="14.4" hidden="1" x14ac:dyDescent="0.3">
      <c r="A802" s="36">
        <v>44835</v>
      </c>
      <c r="B802" s="37" t="s">
        <v>11</v>
      </c>
      <c r="C802" s="37" t="s">
        <v>123</v>
      </c>
      <c r="D802" s="37" t="s">
        <v>66</v>
      </c>
      <c r="E802" s="37" t="s">
        <v>5</v>
      </c>
      <c r="F802" s="37" t="s">
        <v>140</v>
      </c>
      <c r="G802" s="37" t="s">
        <v>141</v>
      </c>
      <c r="H802" s="37" t="s">
        <v>130</v>
      </c>
      <c r="I802" s="37" t="s">
        <v>127</v>
      </c>
      <c r="J802" s="37" t="s">
        <v>34</v>
      </c>
      <c r="K802" s="38">
        <v>0.61274099999999998</v>
      </c>
      <c r="L802" s="39"/>
      <c r="M802" s="37" t="s">
        <v>117</v>
      </c>
      <c r="N802" s="40">
        <v>0.14599999999999999</v>
      </c>
      <c r="O802" s="38">
        <v>0.14383699999999999</v>
      </c>
      <c r="P802" s="38">
        <v>1.9319999999999999E-3</v>
      </c>
      <c r="Q802" s="38">
        <v>1.7E-5</v>
      </c>
      <c r="R802" s="40">
        <v>0.14599999999999999</v>
      </c>
      <c r="S802" s="38">
        <v>0.14383699999999999</v>
      </c>
      <c r="T802" s="38">
        <v>1.9319999999999999E-3</v>
      </c>
      <c r="U802" s="38">
        <v>1.7E-5</v>
      </c>
      <c r="V802" s="8">
        <f t="shared" si="12"/>
        <v>2022</v>
      </c>
    </row>
    <row r="803" spans="1:22" s="41" customFormat="1" ht="14.4" hidden="1" x14ac:dyDescent="0.3">
      <c r="A803" s="36">
        <v>44835</v>
      </c>
      <c r="B803" s="37" t="s">
        <v>19</v>
      </c>
      <c r="C803" s="37" t="s">
        <v>123</v>
      </c>
      <c r="D803" s="37" t="s">
        <v>66</v>
      </c>
      <c r="E803" s="37" t="s">
        <v>5</v>
      </c>
      <c r="F803" s="37" t="s">
        <v>140</v>
      </c>
      <c r="G803" s="37" t="s">
        <v>141</v>
      </c>
      <c r="H803" s="37" t="s">
        <v>130</v>
      </c>
      <c r="I803" s="37" t="s">
        <v>127</v>
      </c>
      <c r="J803" s="37" t="s">
        <v>34</v>
      </c>
      <c r="K803" s="38">
        <v>4272.2112880000004</v>
      </c>
      <c r="L803" s="42">
        <v>120355.14</v>
      </c>
      <c r="M803" s="37" t="s">
        <v>117</v>
      </c>
      <c r="N803" s="40">
        <v>774.30899999999997</v>
      </c>
      <c r="O803" s="38">
        <v>773.476313</v>
      </c>
      <c r="P803" s="38">
        <v>0.39796300000000001</v>
      </c>
      <c r="Q803" s="38">
        <v>0.43440600000000001</v>
      </c>
      <c r="R803" s="40">
        <v>774.30899999999997</v>
      </c>
      <c r="S803" s="38">
        <v>773.476313</v>
      </c>
      <c r="T803" s="38">
        <v>0.39796300000000001</v>
      </c>
      <c r="U803" s="38">
        <v>0.43440600000000001</v>
      </c>
      <c r="V803" s="8">
        <f t="shared" si="12"/>
        <v>2022</v>
      </c>
    </row>
    <row r="804" spans="1:22" s="41" customFormat="1" ht="14.4" hidden="1" x14ac:dyDescent="0.3">
      <c r="A804" s="36">
        <v>44835</v>
      </c>
      <c r="B804" s="37" t="s">
        <v>20</v>
      </c>
      <c r="C804" s="37" t="s">
        <v>123</v>
      </c>
      <c r="D804" s="37" t="s">
        <v>66</v>
      </c>
      <c r="E804" s="37" t="s">
        <v>5</v>
      </c>
      <c r="F804" s="37" t="s">
        <v>140</v>
      </c>
      <c r="G804" s="37" t="s">
        <v>141</v>
      </c>
      <c r="H804" s="37" t="s">
        <v>130</v>
      </c>
      <c r="I804" s="37" t="s">
        <v>127</v>
      </c>
      <c r="J804" s="37" t="s">
        <v>34</v>
      </c>
      <c r="K804" s="38">
        <v>17.204111999999999</v>
      </c>
      <c r="L804" s="39"/>
      <c r="M804" s="37" t="s">
        <v>117</v>
      </c>
      <c r="N804" s="40">
        <v>3.706</v>
      </c>
      <c r="O804" s="38">
        <v>3.6906490000000001</v>
      </c>
      <c r="P804" s="38">
        <v>9.6159999999999995E-3</v>
      </c>
      <c r="Q804" s="38">
        <v>5.2480000000000001E-3</v>
      </c>
      <c r="R804" s="39" t="s">
        <v>117</v>
      </c>
      <c r="S804" s="39"/>
      <c r="T804" s="39"/>
      <c r="U804" s="39"/>
      <c r="V804" s="8">
        <f t="shared" si="12"/>
        <v>2022</v>
      </c>
    </row>
    <row r="805" spans="1:22" s="41" customFormat="1" ht="14.4" hidden="1" x14ac:dyDescent="0.3">
      <c r="A805" s="36">
        <v>44866</v>
      </c>
      <c r="B805" s="37" t="s">
        <v>11</v>
      </c>
      <c r="C805" s="37" t="s">
        <v>123</v>
      </c>
      <c r="D805" s="37" t="s">
        <v>66</v>
      </c>
      <c r="E805" s="37" t="s">
        <v>5</v>
      </c>
      <c r="F805" s="37" t="s">
        <v>140</v>
      </c>
      <c r="G805" s="37" t="s">
        <v>141</v>
      </c>
      <c r="H805" s="37" t="s">
        <v>130</v>
      </c>
      <c r="I805" s="37" t="s">
        <v>127</v>
      </c>
      <c r="J805" s="37" t="s">
        <v>34</v>
      </c>
      <c r="K805" s="38">
        <v>0.61274099999999998</v>
      </c>
      <c r="L805" s="39"/>
      <c r="M805" s="37" t="s">
        <v>117</v>
      </c>
      <c r="N805" s="40">
        <v>0.14599999999999999</v>
      </c>
      <c r="O805" s="38">
        <v>0.14383699999999999</v>
      </c>
      <c r="P805" s="38">
        <v>1.9319999999999999E-3</v>
      </c>
      <c r="Q805" s="38">
        <v>1.7E-5</v>
      </c>
      <c r="R805" s="40">
        <v>0.14599999999999999</v>
      </c>
      <c r="S805" s="38">
        <v>0.14383699999999999</v>
      </c>
      <c r="T805" s="38">
        <v>1.9319999999999999E-3</v>
      </c>
      <c r="U805" s="38">
        <v>1.7E-5</v>
      </c>
      <c r="V805" s="8">
        <f t="shared" si="12"/>
        <v>2022</v>
      </c>
    </row>
    <row r="806" spans="1:22" s="41" customFormat="1" ht="14.4" hidden="1" x14ac:dyDescent="0.3">
      <c r="A806" s="36">
        <v>44866</v>
      </c>
      <c r="B806" s="37" t="s">
        <v>19</v>
      </c>
      <c r="C806" s="37" t="s">
        <v>123</v>
      </c>
      <c r="D806" s="37" t="s">
        <v>66</v>
      </c>
      <c r="E806" s="37" t="s">
        <v>5</v>
      </c>
      <c r="F806" s="37" t="s">
        <v>140</v>
      </c>
      <c r="G806" s="37" t="s">
        <v>141</v>
      </c>
      <c r="H806" s="37" t="s">
        <v>130</v>
      </c>
      <c r="I806" s="37" t="s">
        <v>127</v>
      </c>
      <c r="J806" s="37" t="s">
        <v>34</v>
      </c>
      <c r="K806" s="38">
        <v>6625.574912</v>
      </c>
      <c r="L806" s="42">
        <v>129154.32</v>
      </c>
      <c r="M806" s="37" t="s">
        <v>117</v>
      </c>
      <c r="N806" s="40">
        <v>1200.8399999999999</v>
      </c>
      <c r="O806" s="38">
        <v>1199.548644</v>
      </c>
      <c r="P806" s="38">
        <v>0.61718200000000001</v>
      </c>
      <c r="Q806" s="38">
        <v>0.67370099999999999</v>
      </c>
      <c r="R806" s="40">
        <v>1200.8399999999999</v>
      </c>
      <c r="S806" s="38">
        <v>1199.548644</v>
      </c>
      <c r="T806" s="38">
        <v>0.61718200000000001</v>
      </c>
      <c r="U806" s="38">
        <v>0.67370099999999999</v>
      </c>
      <c r="V806" s="8">
        <f t="shared" si="12"/>
        <v>2022</v>
      </c>
    </row>
    <row r="807" spans="1:22" s="41" customFormat="1" ht="14.4" hidden="1" x14ac:dyDescent="0.3">
      <c r="A807" s="36">
        <v>44866</v>
      </c>
      <c r="B807" s="37" t="s">
        <v>20</v>
      </c>
      <c r="C807" s="37" t="s">
        <v>123</v>
      </c>
      <c r="D807" s="37" t="s">
        <v>66</v>
      </c>
      <c r="E807" s="37" t="s">
        <v>5</v>
      </c>
      <c r="F807" s="37" t="s">
        <v>140</v>
      </c>
      <c r="G807" s="37" t="s">
        <v>141</v>
      </c>
      <c r="H807" s="37" t="s">
        <v>130</v>
      </c>
      <c r="I807" s="37" t="s">
        <v>127</v>
      </c>
      <c r="J807" s="37" t="s">
        <v>34</v>
      </c>
      <c r="K807" s="38">
        <v>17.204111999999999</v>
      </c>
      <c r="L807" s="39"/>
      <c r="M807" s="37" t="s">
        <v>117</v>
      </c>
      <c r="N807" s="40">
        <v>3.706</v>
      </c>
      <c r="O807" s="38">
        <v>3.6906490000000001</v>
      </c>
      <c r="P807" s="38">
        <v>9.6159999999999995E-3</v>
      </c>
      <c r="Q807" s="38">
        <v>5.2480000000000001E-3</v>
      </c>
      <c r="R807" s="39" t="s">
        <v>117</v>
      </c>
      <c r="S807" s="39"/>
      <c r="T807" s="39"/>
      <c r="U807" s="39"/>
      <c r="V807" s="8">
        <f t="shared" si="12"/>
        <v>2022</v>
      </c>
    </row>
    <row r="808" spans="1:22" s="41" customFormat="1" ht="14.4" hidden="1" x14ac:dyDescent="0.3">
      <c r="A808" s="36">
        <v>44896</v>
      </c>
      <c r="B808" s="37" t="s">
        <v>11</v>
      </c>
      <c r="C808" s="37" t="s">
        <v>123</v>
      </c>
      <c r="D808" s="37" t="s">
        <v>66</v>
      </c>
      <c r="E808" s="37" t="s">
        <v>5</v>
      </c>
      <c r="F808" s="37" t="s">
        <v>140</v>
      </c>
      <c r="G808" s="37" t="s">
        <v>141</v>
      </c>
      <c r="H808" s="37" t="s">
        <v>130</v>
      </c>
      <c r="I808" s="37" t="s">
        <v>127</v>
      </c>
      <c r="J808" s="37" t="s">
        <v>34</v>
      </c>
      <c r="K808" s="38">
        <v>0.61274099999999998</v>
      </c>
      <c r="L808" s="39"/>
      <c r="M808" s="37" t="s">
        <v>117</v>
      </c>
      <c r="N808" s="40">
        <v>0.14599999999999999</v>
      </c>
      <c r="O808" s="38">
        <v>0.14383699999999999</v>
      </c>
      <c r="P808" s="38">
        <v>1.9319999999999999E-3</v>
      </c>
      <c r="Q808" s="38">
        <v>1.7E-5</v>
      </c>
      <c r="R808" s="40">
        <v>0.14599999999999999</v>
      </c>
      <c r="S808" s="38">
        <v>0.14383699999999999</v>
      </c>
      <c r="T808" s="38">
        <v>1.9319999999999999E-3</v>
      </c>
      <c r="U808" s="38">
        <v>1.7E-5</v>
      </c>
      <c r="V808" s="8">
        <f t="shared" si="12"/>
        <v>2022</v>
      </c>
    </row>
    <row r="809" spans="1:22" s="41" customFormat="1" ht="14.4" hidden="1" x14ac:dyDescent="0.3">
      <c r="A809" s="36">
        <v>44896</v>
      </c>
      <c r="B809" s="37" t="s">
        <v>19</v>
      </c>
      <c r="C809" s="37" t="s">
        <v>123</v>
      </c>
      <c r="D809" s="37" t="s">
        <v>66</v>
      </c>
      <c r="E809" s="37" t="s">
        <v>5</v>
      </c>
      <c r="F809" s="37" t="s">
        <v>140</v>
      </c>
      <c r="G809" s="37" t="s">
        <v>141</v>
      </c>
      <c r="H809" s="37" t="s">
        <v>130</v>
      </c>
      <c r="I809" s="37" t="s">
        <v>127</v>
      </c>
      <c r="J809" s="37" t="s">
        <v>34</v>
      </c>
      <c r="K809" s="38">
        <v>5596.7870190000003</v>
      </c>
      <c r="L809" s="42">
        <v>156083.89000000001</v>
      </c>
      <c r="M809" s="37" t="s">
        <v>117</v>
      </c>
      <c r="N809" s="40">
        <v>1014.379</v>
      </c>
      <c r="O809" s="38">
        <v>1013.288412</v>
      </c>
      <c r="P809" s="38">
        <v>0.52134899999999995</v>
      </c>
      <c r="Q809" s="38">
        <v>0.56909100000000001</v>
      </c>
      <c r="R809" s="40">
        <v>1014.379</v>
      </c>
      <c r="S809" s="38">
        <v>1013.288412</v>
      </c>
      <c r="T809" s="38">
        <v>0.52134899999999995</v>
      </c>
      <c r="U809" s="38">
        <v>0.56909100000000001</v>
      </c>
      <c r="V809" s="8">
        <f t="shared" si="12"/>
        <v>2022</v>
      </c>
    </row>
    <row r="810" spans="1:22" s="41" customFormat="1" ht="14.4" hidden="1" x14ac:dyDescent="0.3">
      <c r="A810" s="36">
        <v>44896</v>
      </c>
      <c r="B810" s="37" t="s">
        <v>20</v>
      </c>
      <c r="C810" s="37" t="s">
        <v>123</v>
      </c>
      <c r="D810" s="37" t="s">
        <v>66</v>
      </c>
      <c r="E810" s="37" t="s">
        <v>5</v>
      </c>
      <c r="F810" s="37" t="s">
        <v>140</v>
      </c>
      <c r="G810" s="37" t="s">
        <v>141</v>
      </c>
      <c r="H810" s="37" t="s">
        <v>130</v>
      </c>
      <c r="I810" s="37" t="s">
        <v>127</v>
      </c>
      <c r="J810" s="37" t="s">
        <v>34</v>
      </c>
      <c r="K810" s="38">
        <v>17.204111999999999</v>
      </c>
      <c r="L810" s="39"/>
      <c r="M810" s="37" t="s">
        <v>117</v>
      </c>
      <c r="N810" s="40">
        <v>3.706</v>
      </c>
      <c r="O810" s="38">
        <v>3.6906490000000001</v>
      </c>
      <c r="P810" s="38">
        <v>9.6159999999999995E-3</v>
      </c>
      <c r="Q810" s="38">
        <v>5.2480000000000001E-3</v>
      </c>
      <c r="R810" s="39" t="s">
        <v>117</v>
      </c>
      <c r="S810" s="39"/>
      <c r="T810" s="39"/>
      <c r="U810" s="39"/>
      <c r="V810" s="8">
        <f t="shared" si="12"/>
        <v>2022</v>
      </c>
    </row>
    <row r="811" spans="1:22" s="41" customFormat="1" ht="14.4" hidden="1" x14ac:dyDescent="0.3">
      <c r="A811" s="36">
        <v>44927</v>
      </c>
      <c r="B811" s="37" t="s">
        <v>13</v>
      </c>
      <c r="C811" s="37" t="s">
        <v>123</v>
      </c>
      <c r="D811" s="37" t="s">
        <v>66</v>
      </c>
      <c r="E811" s="37" t="s">
        <v>5</v>
      </c>
      <c r="F811" s="37" t="s">
        <v>140</v>
      </c>
      <c r="G811" s="37" t="s">
        <v>141</v>
      </c>
      <c r="H811" s="37" t="s">
        <v>130</v>
      </c>
      <c r="I811" s="37" t="s">
        <v>127</v>
      </c>
      <c r="J811" s="37" t="s">
        <v>36</v>
      </c>
      <c r="K811" s="38">
        <v>1.1339809999999999</v>
      </c>
      <c r="L811" s="39"/>
      <c r="M811" s="37" t="s">
        <v>117</v>
      </c>
      <c r="N811" s="40">
        <v>1.1339999999999999</v>
      </c>
      <c r="O811" s="38">
        <v>1.1339809999999999</v>
      </c>
      <c r="P811" s="39"/>
      <c r="Q811" s="39"/>
      <c r="R811" s="40">
        <v>1.1339999999999999</v>
      </c>
      <c r="S811" s="38">
        <v>1.1339809999999999</v>
      </c>
      <c r="T811" s="39"/>
      <c r="U811" s="39"/>
      <c r="V811" s="8">
        <f t="shared" si="12"/>
        <v>2023</v>
      </c>
    </row>
    <row r="812" spans="1:22" s="41" customFormat="1" ht="14.4" hidden="1" x14ac:dyDescent="0.3">
      <c r="A812" s="36">
        <v>44927</v>
      </c>
      <c r="B812" s="37" t="s">
        <v>19</v>
      </c>
      <c r="C812" s="37" t="s">
        <v>123</v>
      </c>
      <c r="D812" s="37" t="s">
        <v>66</v>
      </c>
      <c r="E812" s="37" t="s">
        <v>5</v>
      </c>
      <c r="F812" s="37" t="s">
        <v>140</v>
      </c>
      <c r="G812" s="37" t="s">
        <v>141</v>
      </c>
      <c r="H812" s="37" t="s">
        <v>130</v>
      </c>
      <c r="I812" s="37" t="s">
        <v>127</v>
      </c>
      <c r="J812" s="37" t="s">
        <v>34</v>
      </c>
      <c r="K812" s="38">
        <v>6965.5578679999999</v>
      </c>
      <c r="L812" s="42">
        <v>156031.4</v>
      </c>
      <c r="M812" s="37" t="s">
        <v>117</v>
      </c>
      <c r="N812" s="40">
        <v>1262.4590000000001</v>
      </c>
      <c r="O812" s="38">
        <v>1261.101958</v>
      </c>
      <c r="P812" s="38">
        <v>0.64885199999999998</v>
      </c>
      <c r="Q812" s="38">
        <v>0.70827099999999998</v>
      </c>
      <c r="R812" s="40">
        <v>1262.4590000000001</v>
      </c>
      <c r="S812" s="38">
        <v>1261.101958</v>
      </c>
      <c r="T812" s="38">
        <v>0.64885199999999998</v>
      </c>
      <c r="U812" s="38">
        <v>0.70827099999999998</v>
      </c>
      <c r="V812" s="8">
        <f t="shared" si="12"/>
        <v>2023</v>
      </c>
    </row>
    <row r="813" spans="1:22" s="41" customFormat="1" ht="14.4" hidden="1" x14ac:dyDescent="0.3">
      <c r="A813" s="36">
        <v>44958</v>
      </c>
      <c r="B813" s="37" t="s">
        <v>13</v>
      </c>
      <c r="C813" s="37" t="s">
        <v>123</v>
      </c>
      <c r="D813" s="37" t="s">
        <v>66</v>
      </c>
      <c r="E813" s="37" t="s">
        <v>5</v>
      </c>
      <c r="F813" s="37" t="s">
        <v>140</v>
      </c>
      <c r="G813" s="37" t="s">
        <v>141</v>
      </c>
      <c r="H813" s="37" t="s">
        <v>130</v>
      </c>
      <c r="I813" s="37" t="s">
        <v>127</v>
      </c>
      <c r="J813" s="37" t="s">
        <v>36</v>
      </c>
      <c r="K813" s="38">
        <v>1.1339809999999999</v>
      </c>
      <c r="L813" s="39"/>
      <c r="M813" s="37" t="s">
        <v>117</v>
      </c>
      <c r="N813" s="40">
        <v>1.1339999999999999</v>
      </c>
      <c r="O813" s="38">
        <v>1.1339809999999999</v>
      </c>
      <c r="P813" s="39"/>
      <c r="Q813" s="39"/>
      <c r="R813" s="40">
        <v>1.1339999999999999</v>
      </c>
      <c r="S813" s="38">
        <v>1.1339809999999999</v>
      </c>
      <c r="T813" s="39"/>
      <c r="U813" s="39"/>
      <c r="V813" s="8">
        <f t="shared" si="12"/>
        <v>2023</v>
      </c>
    </row>
    <row r="814" spans="1:22" s="41" customFormat="1" ht="14.4" hidden="1" x14ac:dyDescent="0.3">
      <c r="A814" s="36">
        <v>44958</v>
      </c>
      <c r="B814" s="37" t="s">
        <v>19</v>
      </c>
      <c r="C814" s="37" t="s">
        <v>123</v>
      </c>
      <c r="D814" s="37" t="s">
        <v>66</v>
      </c>
      <c r="E814" s="37" t="s">
        <v>5</v>
      </c>
      <c r="F814" s="37" t="s">
        <v>140</v>
      </c>
      <c r="G814" s="37" t="s">
        <v>141</v>
      </c>
      <c r="H814" s="37" t="s">
        <v>130</v>
      </c>
      <c r="I814" s="37" t="s">
        <v>127</v>
      </c>
      <c r="J814" s="37" t="s">
        <v>34</v>
      </c>
      <c r="K814" s="38">
        <v>5481.8914370000002</v>
      </c>
      <c r="L814" s="42">
        <v>104896.67</v>
      </c>
      <c r="M814" s="37" t="s">
        <v>117</v>
      </c>
      <c r="N814" s="40">
        <v>993.55499999999995</v>
      </c>
      <c r="O814" s="38">
        <v>992.48676899999998</v>
      </c>
      <c r="P814" s="38">
        <v>0.51064600000000004</v>
      </c>
      <c r="Q814" s="38">
        <v>0.55740900000000004</v>
      </c>
      <c r="R814" s="40">
        <v>993.55499999999995</v>
      </c>
      <c r="S814" s="38">
        <v>992.48676899999998</v>
      </c>
      <c r="T814" s="38">
        <v>0.51064600000000004</v>
      </c>
      <c r="U814" s="38">
        <v>0.55740900000000004</v>
      </c>
      <c r="V814" s="8">
        <f t="shared" si="12"/>
        <v>2023</v>
      </c>
    </row>
    <row r="815" spans="1:22" s="41" customFormat="1" ht="14.4" hidden="1" x14ac:dyDescent="0.3">
      <c r="A815" s="36">
        <v>44986</v>
      </c>
      <c r="B815" s="37" t="s">
        <v>13</v>
      </c>
      <c r="C815" s="37" t="s">
        <v>123</v>
      </c>
      <c r="D815" s="37" t="s">
        <v>66</v>
      </c>
      <c r="E815" s="37" t="s">
        <v>5</v>
      </c>
      <c r="F815" s="37" t="s">
        <v>140</v>
      </c>
      <c r="G815" s="37" t="s">
        <v>141</v>
      </c>
      <c r="H815" s="37" t="s">
        <v>130</v>
      </c>
      <c r="I815" s="37" t="s">
        <v>127</v>
      </c>
      <c r="J815" s="37" t="s">
        <v>36</v>
      </c>
      <c r="K815" s="38">
        <v>1.1339809999999999</v>
      </c>
      <c r="L815" s="39"/>
      <c r="M815" s="37" t="s">
        <v>117</v>
      </c>
      <c r="N815" s="40">
        <v>1.1339999999999999</v>
      </c>
      <c r="O815" s="38">
        <v>1.1339809999999999</v>
      </c>
      <c r="P815" s="39"/>
      <c r="Q815" s="39"/>
      <c r="R815" s="40">
        <v>1.1339999999999999</v>
      </c>
      <c r="S815" s="38">
        <v>1.1339809999999999</v>
      </c>
      <c r="T815" s="39"/>
      <c r="U815" s="39"/>
      <c r="V815" s="8">
        <f t="shared" si="12"/>
        <v>2023</v>
      </c>
    </row>
    <row r="816" spans="1:22" s="41" customFormat="1" ht="14.4" hidden="1" x14ac:dyDescent="0.3">
      <c r="A816" s="36">
        <v>44986</v>
      </c>
      <c r="B816" s="37" t="s">
        <v>19</v>
      </c>
      <c r="C816" s="37" t="s">
        <v>123</v>
      </c>
      <c r="D816" s="37" t="s">
        <v>66</v>
      </c>
      <c r="E816" s="37" t="s">
        <v>5</v>
      </c>
      <c r="F816" s="37" t="s">
        <v>140</v>
      </c>
      <c r="G816" s="37" t="s">
        <v>141</v>
      </c>
      <c r="H816" s="37" t="s">
        <v>130</v>
      </c>
      <c r="I816" s="37" t="s">
        <v>127</v>
      </c>
      <c r="J816" s="37" t="s">
        <v>34</v>
      </c>
      <c r="K816" s="38">
        <v>6199.8129840000001</v>
      </c>
      <c r="L816" s="42">
        <v>100571.39</v>
      </c>
      <c r="M816" s="37" t="s">
        <v>117</v>
      </c>
      <c r="N816" s="40">
        <v>1123.673</v>
      </c>
      <c r="O816" s="38">
        <v>1122.4651980000001</v>
      </c>
      <c r="P816" s="38">
        <v>0.57752199999999998</v>
      </c>
      <c r="Q816" s="38">
        <v>0.63040799999999997</v>
      </c>
      <c r="R816" s="40">
        <v>1123.673</v>
      </c>
      <c r="S816" s="38">
        <v>1122.4651980000001</v>
      </c>
      <c r="T816" s="38">
        <v>0.57752199999999998</v>
      </c>
      <c r="U816" s="38">
        <v>0.63040799999999997</v>
      </c>
      <c r="V816" s="8">
        <f t="shared" si="12"/>
        <v>2023</v>
      </c>
    </row>
    <row r="817" spans="1:22" s="41" customFormat="1" ht="14.4" hidden="1" x14ac:dyDescent="0.3">
      <c r="A817" s="36">
        <v>45017</v>
      </c>
      <c r="B817" s="37" t="s">
        <v>13</v>
      </c>
      <c r="C817" s="37" t="s">
        <v>123</v>
      </c>
      <c r="D817" s="37" t="s">
        <v>66</v>
      </c>
      <c r="E817" s="37" t="s">
        <v>5</v>
      </c>
      <c r="F817" s="37" t="s">
        <v>140</v>
      </c>
      <c r="G817" s="37" t="s">
        <v>141</v>
      </c>
      <c r="H817" s="37" t="s">
        <v>130</v>
      </c>
      <c r="I817" s="37" t="s">
        <v>127</v>
      </c>
      <c r="J817" s="37" t="s">
        <v>36</v>
      </c>
      <c r="K817" s="38">
        <v>1.1339809999999999</v>
      </c>
      <c r="L817" s="39"/>
      <c r="M817" s="37" t="s">
        <v>117</v>
      </c>
      <c r="N817" s="40">
        <v>1.1339999999999999</v>
      </c>
      <c r="O817" s="38">
        <v>1.1339809999999999</v>
      </c>
      <c r="P817" s="39"/>
      <c r="Q817" s="39"/>
      <c r="R817" s="40">
        <v>1.1339999999999999</v>
      </c>
      <c r="S817" s="38">
        <v>1.1339809999999999</v>
      </c>
      <c r="T817" s="39"/>
      <c r="U817" s="39"/>
      <c r="V817" s="8">
        <f t="shared" si="12"/>
        <v>2023</v>
      </c>
    </row>
    <row r="818" spans="1:22" s="41" customFormat="1" ht="14.4" hidden="1" x14ac:dyDescent="0.3">
      <c r="A818" s="36">
        <v>45017</v>
      </c>
      <c r="B818" s="37" t="s">
        <v>19</v>
      </c>
      <c r="C818" s="37" t="s">
        <v>123</v>
      </c>
      <c r="D818" s="37" t="s">
        <v>66</v>
      </c>
      <c r="E818" s="37" t="s">
        <v>5</v>
      </c>
      <c r="F818" s="37" t="s">
        <v>140</v>
      </c>
      <c r="G818" s="37" t="s">
        <v>141</v>
      </c>
      <c r="H818" s="37" t="s">
        <v>130</v>
      </c>
      <c r="I818" s="37" t="s">
        <v>127</v>
      </c>
      <c r="J818" s="37" t="s">
        <v>34</v>
      </c>
      <c r="K818" s="38">
        <v>4250.0463229999996</v>
      </c>
      <c r="L818" s="42">
        <v>71619.13</v>
      </c>
      <c r="M818" s="37" t="s">
        <v>117</v>
      </c>
      <c r="N818" s="40">
        <v>770.29100000000005</v>
      </c>
      <c r="O818" s="38">
        <v>769.46338600000001</v>
      </c>
      <c r="P818" s="38">
        <v>0.39589800000000003</v>
      </c>
      <c r="Q818" s="38">
        <v>0.43215199999999998</v>
      </c>
      <c r="R818" s="40">
        <v>770.29100000000005</v>
      </c>
      <c r="S818" s="38">
        <v>769.46338600000001</v>
      </c>
      <c r="T818" s="38">
        <v>0.39589800000000003</v>
      </c>
      <c r="U818" s="38">
        <v>0.43215199999999998</v>
      </c>
      <c r="V818" s="8">
        <f t="shared" si="12"/>
        <v>2023</v>
      </c>
    </row>
    <row r="819" spans="1:22" s="41" customFormat="1" ht="14.4" hidden="1" x14ac:dyDescent="0.3">
      <c r="A819" s="36">
        <v>45047</v>
      </c>
      <c r="B819" s="37" t="s">
        <v>13</v>
      </c>
      <c r="C819" s="37" t="s">
        <v>123</v>
      </c>
      <c r="D819" s="37" t="s">
        <v>66</v>
      </c>
      <c r="E819" s="37" t="s">
        <v>5</v>
      </c>
      <c r="F819" s="37" t="s">
        <v>140</v>
      </c>
      <c r="G819" s="37" t="s">
        <v>141</v>
      </c>
      <c r="H819" s="37" t="s">
        <v>130</v>
      </c>
      <c r="I819" s="37" t="s">
        <v>127</v>
      </c>
      <c r="J819" s="37" t="s">
        <v>36</v>
      </c>
      <c r="K819" s="38">
        <v>1.1339809999999999</v>
      </c>
      <c r="L819" s="39"/>
      <c r="M819" s="37" t="s">
        <v>117</v>
      </c>
      <c r="N819" s="40">
        <v>1.1339999999999999</v>
      </c>
      <c r="O819" s="38">
        <v>1.1339809999999999</v>
      </c>
      <c r="P819" s="39"/>
      <c r="Q819" s="39"/>
      <c r="R819" s="40">
        <v>1.1339999999999999</v>
      </c>
      <c r="S819" s="38">
        <v>1.1339809999999999</v>
      </c>
      <c r="T819" s="39"/>
      <c r="U819" s="39"/>
      <c r="V819" s="8">
        <f t="shared" si="12"/>
        <v>2023</v>
      </c>
    </row>
    <row r="820" spans="1:22" s="41" customFormat="1" ht="14.4" hidden="1" x14ac:dyDescent="0.3">
      <c r="A820" s="36">
        <v>45047</v>
      </c>
      <c r="B820" s="37" t="s">
        <v>19</v>
      </c>
      <c r="C820" s="37" t="s">
        <v>123</v>
      </c>
      <c r="D820" s="37" t="s">
        <v>66</v>
      </c>
      <c r="E820" s="37" t="s">
        <v>5</v>
      </c>
      <c r="F820" s="37" t="s">
        <v>140</v>
      </c>
      <c r="G820" s="37" t="s">
        <v>141</v>
      </c>
      <c r="H820" s="37" t="s">
        <v>130</v>
      </c>
      <c r="I820" s="37" t="s">
        <v>127</v>
      </c>
      <c r="J820" s="37" t="s">
        <v>34</v>
      </c>
      <c r="K820" s="38">
        <v>3481.499679</v>
      </c>
      <c r="L820" s="42">
        <v>66923.899999999994</v>
      </c>
      <c r="M820" s="37" t="s">
        <v>117</v>
      </c>
      <c r="N820" s="40">
        <v>630.99800000000005</v>
      </c>
      <c r="O820" s="38">
        <v>630.31937200000004</v>
      </c>
      <c r="P820" s="38">
        <v>0.32430700000000001</v>
      </c>
      <c r="Q820" s="38">
        <v>0.35400500000000001</v>
      </c>
      <c r="R820" s="40">
        <v>630.99800000000005</v>
      </c>
      <c r="S820" s="38">
        <v>630.31937200000004</v>
      </c>
      <c r="T820" s="38">
        <v>0.32430700000000001</v>
      </c>
      <c r="U820" s="38">
        <v>0.35400500000000001</v>
      </c>
      <c r="V820" s="8">
        <f t="shared" ref="V820:V883" si="13">YEAR(A820)</f>
        <v>2023</v>
      </c>
    </row>
    <row r="821" spans="1:22" s="41" customFormat="1" ht="14.4" hidden="1" x14ac:dyDescent="0.3">
      <c r="A821" s="36">
        <v>45078</v>
      </c>
      <c r="B821" s="37" t="s">
        <v>13</v>
      </c>
      <c r="C821" s="37" t="s">
        <v>123</v>
      </c>
      <c r="D821" s="37" t="s">
        <v>66</v>
      </c>
      <c r="E821" s="37" t="s">
        <v>5</v>
      </c>
      <c r="F821" s="37" t="s">
        <v>140</v>
      </c>
      <c r="G821" s="37" t="s">
        <v>141</v>
      </c>
      <c r="H821" s="37" t="s">
        <v>130</v>
      </c>
      <c r="I821" s="37" t="s">
        <v>127</v>
      </c>
      <c r="J821" s="37" t="s">
        <v>36</v>
      </c>
      <c r="K821" s="38">
        <v>1.1339809999999999</v>
      </c>
      <c r="L821" s="39"/>
      <c r="M821" s="37" t="s">
        <v>117</v>
      </c>
      <c r="N821" s="40">
        <v>1.1339999999999999</v>
      </c>
      <c r="O821" s="38">
        <v>1.1339809999999999</v>
      </c>
      <c r="P821" s="39"/>
      <c r="Q821" s="39"/>
      <c r="R821" s="40">
        <v>1.1339999999999999</v>
      </c>
      <c r="S821" s="38">
        <v>1.1339809999999999</v>
      </c>
      <c r="T821" s="39"/>
      <c r="U821" s="39"/>
      <c r="V821" s="8">
        <f t="shared" si="13"/>
        <v>2023</v>
      </c>
    </row>
    <row r="822" spans="1:22" s="41" customFormat="1" ht="14.4" hidden="1" x14ac:dyDescent="0.3">
      <c r="A822" s="36">
        <v>45078</v>
      </c>
      <c r="B822" s="37" t="s">
        <v>19</v>
      </c>
      <c r="C822" s="37" t="s">
        <v>123</v>
      </c>
      <c r="D822" s="37" t="s">
        <v>66</v>
      </c>
      <c r="E822" s="37" t="s">
        <v>5</v>
      </c>
      <c r="F822" s="37" t="s">
        <v>140</v>
      </c>
      <c r="G822" s="37" t="s">
        <v>141</v>
      </c>
      <c r="H822" s="37" t="s">
        <v>130</v>
      </c>
      <c r="I822" s="37" t="s">
        <v>127</v>
      </c>
      <c r="J822" s="37" t="s">
        <v>34</v>
      </c>
      <c r="K822" s="38">
        <v>4742.3705520000003</v>
      </c>
      <c r="L822" s="42">
        <v>75213.41</v>
      </c>
      <c r="M822" s="37" t="s">
        <v>117</v>
      </c>
      <c r="N822" s="40">
        <v>859.52200000000005</v>
      </c>
      <c r="O822" s="38">
        <v>858.59781799999996</v>
      </c>
      <c r="P822" s="38">
        <v>0.44175900000000001</v>
      </c>
      <c r="Q822" s="38">
        <v>0.482213</v>
      </c>
      <c r="R822" s="40">
        <v>859.52200000000005</v>
      </c>
      <c r="S822" s="38">
        <v>858.59781799999996</v>
      </c>
      <c r="T822" s="38">
        <v>0.44175900000000001</v>
      </c>
      <c r="U822" s="38">
        <v>0.482213</v>
      </c>
      <c r="V822" s="8">
        <f t="shared" si="13"/>
        <v>2023</v>
      </c>
    </row>
    <row r="823" spans="1:22" s="41" customFormat="1" ht="14.4" hidden="1" x14ac:dyDescent="0.3">
      <c r="A823" s="36">
        <v>45108</v>
      </c>
      <c r="B823" s="37" t="s">
        <v>19</v>
      </c>
      <c r="C823" s="37" t="s">
        <v>123</v>
      </c>
      <c r="D823" s="37" t="s">
        <v>66</v>
      </c>
      <c r="E823" s="37" t="s">
        <v>5</v>
      </c>
      <c r="F823" s="37" t="s">
        <v>140</v>
      </c>
      <c r="G823" s="37" t="s">
        <v>141</v>
      </c>
      <c r="H823" s="37" t="s">
        <v>130</v>
      </c>
      <c r="I823" s="37" t="s">
        <v>127</v>
      </c>
      <c r="J823" s="37" t="s">
        <v>34</v>
      </c>
      <c r="K823" s="38">
        <v>5374.0207680000003</v>
      </c>
      <c r="L823" s="42">
        <v>76309.929999999993</v>
      </c>
      <c r="M823" s="37" t="s">
        <v>117</v>
      </c>
      <c r="N823" s="40">
        <v>974.00400000000002</v>
      </c>
      <c r="O823" s="38">
        <v>972.95697500000006</v>
      </c>
      <c r="P823" s="38">
        <v>0.50059799999999999</v>
      </c>
      <c r="Q823" s="38">
        <v>0.54644000000000004</v>
      </c>
      <c r="R823" s="40">
        <v>974.00400000000002</v>
      </c>
      <c r="S823" s="38">
        <v>972.95697500000006</v>
      </c>
      <c r="T823" s="38">
        <v>0.50059799999999999</v>
      </c>
      <c r="U823" s="38">
        <v>0.54644000000000004</v>
      </c>
      <c r="V823" s="8">
        <f t="shared" si="13"/>
        <v>2023</v>
      </c>
    </row>
    <row r="824" spans="1:22" s="41" customFormat="1" ht="14.4" hidden="1" x14ac:dyDescent="0.3">
      <c r="A824" s="36">
        <v>45139</v>
      </c>
      <c r="B824" s="37" t="s">
        <v>19</v>
      </c>
      <c r="C824" s="37" t="s">
        <v>123</v>
      </c>
      <c r="D824" s="37" t="s">
        <v>66</v>
      </c>
      <c r="E824" s="37" t="s">
        <v>5</v>
      </c>
      <c r="F824" s="37" t="s">
        <v>140</v>
      </c>
      <c r="G824" s="37" t="s">
        <v>141</v>
      </c>
      <c r="H824" s="37" t="s">
        <v>130</v>
      </c>
      <c r="I824" s="37" t="s">
        <v>127</v>
      </c>
      <c r="J824" s="37" t="s">
        <v>34</v>
      </c>
      <c r="K824" s="38">
        <v>5277.6003860000001</v>
      </c>
      <c r="L824" s="42">
        <v>86495.76</v>
      </c>
      <c r="M824" s="37" t="s">
        <v>117</v>
      </c>
      <c r="N824" s="40">
        <v>956.52800000000002</v>
      </c>
      <c r="O824" s="38">
        <v>955.50023499999998</v>
      </c>
      <c r="P824" s="38">
        <v>0.491616</v>
      </c>
      <c r="Q824" s="38">
        <v>0.536636</v>
      </c>
      <c r="R824" s="40">
        <v>956.52800000000002</v>
      </c>
      <c r="S824" s="38">
        <v>955.50023499999998</v>
      </c>
      <c r="T824" s="38">
        <v>0.491616</v>
      </c>
      <c r="U824" s="38">
        <v>0.536636</v>
      </c>
      <c r="V824" s="8">
        <f t="shared" si="13"/>
        <v>2023</v>
      </c>
    </row>
    <row r="825" spans="1:22" s="41" customFormat="1" ht="14.4" hidden="1" x14ac:dyDescent="0.3">
      <c r="A825" s="36">
        <v>45170</v>
      </c>
      <c r="B825" s="37" t="s">
        <v>19</v>
      </c>
      <c r="C825" s="37" t="s">
        <v>123</v>
      </c>
      <c r="D825" s="37" t="s">
        <v>66</v>
      </c>
      <c r="E825" s="37" t="s">
        <v>5</v>
      </c>
      <c r="F825" s="37" t="s">
        <v>140</v>
      </c>
      <c r="G825" s="37" t="s">
        <v>141</v>
      </c>
      <c r="H825" s="37" t="s">
        <v>130</v>
      </c>
      <c r="I825" s="37" t="s">
        <v>127</v>
      </c>
      <c r="J825" s="37" t="s">
        <v>34</v>
      </c>
      <c r="K825" s="38">
        <v>5428.4792349999998</v>
      </c>
      <c r="L825" s="42">
        <v>88320</v>
      </c>
      <c r="M825" s="37" t="s">
        <v>117</v>
      </c>
      <c r="N825" s="40">
        <v>983.87400000000002</v>
      </c>
      <c r="O825" s="38">
        <v>982.81658400000003</v>
      </c>
      <c r="P825" s="38">
        <v>0.50567099999999998</v>
      </c>
      <c r="Q825" s="38">
        <v>0.55197799999999997</v>
      </c>
      <c r="R825" s="40">
        <v>983.87400000000002</v>
      </c>
      <c r="S825" s="38">
        <v>982.81658400000003</v>
      </c>
      <c r="T825" s="38">
        <v>0.50567099999999998</v>
      </c>
      <c r="U825" s="38">
        <v>0.55197799999999997</v>
      </c>
      <c r="V825" s="8">
        <f t="shared" si="13"/>
        <v>2023</v>
      </c>
    </row>
    <row r="826" spans="1:22" s="41" customFormat="1" ht="14.4" hidden="1" x14ac:dyDescent="0.3">
      <c r="A826" s="36">
        <v>45200</v>
      </c>
      <c r="B826" s="37" t="s">
        <v>11</v>
      </c>
      <c r="C826" s="37" t="s">
        <v>123</v>
      </c>
      <c r="D826" s="37" t="s">
        <v>66</v>
      </c>
      <c r="E826" s="37" t="s">
        <v>5</v>
      </c>
      <c r="F826" s="37" t="s">
        <v>140</v>
      </c>
      <c r="G826" s="37" t="s">
        <v>141</v>
      </c>
      <c r="H826" s="37" t="s">
        <v>130</v>
      </c>
      <c r="I826" s="37" t="s">
        <v>127</v>
      </c>
      <c r="J826" s="37" t="s">
        <v>34</v>
      </c>
      <c r="K826" s="38">
        <v>6.8204269999999996</v>
      </c>
      <c r="L826" s="42">
        <v>1222.6199999999999</v>
      </c>
      <c r="M826" s="37" t="s">
        <v>117</v>
      </c>
      <c r="N826" s="40">
        <v>1.5960000000000001</v>
      </c>
      <c r="O826" s="38">
        <v>1.574559</v>
      </c>
      <c r="P826" s="38">
        <v>2.1530000000000001E-2</v>
      </c>
      <c r="Q826" s="38">
        <v>1.9699999999999999E-4</v>
      </c>
      <c r="R826" s="40">
        <v>1.5960000000000001</v>
      </c>
      <c r="S826" s="38">
        <v>1.574559</v>
      </c>
      <c r="T826" s="38">
        <v>2.1530000000000001E-2</v>
      </c>
      <c r="U826" s="38">
        <v>1.9699999999999999E-4</v>
      </c>
      <c r="V826" s="8">
        <f t="shared" si="13"/>
        <v>2023</v>
      </c>
    </row>
    <row r="827" spans="1:22" s="41" customFormat="1" ht="14.4" hidden="1" x14ac:dyDescent="0.3">
      <c r="A827" s="36">
        <v>45200</v>
      </c>
      <c r="B827" s="37" t="s">
        <v>19</v>
      </c>
      <c r="C827" s="37" t="s">
        <v>123</v>
      </c>
      <c r="D827" s="37" t="s">
        <v>66</v>
      </c>
      <c r="E827" s="37" t="s">
        <v>5</v>
      </c>
      <c r="F827" s="37" t="s">
        <v>140</v>
      </c>
      <c r="G827" s="37" t="s">
        <v>141</v>
      </c>
      <c r="H827" s="37" t="s">
        <v>130</v>
      </c>
      <c r="I827" s="37" t="s">
        <v>127</v>
      </c>
      <c r="J827" s="37" t="s">
        <v>34</v>
      </c>
      <c r="K827" s="38">
        <v>3980.0985599999999</v>
      </c>
      <c r="L827" s="42">
        <v>78460.89</v>
      </c>
      <c r="M827" s="37" t="s">
        <v>117</v>
      </c>
      <c r="N827" s="40">
        <v>721.36500000000001</v>
      </c>
      <c r="O827" s="38">
        <v>720.58982000000003</v>
      </c>
      <c r="P827" s="38">
        <v>0.37075200000000003</v>
      </c>
      <c r="Q827" s="38">
        <v>0.40470400000000001</v>
      </c>
      <c r="R827" s="40">
        <v>721.36500000000001</v>
      </c>
      <c r="S827" s="38">
        <v>720.58982000000003</v>
      </c>
      <c r="T827" s="38">
        <v>0.37075200000000003</v>
      </c>
      <c r="U827" s="38">
        <v>0.40470400000000001</v>
      </c>
      <c r="V827" s="8">
        <f t="shared" si="13"/>
        <v>2023</v>
      </c>
    </row>
    <row r="828" spans="1:22" s="41" customFormat="1" ht="14.4" hidden="1" x14ac:dyDescent="0.3">
      <c r="A828" s="36">
        <v>45231</v>
      </c>
      <c r="B828" s="37" t="s">
        <v>19</v>
      </c>
      <c r="C828" s="37" t="s">
        <v>123</v>
      </c>
      <c r="D828" s="37" t="s">
        <v>66</v>
      </c>
      <c r="E828" s="37" t="s">
        <v>5</v>
      </c>
      <c r="F828" s="37" t="s">
        <v>140</v>
      </c>
      <c r="G828" s="37" t="s">
        <v>141</v>
      </c>
      <c r="H828" s="37" t="s">
        <v>130</v>
      </c>
      <c r="I828" s="37" t="s">
        <v>127</v>
      </c>
      <c r="J828" s="37" t="s">
        <v>34</v>
      </c>
      <c r="K828" s="38">
        <v>2044.8477089999999</v>
      </c>
      <c r="L828" s="42">
        <v>23046.31</v>
      </c>
      <c r="M828" s="37" t="s">
        <v>117</v>
      </c>
      <c r="N828" s="40">
        <v>370.61399999999998</v>
      </c>
      <c r="O828" s="38">
        <v>370.216069</v>
      </c>
      <c r="P828" s="38">
        <v>0.19048100000000001</v>
      </c>
      <c r="Q828" s="38">
        <v>0.207924</v>
      </c>
      <c r="R828" s="40">
        <v>370.61399999999998</v>
      </c>
      <c r="S828" s="38">
        <v>370.216069</v>
      </c>
      <c r="T828" s="38">
        <v>0.19048100000000001</v>
      </c>
      <c r="U828" s="38">
        <v>0.207924</v>
      </c>
      <c r="V828" s="8">
        <f t="shared" si="13"/>
        <v>2023</v>
      </c>
    </row>
    <row r="829" spans="1:22" s="41" customFormat="1" ht="14.4" hidden="1" x14ac:dyDescent="0.3">
      <c r="A829" s="36">
        <v>45261</v>
      </c>
      <c r="B829" s="37" t="s">
        <v>19</v>
      </c>
      <c r="C829" s="37" t="s">
        <v>123</v>
      </c>
      <c r="D829" s="37" t="s">
        <v>66</v>
      </c>
      <c r="E829" s="37" t="s">
        <v>5</v>
      </c>
      <c r="F829" s="37" t="s">
        <v>140</v>
      </c>
      <c r="G829" s="37" t="s">
        <v>141</v>
      </c>
      <c r="H829" s="37" t="s">
        <v>130</v>
      </c>
      <c r="I829" s="37" t="s">
        <v>127</v>
      </c>
      <c r="J829" s="37" t="s">
        <v>34</v>
      </c>
      <c r="K829" s="38">
        <v>2289.4448240000002</v>
      </c>
      <c r="L829" s="42">
        <v>28085.39</v>
      </c>
      <c r="M829" s="37" t="s">
        <v>117</v>
      </c>
      <c r="N829" s="40">
        <v>414.94600000000003</v>
      </c>
      <c r="O829" s="38">
        <v>414.49994500000003</v>
      </c>
      <c r="P829" s="38">
        <v>0.21326500000000001</v>
      </c>
      <c r="Q829" s="38">
        <v>0.232795</v>
      </c>
      <c r="R829" s="40">
        <v>414.94600000000003</v>
      </c>
      <c r="S829" s="38">
        <v>414.49994500000003</v>
      </c>
      <c r="T829" s="38">
        <v>0.21326500000000001</v>
      </c>
      <c r="U829" s="38">
        <v>0.232795</v>
      </c>
      <c r="V829" s="8">
        <f t="shared" si="13"/>
        <v>2023</v>
      </c>
    </row>
    <row r="830" spans="1:22" s="41" customFormat="1" ht="14.4" hidden="1" x14ac:dyDescent="0.3">
      <c r="A830" s="36">
        <v>45261</v>
      </c>
      <c r="B830" s="37" t="s">
        <v>20</v>
      </c>
      <c r="C830" s="37" t="s">
        <v>123</v>
      </c>
      <c r="D830" s="37" t="s">
        <v>66</v>
      </c>
      <c r="E830" s="37" t="s">
        <v>5</v>
      </c>
      <c r="F830" s="37" t="s">
        <v>140</v>
      </c>
      <c r="G830" s="37" t="s">
        <v>141</v>
      </c>
      <c r="H830" s="37" t="s">
        <v>130</v>
      </c>
      <c r="I830" s="37" t="s">
        <v>127</v>
      </c>
      <c r="J830" s="37" t="s">
        <v>34</v>
      </c>
      <c r="K830" s="38">
        <v>3.1123020000000001</v>
      </c>
      <c r="L830" s="39"/>
      <c r="M830" s="37" t="s">
        <v>117</v>
      </c>
      <c r="N830" s="40">
        <v>0.67</v>
      </c>
      <c r="O830" s="38">
        <v>0.667655</v>
      </c>
      <c r="P830" s="38">
        <v>1.7390000000000001E-3</v>
      </c>
      <c r="Q830" s="38">
        <v>9.4899999999999997E-4</v>
      </c>
      <c r="R830" s="40">
        <v>0.67</v>
      </c>
      <c r="S830" s="38">
        <v>0.667655</v>
      </c>
      <c r="T830" s="38">
        <v>1.74E-3</v>
      </c>
      <c r="U830" s="38">
        <v>9.4899999999999997E-4</v>
      </c>
      <c r="V830" s="8">
        <f t="shared" si="13"/>
        <v>2023</v>
      </c>
    </row>
    <row r="831" spans="1:22" s="41" customFormat="1" ht="14.4" hidden="1" x14ac:dyDescent="0.3">
      <c r="A831" s="36">
        <v>44562</v>
      </c>
      <c r="B831" s="37" t="s">
        <v>23</v>
      </c>
      <c r="C831" s="37" t="s">
        <v>123</v>
      </c>
      <c r="D831" s="37" t="s">
        <v>66</v>
      </c>
      <c r="E831" s="37" t="s">
        <v>6</v>
      </c>
      <c r="F831" s="37" t="s">
        <v>140</v>
      </c>
      <c r="G831" s="37" t="s">
        <v>141</v>
      </c>
      <c r="H831" s="37" t="s">
        <v>130</v>
      </c>
      <c r="I831" s="37" t="s">
        <v>127</v>
      </c>
      <c r="J831" s="37" t="s">
        <v>34</v>
      </c>
      <c r="K831" s="38">
        <v>1290.4880000000001</v>
      </c>
      <c r="L831" s="42">
        <v>127004.03</v>
      </c>
      <c r="M831" s="37" t="s">
        <v>117</v>
      </c>
      <c r="N831" s="40">
        <v>430.822</v>
      </c>
      <c r="O831" s="38">
        <v>430.82165600000002</v>
      </c>
      <c r="P831" s="39"/>
      <c r="Q831" s="39"/>
      <c r="R831" s="40">
        <v>616.14800000000002</v>
      </c>
      <c r="S831" s="38">
        <v>612.35913100000005</v>
      </c>
      <c r="T831" s="38">
        <v>2.2372290000000001</v>
      </c>
      <c r="U831" s="38">
        <v>1.551485</v>
      </c>
      <c r="V831" s="8">
        <f t="shared" si="13"/>
        <v>2022</v>
      </c>
    </row>
    <row r="832" spans="1:22" s="41" customFormat="1" ht="14.4" hidden="1" x14ac:dyDescent="0.3">
      <c r="A832" s="36">
        <v>44593</v>
      </c>
      <c r="B832" s="37" t="s">
        <v>23</v>
      </c>
      <c r="C832" s="37" t="s">
        <v>123</v>
      </c>
      <c r="D832" s="37" t="s">
        <v>66</v>
      </c>
      <c r="E832" s="37" t="s">
        <v>6</v>
      </c>
      <c r="F832" s="37" t="s">
        <v>140</v>
      </c>
      <c r="G832" s="37" t="s">
        <v>141</v>
      </c>
      <c r="H832" s="37" t="s">
        <v>130</v>
      </c>
      <c r="I832" s="37" t="s">
        <v>127</v>
      </c>
      <c r="J832" s="37" t="s">
        <v>34</v>
      </c>
      <c r="K832" s="38">
        <v>1267.4090000000001</v>
      </c>
      <c r="L832" s="42">
        <v>121549.85</v>
      </c>
      <c r="M832" s="37" t="s">
        <v>117</v>
      </c>
      <c r="N832" s="40">
        <v>423.11700000000002</v>
      </c>
      <c r="O832" s="38">
        <v>423.116871</v>
      </c>
      <c r="P832" s="39"/>
      <c r="Q832" s="39"/>
      <c r="R832" s="40">
        <v>605.12900000000002</v>
      </c>
      <c r="S832" s="38">
        <v>601.40774199999998</v>
      </c>
      <c r="T832" s="38">
        <v>2.1972179999999999</v>
      </c>
      <c r="U832" s="38">
        <v>1.523738</v>
      </c>
      <c r="V832" s="8">
        <f t="shared" si="13"/>
        <v>2022</v>
      </c>
    </row>
    <row r="833" spans="1:22" s="41" customFormat="1" ht="14.4" hidden="1" x14ac:dyDescent="0.3">
      <c r="A833" s="36">
        <v>44621</v>
      </c>
      <c r="B833" s="37" t="s">
        <v>23</v>
      </c>
      <c r="C833" s="37" t="s">
        <v>123</v>
      </c>
      <c r="D833" s="37" t="s">
        <v>66</v>
      </c>
      <c r="E833" s="37" t="s">
        <v>6</v>
      </c>
      <c r="F833" s="37" t="s">
        <v>140</v>
      </c>
      <c r="G833" s="37" t="s">
        <v>141</v>
      </c>
      <c r="H833" s="37" t="s">
        <v>130</v>
      </c>
      <c r="I833" s="37" t="s">
        <v>127</v>
      </c>
      <c r="J833" s="37" t="s">
        <v>34</v>
      </c>
      <c r="K833" s="38">
        <v>1215.8820000000001</v>
      </c>
      <c r="L833" s="42">
        <v>116766.29</v>
      </c>
      <c r="M833" s="37" t="s">
        <v>117</v>
      </c>
      <c r="N833" s="40">
        <v>405.91500000000002</v>
      </c>
      <c r="O833" s="38">
        <v>405.91489200000001</v>
      </c>
      <c r="P833" s="39"/>
      <c r="Q833" s="39"/>
      <c r="R833" s="40">
        <v>580.52700000000004</v>
      </c>
      <c r="S833" s="38">
        <v>576.95727899999997</v>
      </c>
      <c r="T833" s="38">
        <v>2.1078899999999998</v>
      </c>
      <c r="U833" s="38">
        <v>1.4617899999999999</v>
      </c>
      <c r="V833" s="8">
        <f t="shared" si="13"/>
        <v>2022</v>
      </c>
    </row>
    <row r="834" spans="1:22" s="41" customFormat="1" ht="14.4" hidden="1" x14ac:dyDescent="0.3">
      <c r="A834" s="36">
        <v>44652</v>
      </c>
      <c r="B834" s="37" t="s">
        <v>23</v>
      </c>
      <c r="C834" s="37" t="s">
        <v>123</v>
      </c>
      <c r="D834" s="37" t="s">
        <v>66</v>
      </c>
      <c r="E834" s="37" t="s">
        <v>6</v>
      </c>
      <c r="F834" s="37" t="s">
        <v>140</v>
      </c>
      <c r="G834" s="37" t="s">
        <v>141</v>
      </c>
      <c r="H834" s="37" t="s">
        <v>130</v>
      </c>
      <c r="I834" s="37" t="s">
        <v>127</v>
      </c>
      <c r="J834" s="37" t="s">
        <v>34</v>
      </c>
      <c r="K834" s="38">
        <v>1332.84</v>
      </c>
      <c r="L834" s="42">
        <v>134527.03</v>
      </c>
      <c r="M834" s="37" t="s">
        <v>117</v>
      </c>
      <c r="N834" s="40">
        <v>444.96100000000001</v>
      </c>
      <c r="O834" s="38">
        <v>444.96061600000002</v>
      </c>
      <c r="P834" s="39"/>
      <c r="Q834" s="39"/>
      <c r="R834" s="40">
        <v>636.36900000000003</v>
      </c>
      <c r="S834" s="38">
        <v>632.45589600000005</v>
      </c>
      <c r="T834" s="38">
        <v>2.310651</v>
      </c>
      <c r="U834" s="38">
        <v>1.6024020000000001</v>
      </c>
      <c r="V834" s="8">
        <f t="shared" si="13"/>
        <v>2022</v>
      </c>
    </row>
    <row r="835" spans="1:22" s="41" customFormat="1" ht="14.4" hidden="1" x14ac:dyDescent="0.3">
      <c r="A835" s="36">
        <v>44682</v>
      </c>
      <c r="B835" s="37" t="s">
        <v>23</v>
      </c>
      <c r="C835" s="37" t="s">
        <v>123</v>
      </c>
      <c r="D835" s="37" t="s">
        <v>66</v>
      </c>
      <c r="E835" s="37" t="s">
        <v>6</v>
      </c>
      <c r="F835" s="37" t="s">
        <v>140</v>
      </c>
      <c r="G835" s="37" t="s">
        <v>141</v>
      </c>
      <c r="H835" s="37" t="s">
        <v>130</v>
      </c>
      <c r="I835" s="37" t="s">
        <v>127</v>
      </c>
      <c r="J835" s="37" t="s">
        <v>34</v>
      </c>
      <c r="K835" s="38">
        <v>1155.28</v>
      </c>
      <c r="L835" s="42">
        <v>88232.9</v>
      </c>
      <c r="M835" s="37" t="s">
        <v>117</v>
      </c>
      <c r="N835" s="40">
        <v>385.68299999999999</v>
      </c>
      <c r="O835" s="38">
        <v>385.68327900000003</v>
      </c>
      <c r="P835" s="39"/>
      <c r="Q835" s="39"/>
      <c r="R835" s="40">
        <v>551.59199999999998</v>
      </c>
      <c r="S835" s="38">
        <v>548.20056999999997</v>
      </c>
      <c r="T835" s="38">
        <v>2.0028280000000001</v>
      </c>
      <c r="U835" s="38">
        <v>1.3889309999999999</v>
      </c>
      <c r="V835" s="8">
        <f t="shared" si="13"/>
        <v>2022</v>
      </c>
    </row>
    <row r="836" spans="1:22" s="41" customFormat="1" ht="14.4" hidden="1" x14ac:dyDescent="0.3">
      <c r="A836" s="36">
        <v>44713</v>
      </c>
      <c r="B836" s="37" t="s">
        <v>23</v>
      </c>
      <c r="C836" s="37" t="s">
        <v>123</v>
      </c>
      <c r="D836" s="37" t="s">
        <v>66</v>
      </c>
      <c r="E836" s="37" t="s">
        <v>6</v>
      </c>
      <c r="F836" s="37" t="s">
        <v>140</v>
      </c>
      <c r="G836" s="37" t="s">
        <v>141</v>
      </c>
      <c r="H836" s="37" t="s">
        <v>130</v>
      </c>
      <c r="I836" s="37" t="s">
        <v>127</v>
      </c>
      <c r="J836" s="37" t="s">
        <v>34</v>
      </c>
      <c r="K836" s="38">
        <v>1299.5409999999999</v>
      </c>
      <c r="L836" s="42">
        <v>128009.61</v>
      </c>
      <c r="M836" s="37" t="s">
        <v>117</v>
      </c>
      <c r="N836" s="40">
        <v>433.84399999999999</v>
      </c>
      <c r="O836" s="38">
        <v>433.84394600000002</v>
      </c>
      <c r="P836" s="39"/>
      <c r="Q836" s="39"/>
      <c r="R836" s="40">
        <v>620.47</v>
      </c>
      <c r="S836" s="38">
        <v>616.65493800000002</v>
      </c>
      <c r="T836" s="38">
        <v>2.252923</v>
      </c>
      <c r="U836" s="38">
        <v>1.5623689999999999</v>
      </c>
      <c r="V836" s="8">
        <f t="shared" si="13"/>
        <v>2022</v>
      </c>
    </row>
    <row r="837" spans="1:22" s="41" customFormat="1" ht="14.4" hidden="1" x14ac:dyDescent="0.3">
      <c r="A837" s="36">
        <v>44743</v>
      </c>
      <c r="B837" s="37" t="s">
        <v>23</v>
      </c>
      <c r="C837" s="37" t="s">
        <v>123</v>
      </c>
      <c r="D837" s="37" t="s">
        <v>66</v>
      </c>
      <c r="E837" s="37" t="s">
        <v>6</v>
      </c>
      <c r="F837" s="37" t="s">
        <v>140</v>
      </c>
      <c r="G837" s="37" t="s">
        <v>141</v>
      </c>
      <c r="H837" s="37" t="s">
        <v>130</v>
      </c>
      <c r="I837" s="37" t="s">
        <v>127</v>
      </c>
      <c r="J837" s="37" t="s">
        <v>34</v>
      </c>
      <c r="K837" s="38">
        <v>1388.364</v>
      </c>
      <c r="L837" s="42">
        <v>140518.66</v>
      </c>
      <c r="M837" s="37" t="s">
        <v>117</v>
      </c>
      <c r="N837" s="40">
        <v>463.49700000000001</v>
      </c>
      <c r="O837" s="38">
        <v>463.49696999999998</v>
      </c>
      <c r="P837" s="39"/>
      <c r="Q837" s="39"/>
      <c r="R837" s="40">
        <v>662.87900000000002</v>
      </c>
      <c r="S837" s="38">
        <v>658.80300499999998</v>
      </c>
      <c r="T837" s="38">
        <v>2.4069099999999999</v>
      </c>
      <c r="U837" s="38">
        <v>1.6691560000000001</v>
      </c>
      <c r="V837" s="8">
        <f t="shared" si="13"/>
        <v>2022</v>
      </c>
    </row>
    <row r="838" spans="1:22" s="41" customFormat="1" ht="14.4" hidden="1" x14ac:dyDescent="0.3">
      <c r="A838" s="36">
        <v>44774</v>
      </c>
      <c r="B838" s="37" t="s">
        <v>23</v>
      </c>
      <c r="C838" s="37" t="s">
        <v>123</v>
      </c>
      <c r="D838" s="37" t="s">
        <v>66</v>
      </c>
      <c r="E838" s="37" t="s">
        <v>6</v>
      </c>
      <c r="F838" s="37" t="s">
        <v>140</v>
      </c>
      <c r="G838" s="37" t="s">
        <v>141</v>
      </c>
      <c r="H838" s="37" t="s">
        <v>130</v>
      </c>
      <c r="I838" s="37" t="s">
        <v>127</v>
      </c>
      <c r="J838" s="37" t="s">
        <v>34</v>
      </c>
      <c r="K838" s="38">
        <v>1326.1803299999999</v>
      </c>
      <c r="L838" s="42">
        <v>142816.04999999999</v>
      </c>
      <c r="M838" s="37" t="s">
        <v>117</v>
      </c>
      <c r="N838" s="40">
        <v>442.73700000000002</v>
      </c>
      <c r="O838" s="38">
        <v>442.737326</v>
      </c>
      <c r="P838" s="39"/>
      <c r="Q838" s="39"/>
      <c r="R838" s="40">
        <v>633.18899999999996</v>
      </c>
      <c r="S838" s="38">
        <v>629.29576599999996</v>
      </c>
      <c r="T838" s="38">
        <v>2.2991060000000001</v>
      </c>
      <c r="U838" s="38">
        <v>1.5943959999999999</v>
      </c>
      <c r="V838" s="8">
        <f t="shared" si="13"/>
        <v>2022</v>
      </c>
    </row>
    <row r="839" spans="1:22" s="41" customFormat="1" ht="14.4" hidden="1" x14ac:dyDescent="0.3">
      <c r="A839" s="36">
        <v>44805</v>
      </c>
      <c r="B839" s="37" t="s">
        <v>23</v>
      </c>
      <c r="C839" s="37" t="s">
        <v>123</v>
      </c>
      <c r="D839" s="37" t="s">
        <v>66</v>
      </c>
      <c r="E839" s="37" t="s">
        <v>6</v>
      </c>
      <c r="F839" s="37" t="s">
        <v>140</v>
      </c>
      <c r="G839" s="37" t="s">
        <v>141</v>
      </c>
      <c r="H839" s="37" t="s">
        <v>130</v>
      </c>
      <c r="I839" s="37" t="s">
        <v>127</v>
      </c>
      <c r="J839" s="37" t="s">
        <v>34</v>
      </c>
      <c r="K839" s="38">
        <v>1156.5200199999999</v>
      </c>
      <c r="L839" s="42">
        <v>96540.33</v>
      </c>
      <c r="M839" s="37" t="s">
        <v>117</v>
      </c>
      <c r="N839" s="40">
        <v>386.09699999999998</v>
      </c>
      <c r="O839" s="38">
        <v>386.09725200000003</v>
      </c>
      <c r="P839" s="39"/>
      <c r="Q839" s="39"/>
      <c r="R839" s="40">
        <v>552.18399999999997</v>
      </c>
      <c r="S839" s="38">
        <v>548.78898100000004</v>
      </c>
      <c r="T839" s="38">
        <v>2.0049779999999999</v>
      </c>
      <c r="U839" s="38">
        <v>1.390422</v>
      </c>
      <c r="V839" s="8">
        <f t="shared" si="13"/>
        <v>2022</v>
      </c>
    </row>
    <row r="840" spans="1:22" s="41" customFormat="1" ht="14.4" hidden="1" x14ac:dyDescent="0.3">
      <c r="A840" s="36">
        <v>44835</v>
      </c>
      <c r="B840" s="37" t="s">
        <v>23</v>
      </c>
      <c r="C840" s="37" t="s">
        <v>123</v>
      </c>
      <c r="D840" s="37" t="s">
        <v>66</v>
      </c>
      <c r="E840" s="37" t="s">
        <v>6</v>
      </c>
      <c r="F840" s="37" t="s">
        <v>140</v>
      </c>
      <c r="G840" s="37" t="s">
        <v>141</v>
      </c>
      <c r="H840" s="37" t="s">
        <v>130</v>
      </c>
      <c r="I840" s="37" t="s">
        <v>127</v>
      </c>
      <c r="J840" s="37" t="s">
        <v>34</v>
      </c>
      <c r="K840" s="38">
        <v>1152.2306100000001</v>
      </c>
      <c r="L840" s="42">
        <v>98730.61</v>
      </c>
      <c r="M840" s="37" t="s">
        <v>117</v>
      </c>
      <c r="N840" s="40">
        <v>384.66500000000002</v>
      </c>
      <c r="O840" s="38">
        <v>384.66525799999999</v>
      </c>
      <c r="P840" s="39"/>
      <c r="Q840" s="39"/>
      <c r="R840" s="40">
        <v>550.13599999999997</v>
      </c>
      <c r="S840" s="38">
        <v>546.75358100000005</v>
      </c>
      <c r="T840" s="38">
        <v>1.9975419999999999</v>
      </c>
      <c r="U840" s="38">
        <v>1.385265</v>
      </c>
      <c r="V840" s="8">
        <f t="shared" si="13"/>
        <v>2022</v>
      </c>
    </row>
    <row r="841" spans="1:22" s="41" customFormat="1" ht="14.4" hidden="1" x14ac:dyDescent="0.3">
      <c r="A841" s="36">
        <v>44866</v>
      </c>
      <c r="B841" s="37" t="s">
        <v>23</v>
      </c>
      <c r="C841" s="37" t="s">
        <v>123</v>
      </c>
      <c r="D841" s="37" t="s">
        <v>66</v>
      </c>
      <c r="E841" s="37" t="s">
        <v>6</v>
      </c>
      <c r="F841" s="37" t="s">
        <v>140</v>
      </c>
      <c r="G841" s="37" t="s">
        <v>141</v>
      </c>
      <c r="H841" s="37" t="s">
        <v>130</v>
      </c>
      <c r="I841" s="37" t="s">
        <v>127</v>
      </c>
      <c r="J841" s="37" t="s">
        <v>34</v>
      </c>
      <c r="K841" s="38">
        <v>1297.42264</v>
      </c>
      <c r="L841" s="42">
        <v>114751.13</v>
      </c>
      <c r="M841" s="37" t="s">
        <v>117</v>
      </c>
      <c r="N841" s="40">
        <v>433.137</v>
      </c>
      <c r="O841" s="38">
        <v>433.13674400000002</v>
      </c>
      <c r="P841" s="39"/>
      <c r="Q841" s="39"/>
      <c r="R841" s="40">
        <v>619.45899999999995</v>
      </c>
      <c r="S841" s="38">
        <v>615.64973899999995</v>
      </c>
      <c r="T841" s="38">
        <v>2.2492510000000001</v>
      </c>
      <c r="U841" s="38">
        <v>1.559822</v>
      </c>
      <c r="V841" s="8">
        <f t="shared" si="13"/>
        <v>2022</v>
      </c>
    </row>
    <row r="842" spans="1:22" s="41" customFormat="1" ht="14.4" hidden="1" x14ac:dyDescent="0.3">
      <c r="A842" s="36">
        <v>44896</v>
      </c>
      <c r="B842" s="37" t="s">
        <v>23</v>
      </c>
      <c r="C842" s="37" t="s">
        <v>123</v>
      </c>
      <c r="D842" s="37" t="s">
        <v>66</v>
      </c>
      <c r="E842" s="37" t="s">
        <v>6</v>
      </c>
      <c r="F842" s="37" t="s">
        <v>140</v>
      </c>
      <c r="G842" s="37" t="s">
        <v>141</v>
      </c>
      <c r="H842" s="37" t="s">
        <v>130</v>
      </c>
      <c r="I842" s="37" t="s">
        <v>127</v>
      </c>
      <c r="J842" s="37" t="s">
        <v>34</v>
      </c>
      <c r="K842" s="38">
        <v>1294.3969999999999</v>
      </c>
      <c r="L842" s="42">
        <v>98893.16</v>
      </c>
      <c r="M842" s="37" t="s">
        <v>117</v>
      </c>
      <c r="N842" s="40">
        <v>432.12700000000001</v>
      </c>
      <c r="O842" s="38">
        <v>432.12665199999998</v>
      </c>
      <c r="P842" s="39"/>
      <c r="Q842" s="39"/>
      <c r="R842" s="40">
        <v>618.01400000000001</v>
      </c>
      <c r="S842" s="38">
        <v>614.21402</v>
      </c>
      <c r="T842" s="38">
        <v>2.2440060000000002</v>
      </c>
      <c r="U842" s="38">
        <v>1.556184</v>
      </c>
      <c r="V842" s="8">
        <f t="shared" si="13"/>
        <v>2022</v>
      </c>
    </row>
    <row r="843" spans="1:22" s="41" customFormat="1" ht="14.4" hidden="1" x14ac:dyDescent="0.3">
      <c r="A843" s="36">
        <v>44927</v>
      </c>
      <c r="B843" s="37" t="s">
        <v>23</v>
      </c>
      <c r="C843" s="37" t="s">
        <v>123</v>
      </c>
      <c r="D843" s="37" t="s">
        <v>66</v>
      </c>
      <c r="E843" s="37" t="s">
        <v>6</v>
      </c>
      <c r="F843" s="37" t="s">
        <v>140</v>
      </c>
      <c r="G843" s="37" t="s">
        <v>141</v>
      </c>
      <c r="H843" s="37" t="s">
        <v>130</v>
      </c>
      <c r="I843" s="37" t="s">
        <v>127</v>
      </c>
      <c r="J843" s="37" t="s">
        <v>34</v>
      </c>
      <c r="K843" s="38">
        <v>1119.5329999999999</v>
      </c>
      <c r="L843" s="42">
        <v>80091.850000000006</v>
      </c>
      <c r="M843" s="37" t="s">
        <v>117</v>
      </c>
      <c r="N843" s="40">
        <v>323.98399999999998</v>
      </c>
      <c r="O843" s="38">
        <v>323.98381799999999</v>
      </c>
      <c r="P843" s="39"/>
      <c r="Q843" s="39"/>
      <c r="R843" s="40">
        <v>534.52499999999998</v>
      </c>
      <c r="S843" s="38">
        <v>531.23799299999996</v>
      </c>
      <c r="T843" s="38">
        <v>1.9408559999999999</v>
      </c>
      <c r="U843" s="38">
        <v>1.345955</v>
      </c>
      <c r="V843" s="8">
        <f t="shared" si="13"/>
        <v>2023</v>
      </c>
    </row>
    <row r="844" spans="1:22" s="41" customFormat="1" ht="14.4" hidden="1" x14ac:dyDescent="0.3">
      <c r="A844" s="36">
        <v>44958</v>
      </c>
      <c r="B844" s="37" t="s">
        <v>23</v>
      </c>
      <c r="C844" s="37" t="s">
        <v>123</v>
      </c>
      <c r="D844" s="37" t="s">
        <v>66</v>
      </c>
      <c r="E844" s="37" t="s">
        <v>6</v>
      </c>
      <c r="F844" s="37" t="s">
        <v>140</v>
      </c>
      <c r="G844" s="37" t="s">
        <v>141</v>
      </c>
      <c r="H844" s="37" t="s">
        <v>130</v>
      </c>
      <c r="I844" s="37" t="s">
        <v>127</v>
      </c>
      <c r="J844" s="37" t="s">
        <v>34</v>
      </c>
      <c r="K844" s="38">
        <v>1140.443</v>
      </c>
      <c r="L844" s="42">
        <v>81587.75</v>
      </c>
      <c r="M844" s="37" t="s">
        <v>117</v>
      </c>
      <c r="N844" s="40">
        <v>330.03500000000003</v>
      </c>
      <c r="O844" s="38">
        <v>330.03500300000002</v>
      </c>
      <c r="P844" s="39"/>
      <c r="Q844" s="39"/>
      <c r="R844" s="40">
        <v>544.50800000000004</v>
      </c>
      <c r="S844" s="38">
        <v>541.16015400000003</v>
      </c>
      <c r="T844" s="38">
        <v>1.977106</v>
      </c>
      <c r="U844" s="38">
        <v>1.371094</v>
      </c>
      <c r="V844" s="8">
        <f t="shared" si="13"/>
        <v>2023</v>
      </c>
    </row>
    <row r="845" spans="1:22" s="41" customFormat="1" ht="14.4" hidden="1" x14ac:dyDescent="0.3">
      <c r="A845" s="36">
        <v>44986</v>
      </c>
      <c r="B845" s="37" t="s">
        <v>23</v>
      </c>
      <c r="C845" s="37" t="s">
        <v>123</v>
      </c>
      <c r="D845" s="37" t="s">
        <v>66</v>
      </c>
      <c r="E845" s="37" t="s">
        <v>6</v>
      </c>
      <c r="F845" s="37" t="s">
        <v>140</v>
      </c>
      <c r="G845" s="37" t="s">
        <v>141</v>
      </c>
      <c r="H845" s="37" t="s">
        <v>130</v>
      </c>
      <c r="I845" s="37" t="s">
        <v>127</v>
      </c>
      <c r="J845" s="37" t="s">
        <v>34</v>
      </c>
      <c r="K845" s="38">
        <v>1295.0889999999999</v>
      </c>
      <c r="L845" s="42">
        <v>92651.13</v>
      </c>
      <c r="M845" s="37" t="s">
        <v>117</v>
      </c>
      <c r="N845" s="40">
        <v>374.78800000000001</v>
      </c>
      <c r="O845" s="38">
        <v>374.78830799999997</v>
      </c>
      <c r="P845" s="39"/>
      <c r="Q845" s="39"/>
      <c r="R845" s="40">
        <v>618.34500000000003</v>
      </c>
      <c r="S845" s="38">
        <v>614.54238599999996</v>
      </c>
      <c r="T845" s="38">
        <v>2.2452049999999999</v>
      </c>
      <c r="U845" s="38">
        <v>1.557016</v>
      </c>
      <c r="V845" s="8">
        <f t="shared" si="13"/>
        <v>2023</v>
      </c>
    </row>
    <row r="846" spans="1:22" s="41" customFormat="1" ht="14.4" hidden="1" x14ac:dyDescent="0.3">
      <c r="A846" s="36">
        <v>45017</v>
      </c>
      <c r="B846" s="37" t="s">
        <v>23</v>
      </c>
      <c r="C846" s="37" t="s">
        <v>123</v>
      </c>
      <c r="D846" s="37" t="s">
        <v>66</v>
      </c>
      <c r="E846" s="37" t="s">
        <v>6</v>
      </c>
      <c r="F846" s="37" t="s">
        <v>140</v>
      </c>
      <c r="G846" s="37" t="s">
        <v>141</v>
      </c>
      <c r="H846" s="37" t="s">
        <v>130</v>
      </c>
      <c r="I846" s="37" t="s">
        <v>127</v>
      </c>
      <c r="J846" s="37" t="s">
        <v>34</v>
      </c>
      <c r="K846" s="38">
        <v>1025.288</v>
      </c>
      <c r="L846" s="42">
        <v>73349.59</v>
      </c>
      <c r="M846" s="37" t="s">
        <v>117</v>
      </c>
      <c r="N846" s="40">
        <v>296.70999999999998</v>
      </c>
      <c r="O846" s="38">
        <v>296.71007500000002</v>
      </c>
      <c r="P846" s="39"/>
      <c r="Q846" s="39"/>
      <c r="R846" s="40">
        <v>489.52699999999999</v>
      </c>
      <c r="S846" s="38">
        <v>486.51709199999999</v>
      </c>
      <c r="T846" s="38">
        <v>1.7774700000000001</v>
      </c>
      <c r="U846" s="38">
        <v>1.2326490000000001</v>
      </c>
      <c r="V846" s="8">
        <f t="shared" si="13"/>
        <v>2023</v>
      </c>
    </row>
    <row r="847" spans="1:22" s="41" customFormat="1" ht="14.4" hidden="1" x14ac:dyDescent="0.3">
      <c r="A847" s="36">
        <v>45047</v>
      </c>
      <c r="B847" s="37" t="s">
        <v>23</v>
      </c>
      <c r="C847" s="37" t="s">
        <v>123</v>
      </c>
      <c r="D847" s="37" t="s">
        <v>66</v>
      </c>
      <c r="E847" s="37" t="s">
        <v>6</v>
      </c>
      <c r="F847" s="37" t="s">
        <v>140</v>
      </c>
      <c r="G847" s="37" t="s">
        <v>141</v>
      </c>
      <c r="H847" s="37" t="s">
        <v>130</v>
      </c>
      <c r="I847" s="37" t="s">
        <v>127</v>
      </c>
      <c r="J847" s="37" t="s">
        <v>34</v>
      </c>
      <c r="K847" s="38">
        <v>1080.6980000000001</v>
      </c>
      <c r="L847" s="42">
        <v>122607.75</v>
      </c>
      <c r="M847" s="37" t="s">
        <v>117</v>
      </c>
      <c r="N847" s="40">
        <v>312.745</v>
      </c>
      <c r="O847" s="38">
        <v>312.74528199999997</v>
      </c>
      <c r="P847" s="39"/>
      <c r="Q847" s="39"/>
      <c r="R847" s="40">
        <v>515.98299999999995</v>
      </c>
      <c r="S847" s="38">
        <v>512.81010600000002</v>
      </c>
      <c r="T847" s="38">
        <v>1.8735310000000001</v>
      </c>
      <c r="U847" s="38">
        <v>1.2992649999999999</v>
      </c>
      <c r="V847" s="8">
        <f t="shared" si="13"/>
        <v>2023</v>
      </c>
    </row>
    <row r="848" spans="1:22" s="41" customFormat="1" ht="14.4" hidden="1" x14ac:dyDescent="0.3">
      <c r="A848" s="36">
        <v>45078</v>
      </c>
      <c r="B848" s="37" t="s">
        <v>23</v>
      </c>
      <c r="C848" s="37" t="s">
        <v>123</v>
      </c>
      <c r="D848" s="37" t="s">
        <v>66</v>
      </c>
      <c r="E848" s="37" t="s">
        <v>6</v>
      </c>
      <c r="F848" s="37" t="s">
        <v>140</v>
      </c>
      <c r="G848" s="37" t="s">
        <v>141</v>
      </c>
      <c r="H848" s="37" t="s">
        <v>130</v>
      </c>
      <c r="I848" s="37" t="s">
        <v>127</v>
      </c>
      <c r="J848" s="37" t="s">
        <v>34</v>
      </c>
      <c r="K848" s="38">
        <v>1120.982</v>
      </c>
      <c r="L848" s="42">
        <v>128211.72</v>
      </c>
      <c r="M848" s="37" t="s">
        <v>117</v>
      </c>
      <c r="N848" s="40">
        <v>324.40300000000002</v>
      </c>
      <c r="O848" s="38">
        <v>324.40314699999999</v>
      </c>
      <c r="P848" s="39"/>
      <c r="Q848" s="39"/>
      <c r="R848" s="40">
        <v>535.21699999999998</v>
      </c>
      <c r="S848" s="38">
        <v>531.925569</v>
      </c>
      <c r="T848" s="38">
        <v>1.943368</v>
      </c>
      <c r="U848" s="38">
        <v>1.3476969999999999</v>
      </c>
      <c r="V848" s="8">
        <f t="shared" si="13"/>
        <v>2023</v>
      </c>
    </row>
    <row r="849" spans="1:22" s="41" customFormat="1" ht="14.4" hidden="1" x14ac:dyDescent="0.3">
      <c r="A849" s="36">
        <v>45108</v>
      </c>
      <c r="B849" s="37" t="s">
        <v>23</v>
      </c>
      <c r="C849" s="37" t="s">
        <v>123</v>
      </c>
      <c r="D849" s="37" t="s">
        <v>66</v>
      </c>
      <c r="E849" s="37" t="s">
        <v>6</v>
      </c>
      <c r="F849" s="37" t="s">
        <v>140</v>
      </c>
      <c r="G849" s="37" t="s">
        <v>141</v>
      </c>
      <c r="H849" s="37" t="s">
        <v>130</v>
      </c>
      <c r="I849" s="37" t="s">
        <v>127</v>
      </c>
      <c r="J849" s="37" t="s">
        <v>34</v>
      </c>
      <c r="K849" s="38">
        <v>1072.9670000000001</v>
      </c>
      <c r="L849" s="42">
        <v>123984.61</v>
      </c>
      <c r="M849" s="37" t="s">
        <v>117</v>
      </c>
      <c r="N849" s="40">
        <v>310.50799999999998</v>
      </c>
      <c r="O849" s="38">
        <v>310.507993</v>
      </c>
      <c r="P849" s="39"/>
      <c r="Q849" s="39"/>
      <c r="R849" s="40">
        <v>512.29200000000003</v>
      </c>
      <c r="S849" s="38">
        <v>509.14161200000001</v>
      </c>
      <c r="T849" s="38">
        <v>1.860128</v>
      </c>
      <c r="U849" s="38">
        <v>1.289971</v>
      </c>
      <c r="V849" s="8">
        <f t="shared" si="13"/>
        <v>2023</v>
      </c>
    </row>
    <row r="850" spans="1:22" s="41" customFormat="1" ht="14.4" hidden="1" x14ac:dyDescent="0.3">
      <c r="A850" s="36">
        <v>45139</v>
      </c>
      <c r="B850" s="37" t="s">
        <v>23</v>
      </c>
      <c r="C850" s="37" t="s">
        <v>123</v>
      </c>
      <c r="D850" s="37" t="s">
        <v>66</v>
      </c>
      <c r="E850" s="37" t="s">
        <v>6</v>
      </c>
      <c r="F850" s="37" t="s">
        <v>140</v>
      </c>
      <c r="G850" s="37" t="s">
        <v>141</v>
      </c>
      <c r="H850" s="37" t="s">
        <v>130</v>
      </c>
      <c r="I850" s="37" t="s">
        <v>127</v>
      </c>
      <c r="J850" s="37" t="s">
        <v>34</v>
      </c>
      <c r="K850" s="38">
        <v>1129.1969999999999</v>
      </c>
      <c r="L850" s="42">
        <v>129137.85</v>
      </c>
      <c r="M850" s="37" t="s">
        <v>117</v>
      </c>
      <c r="N850" s="40">
        <v>326.78100000000001</v>
      </c>
      <c r="O850" s="38">
        <v>326.78050200000001</v>
      </c>
      <c r="P850" s="39"/>
      <c r="Q850" s="39"/>
      <c r="R850" s="40">
        <v>539.13900000000001</v>
      </c>
      <c r="S850" s="38">
        <v>535.82372999999995</v>
      </c>
      <c r="T850" s="38">
        <v>1.9576100000000001</v>
      </c>
      <c r="U850" s="38">
        <v>1.3575729999999999</v>
      </c>
      <c r="V850" s="8">
        <f t="shared" si="13"/>
        <v>2023</v>
      </c>
    </row>
    <row r="851" spans="1:22" s="41" customFormat="1" ht="14.4" hidden="1" x14ac:dyDescent="0.3">
      <c r="A851" s="36">
        <v>45170</v>
      </c>
      <c r="B851" s="37" t="s">
        <v>23</v>
      </c>
      <c r="C851" s="37" t="s">
        <v>123</v>
      </c>
      <c r="D851" s="37" t="s">
        <v>66</v>
      </c>
      <c r="E851" s="37" t="s">
        <v>6</v>
      </c>
      <c r="F851" s="37" t="s">
        <v>140</v>
      </c>
      <c r="G851" s="37" t="s">
        <v>141</v>
      </c>
      <c r="H851" s="37" t="s">
        <v>130</v>
      </c>
      <c r="I851" s="37" t="s">
        <v>127</v>
      </c>
      <c r="J851" s="37" t="s">
        <v>34</v>
      </c>
      <c r="K851" s="38">
        <v>1075.635</v>
      </c>
      <c r="L851" s="42">
        <v>122061.41</v>
      </c>
      <c r="M851" s="37" t="s">
        <v>117</v>
      </c>
      <c r="N851" s="40">
        <v>311.27999999999997</v>
      </c>
      <c r="O851" s="38">
        <v>311.28009100000003</v>
      </c>
      <c r="P851" s="39"/>
      <c r="Q851" s="39"/>
      <c r="R851" s="40">
        <v>513.56600000000003</v>
      </c>
      <c r="S851" s="38">
        <v>510.407624</v>
      </c>
      <c r="T851" s="38">
        <v>1.8647530000000001</v>
      </c>
      <c r="U851" s="38">
        <v>1.2931779999999999</v>
      </c>
      <c r="V851" s="8">
        <f t="shared" si="13"/>
        <v>2023</v>
      </c>
    </row>
    <row r="852" spans="1:22" s="41" customFormat="1" ht="14.4" hidden="1" x14ac:dyDescent="0.3">
      <c r="A852" s="36">
        <v>45200</v>
      </c>
      <c r="B852" s="37" t="s">
        <v>23</v>
      </c>
      <c r="C852" s="37" t="s">
        <v>123</v>
      </c>
      <c r="D852" s="37" t="s">
        <v>66</v>
      </c>
      <c r="E852" s="37" t="s">
        <v>6</v>
      </c>
      <c r="F852" s="37" t="s">
        <v>140</v>
      </c>
      <c r="G852" s="37" t="s">
        <v>141</v>
      </c>
      <c r="H852" s="37" t="s">
        <v>130</v>
      </c>
      <c r="I852" s="37" t="s">
        <v>127</v>
      </c>
      <c r="J852" s="37" t="s">
        <v>34</v>
      </c>
      <c r="K852" s="38">
        <v>1052.989</v>
      </c>
      <c r="L852" s="42">
        <v>123105.19</v>
      </c>
      <c r="M852" s="37" t="s">
        <v>117</v>
      </c>
      <c r="N852" s="40">
        <v>304.72699999999998</v>
      </c>
      <c r="O852" s="38">
        <v>304.72652099999999</v>
      </c>
      <c r="P852" s="39"/>
      <c r="Q852" s="39"/>
      <c r="R852" s="40">
        <v>502.75299999999999</v>
      </c>
      <c r="S852" s="38">
        <v>499.66170099999999</v>
      </c>
      <c r="T852" s="38">
        <v>1.825493</v>
      </c>
      <c r="U852" s="38">
        <v>1.265952</v>
      </c>
      <c r="V852" s="8">
        <f t="shared" si="13"/>
        <v>2023</v>
      </c>
    </row>
    <row r="853" spans="1:22" s="41" customFormat="1" ht="14.4" hidden="1" x14ac:dyDescent="0.3">
      <c r="A853" s="36">
        <v>45231</v>
      </c>
      <c r="B853" s="37" t="s">
        <v>23</v>
      </c>
      <c r="C853" s="37" t="s">
        <v>123</v>
      </c>
      <c r="D853" s="37" t="s">
        <v>66</v>
      </c>
      <c r="E853" s="37" t="s">
        <v>6</v>
      </c>
      <c r="F853" s="37" t="s">
        <v>140</v>
      </c>
      <c r="G853" s="37" t="s">
        <v>141</v>
      </c>
      <c r="H853" s="37" t="s">
        <v>130</v>
      </c>
      <c r="I853" s="37" t="s">
        <v>127</v>
      </c>
      <c r="J853" s="37" t="s">
        <v>34</v>
      </c>
      <c r="K853" s="38">
        <v>1202.5229999999999</v>
      </c>
      <c r="L853" s="42">
        <v>140043.66</v>
      </c>
      <c r="M853" s="37" t="s">
        <v>117</v>
      </c>
      <c r="N853" s="40">
        <v>348</v>
      </c>
      <c r="O853" s="38">
        <v>348.00045499999999</v>
      </c>
      <c r="P853" s="39"/>
      <c r="Q853" s="39"/>
      <c r="R853" s="40">
        <v>574.149</v>
      </c>
      <c r="S853" s="38">
        <v>570.6182</v>
      </c>
      <c r="T853" s="38">
        <v>2.08473</v>
      </c>
      <c r="U853" s="38">
        <v>1.445729</v>
      </c>
      <c r="V853" s="8">
        <f t="shared" si="13"/>
        <v>2023</v>
      </c>
    </row>
    <row r="854" spans="1:22" s="41" customFormat="1" ht="14.4" hidden="1" x14ac:dyDescent="0.3">
      <c r="A854" s="36">
        <v>45261</v>
      </c>
      <c r="B854" s="37" t="s">
        <v>23</v>
      </c>
      <c r="C854" s="37" t="s">
        <v>123</v>
      </c>
      <c r="D854" s="37" t="s">
        <v>66</v>
      </c>
      <c r="E854" s="37" t="s">
        <v>6</v>
      </c>
      <c r="F854" s="37" t="s">
        <v>140</v>
      </c>
      <c r="G854" s="37" t="s">
        <v>141</v>
      </c>
      <c r="H854" s="37" t="s">
        <v>130</v>
      </c>
      <c r="I854" s="37" t="s">
        <v>127</v>
      </c>
      <c r="J854" s="37" t="s">
        <v>34</v>
      </c>
      <c r="K854" s="38">
        <v>1212.3430000000001</v>
      </c>
      <c r="L854" s="42">
        <v>146107.89000000001</v>
      </c>
      <c r="M854" s="37" t="s">
        <v>117</v>
      </c>
      <c r="N854" s="40">
        <v>350.84199999999998</v>
      </c>
      <c r="O854" s="38">
        <v>350.84228300000001</v>
      </c>
      <c r="P854" s="39"/>
      <c r="Q854" s="39"/>
      <c r="R854" s="40">
        <v>578.83699999999999</v>
      </c>
      <c r="S854" s="38">
        <v>575.277962</v>
      </c>
      <c r="T854" s="38">
        <v>2.1017540000000001</v>
      </c>
      <c r="U854" s="38">
        <v>1.457535</v>
      </c>
      <c r="V854" s="8">
        <f t="shared" si="13"/>
        <v>2023</v>
      </c>
    </row>
    <row r="855" spans="1:22" s="41" customFormat="1" ht="14.4" hidden="1" x14ac:dyDescent="0.3">
      <c r="A855" s="36">
        <v>44896</v>
      </c>
      <c r="B855" s="37" t="s">
        <v>29</v>
      </c>
      <c r="C855" s="37" t="s">
        <v>123</v>
      </c>
      <c r="D855" s="37" t="s">
        <v>66</v>
      </c>
      <c r="E855" s="37" t="s">
        <v>7</v>
      </c>
      <c r="F855" s="37" t="s">
        <v>140</v>
      </c>
      <c r="G855" s="37" t="s">
        <v>141</v>
      </c>
      <c r="H855" s="37" t="s">
        <v>130</v>
      </c>
      <c r="I855" s="37" t="s">
        <v>127</v>
      </c>
      <c r="J855" s="37" t="s">
        <v>36</v>
      </c>
      <c r="K855" s="38">
        <v>0</v>
      </c>
      <c r="L855" s="42">
        <v>8.5</v>
      </c>
      <c r="M855" s="37" t="s">
        <v>117</v>
      </c>
      <c r="N855" s="40">
        <v>0</v>
      </c>
      <c r="O855" s="38">
        <v>0</v>
      </c>
      <c r="P855" s="39"/>
      <c r="Q855" s="39"/>
      <c r="R855" s="40">
        <v>0</v>
      </c>
      <c r="S855" s="38">
        <v>0</v>
      </c>
      <c r="T855" s="39"/>
      <c r="U855" s="39"/>
      <c r="V855" s="8">
        <f t="shared" si="13"/>
        <v>2022</v>
      </c>
    </row>
    <row r="856" spans="1:22" s="41" customFormat="1" ht="14.4" hidden="1" x14ac:dyDescent="0.3">
      <c r="A856" s="36">
        <v>44927</v>
      </c>
      <c r="B856" s="37" t="s">
        <v>29</v>
      </c>
      <c r="C856" s="37" t="s">
        <v>123</v>
      </c>
      <c r="D856" s="37" t="s">
        <v>66</v>
      </c>
      <c r="E856" s="37" t="s">
        <v>7</v>
      </c>
      <c r="F856" s="37" t="s">
        <v>140</v>
      </c>
      <c r="G856" s="37" t="s">
        <v>141</v>
      </c>
      <c r="H856" s="37" t="s">
        <v>130</v>
      </c>
      <c r="I856" s="37" t="s">
        <v>127</v>
      </c>
      <c r="J856" s="37" t="s">
        <v>36</v>
      </c>
      <c r="K856" s="38">
        <v>0</v>
      </c>
      <c r="L856" s="42">
        <v>8.5</v>
      </c>
      <c r="M856" s="37" t="s">
        <v>117</v>
      </c>
      <c r="N856" s="40">
        <v>0</v>
      </c>
      <c r="O856" s="38">
        <v>0</v>
      </c>
      <c r="P856" s="39"/>
      <c r="Q856" s="39"/>
      <c r="R856" s="40">
        <v>0</v>
      </c>
      <c r="S856" s="38">
        <v>0</v>
      </c>
      <c r="T856" s="39"/>
      <c r="U856" s="39"/>
      <c r="V856" s="8">
        <f t="shared" si="13"/>
        <v>2023</v>
      </c>
    </row>
    <row r="857" spans="1:22" s="41" customFormat="1" ht="14.4" hidden="1" x14ac:dyDescent="0.3">
      <c r="A857" s="36">
        <v>45200</v>
      </c>
      <c r="B857" s="37" t="s">
        <v>29</v>
      </c>
      <c r="C857" s="37" t="s">
        <v>123</v>
      </c>
      <c r="D857" s="37" t="s">
        <v>66</v>
      </c>
      <c r="E857" s="37" t="s">
        <v>7</v>
      </c>
      <c r="F857" s="37" t="s">
        <v>140</v>
      </c>
      <c r="G857" s="37" t="s">
        <v>141</v>
      </c>
      <c r="H857" s="37" t="s">
        <v>130</v>
      </c>
      <c r="I857" s="37" t="s">
        <v>127</v>
      </c>
      <c r="J857" s="37" t="s">
        <v>36</v>
      </c>
      <c r="K857" s="38">
        <v>0</v>
      </c>
      <c r="L857" s="42">
        <v>4415.8100000000004</v>
      </c>
      <c r="M857" s="37" t="s">
        <v>117</v>
      </c>
      <c r="N857" s="40">
        <v>0</v>
      </c>
      <c r="O857" s="38">
        <v>0</v>
      </c>
      <c r="P857" s="39"/>
      <c r="Q857" s="39"/>
      <c r="R857" s="40">
        <v>0</v>
      </c>
      <c r="S857" s="38">
        <v>0</v>
      </c>
      <c r="T857" s="39"/>
      <c r="U857" s="39"/>
      <c r="V857" s="8">
        <f t="shared" si="13"/>
        <v>2023</v>
      </c>
    </row>
    <row r="858" spans="1:22" s="41" customFormat="1" ht="14.4" hidden="1" x14ac:dyDescent="0.3">
      <c r="A858" s="36">
        <v>45231</v>
      </c>
      <c r="B858" s="37" t="s">
        <v>27</v>
      </c>
      <c r="C858" s="37" t="s">
        <v>123</v>
      </c>
      <c r="D858" s="37" t="s">
        <v>66</v>
      </c>
      <c r="E858" s="37" t="s">
        <v>7</v>
      </c>
      <c r="F858" s="37" t="s">
        <v>140</v>
      </c>
      <c r="G858" s="37" t="s">
        <v>141</v>
      </c>
      <c r="H858" s="37" t="s">
        <v>130</v>
      </c>
      <c r="I858" s="37" t="s">
        <v>127</v>
      </c>
      <c r="J858" s="37" t="s">
        <v>36</v>
      </c>
      <c r="K858" s="38">
        <v>16.782917999999999</v>
      </c>
      <c r="L858" s="42">
        <v>5519.1</v>
      </c>
      <c r="M858" s="37" t="s">
        <v>117</v>
      </c>
      <c r="N858" s="40">
        <v>8.7330000000000005</v>
      </c>
      <c r="O858" s="38">
        <v>8.7327340000000007</v>
      </c>
      <c r="P858" s="39"/>
      <c r="Q858" s="39"/>
      <c r="R858" s="40">
        <v>8.7330000000000005</v>
      </c>
      <c r="S858" s="38">
        <v>8.7327349999999999</v>
      </c>
      <c r="T858" s="39"/>
      <c r="U858" s="39"/>
      <c r="V858" s="8">
        <f t="shared" si="13"/>
        <v>2023</v>
      </c>
    </row>
    <row r="859" spans="1:22" s="41" customFormat="1" ht="14.4" hidden="1" x14ac:dyDescent="0.3">
      <c r="A859" s="36">
        <v>45231</v>
      </c>
      <c r="B859" s="37" t="s">
        <v>29</v>
      </c>
      <c r="C859" s="37" t="s">
        <v>123</v>
      </c>
      <c r="D859" s="37" t="s">
        <v>66</v>
      </c>
      <c r="E859" s="37" t="s">
        <v>7</v>
      </c>
      <c r="F859" s="37" t="s">
        <v>140</v>
      </c>
      <c r="G859" s="37" t="s">
        <v>141</v>
      </c>
      <c r="H859" s="37" t="s">
        <v>130</v>
      </c>
      <c r="I859" s="37" t="s">
        <v>127</v>
      </c>
      <c r="J859" s="37" t="s">
        <v>36</v>
      </c>
      <c r="K859" s="38">
        <v>0</v>
      </c>
      <c r="L859" s="42">
        <v>12862.14</v>
      </c>
      <c r="M859" s="37" t="s">
        <v>117</v>
      </c>
      <c r="N859" s="40">
        <v>0</v>
      </c>
      <c r="O859" s="38">
        <v>0</v>
      </c>
      <c r="P859" s="39"/>
      <c r="Q859" s="39"/>
      <c r="R859" s="40">
        <v>0</v>
      </c>
      <c r="S859" s="38">
        <v>0</v>
      </c>
      <c r="T859" s="39"/>
      <c r="U859" s="39"/>
      <c r="V859" s="8">
        <f t="shared" si="13"/>
        <v>2023</v>
      </c>
    </row>
    <row r="860" spans="1:22" s="41" customFormat="1" ht="14.4" hidden="1" x14ac:dyDescent="0.3">
      <c r="A860" s="36">
        <v>45261</v>
      </c>
      <c r="B860" s="37" t="s">
        <v>29</v>
      </c>
      <c r="C860" s="37" t="s">
        <v>123</v>
      </c>
      <c r="D860" s="37" t="s">
        <v>66</v>
      </c>
      <c r="E860" s="37" t="s">
        <v>7</v>
      </c>
      <c r="F860" s="37" t="s">
        <v>140</v>
      </c>
      <c r="G860" s="37" t="s">
        <v>141</v>
      </c>
      <c r="H860" s="37" t="s">
        <v>130</v>
      </c>
      <c r="I860" s="37" t="s">
        <v>127</v>
      </c>
      <c r="J860" s="37" t="s">
        <v>36</v>
      </c>
      <c r="K860" s="38">
        <v>0</v>
      </c>
      <c r="L860" s="42">
        <v>11192.56</v>
      </c>
      <c r="M860" s="37" t="s">
        <v>117</v>
      </c>
      <c r="N860" s="40">
        <v>0</v>
      </c>
      <c r="O860" s="38">
        <v>0</v>
      </c>
      <c r="P860" s="39"/>
      <c r="Q860" s="39"/>
      <c r="R860" s="40">
        <v>0</v>
      </c>
      <c r="S860" s="38">
        <v>0</v>
      </c>
      <c r="T860" s="39"/>
      <c r="U860" s="39"/>
      <c r="V860" s="8">
        <f t="shared" si="13"/>
        <v>2023</v>
      </c>
    </row>
    <row r="861" spans="1:22" s="41" customFormat="1" ht="20.399999999999999" hidden="1" x14ac:dyDescent="0.3">
      <c r="A861" s="36">
        <v>44562</v>
      </c>
      <c r="B861" s="37" t="s">
        <v>11</v>
      </c>
      <c r="C861" s="37" t="s">
        <v>123</v>
      </c>
      <c r="D861" s="37" t="s">
        <v>67</v>
      </c>
      <c r="E861" s="37" t="s">
        <v>5</v>
      </c>
      <c r="F861" s="37" t="s">
        <v>142</v>
      </c>
      <c r="G861" s="37" t="s">
        <v>143</v>
      </c>
      <c r="H861" s="37" t="s">
        <v>115</v>
      </c>
      <c r="I861" s="37" t="s">
        <v>116</v>
      </c>
      <c r="J861" s="37" t="s">
        <v>34</v>
      </c>
      <c r="K861" s="38">
        <v>0</v>
      </c>
      <c r="L861" s="39"/>
      <c r="M861" s="37"/>
      <c r="N861" s="40">
        <v>0</v>
      </c>
      <c r="O861" s="38">
        <v>0</v>
      </c>
      <c r="P861" s="38">
        <v>0</v>
      </c>
      <c r="Q861" s="38">
        <v>0</v>
      </c>
      <c r="R861" s="40">
        <v>0</v>
      </c>
      <c r="S861" s="38">
        <v>0</v>
      </c>
      <c r="T861" s="38">
        <v>0</v>
      </c>
      <c r="U861" s="38">
        <v>0</v>
      </c>
      <c r="V861" s="8">
        <f t="shared" si="13"/>
        <v>2022</v>
      </c>
    </row>
    <row r="862" spans="1:22" s="41" customFormat="1" ht="20.399999999999999" hidden="1" x14ac:dyDescent="0.3">
      <c r="A862" s="36">
        <v>44562</v>
      </c>
      <c r="B862" s="37" t="s">
        <v>19</v>
      </c>
      <c r="C862" s="37" t="s">
        <v>123</v>
      </c>
      <c r="D862" s="37" t="s">
        <v>67</v>
      </c>
      <c r="E862" s="37" t="s">
        <v>5</v>
      </c>
      <c r="F862" s="37" t="s">
        <v>142</v>
      </c>
      <c r="G862" s="37" t="s">
        <v>143</v>
      </c>
      <c r="H862" s="37" t="s">
        <v>115</v>
      </c>
      <c r="I862" s="37" t="s">
        <v>116</v>
      </c>
      <c r="J862" s="37" t="s">
        <v>34</v>
      </c>
      <c r="K862" s="38">
        <v>39.722999999999999</v>
      </c>
      <c r="L862" s="39"/>
      <c r="M862" s="37"/>
      <c r="N862" s="40">
        <v>7.2</v>
      </c>
      <c r="O862" s="38">
        <v>7.1917790000000004</v>
      </c>
      <c r="P862" s="38">
        <v>3.7000000000000002E-3</v>
      </c>
      <c r="Q862" s="38">
        <v>4.0390000000000001E-3</v>
      </c>
      <c r="R862" s="40">
        <v>7.2</v>
      </c>
      <c r="S862" s="38">
        <v>7.1917790000000004</v>
      </c>
      <c r="T862" s="38">
        <v>3.7000000000000002E-3</v>
      </c>
      <c r="U862" s="38">
        <v>4.0390000000000001E-3</v>
      </c>
      <c r="V862" s="8">
        <f t="shared" si="13"/>
        <v>2022</v>
      </c>
    </row>
    <row r="863" spans="1:22" s="41" customFormat="1" ht="20.399999999999999" hidden="1" x14ac:dyDescent="0.3">
      <c r="A863" s="36">
        <v>44562</v>
      </c>
      <c r="B863" s="37" t="s">
        <v>20</v>
      </c>
      <c r="C863" s="37" t="s">
        <v>123</v>
      </c>
      <c r="D863" s="37" t="s">
        <v>67</v>
      </c>
      <c r="E863" s="37" t="s">
        <v>5</v>
      </c>
      <c r="F863" s="37" t="s">
        <v>142</v>
      </c>
      <c r="G863" s="37" t="s">
        <v>143</v>
      </c>
      <c r="H863" s="37" t="s">
        <v>115</v>
      </c>
      <c r="I863" s="37" t="s">
        <v>116</v>
      </c>
      <c r="J863" s="37" t="s">
        <v>34</v>
      </c>
      <c r="K863" s="38">
        <v>0</v>
      </c>
      <c r="L863" s="39"/>
      <c r="M863" s="37"/>
      <c r="N863" s="40">
        <v>0</v>
      </c>
      <c r="O863" s="38">
        <v>0</v>
      </c>
      <c r="P863" s="38">
        <v>0</v>
      </c>
      <c r="Q863" s="38">
        <v>0</v>
      </c>
      <c r="R863" s="39" t="s">
        <v>117</v>
      </c>
      <c r="S863" s="39"/>
      <c r="T863" s="39"/>
      <c r="U863" s="39"/>
      <c r="V863" s="8">
        <f t="shared" si="13"/>
        <v>2022</v>
      </c>
    </row>
    <row r="864" spans="1:22" s="41" customFormat="1" ht="20.399999999999999" hidden="1" x14ac:dyDescent="0.3">
      <c r="A864" s="36">
        <v>44593</v>
      </c>
      <c r="B864" s="37" t="s">
        <v>11</v>
      </c>
      <c r="C864" s="37" t="s">
        <v>123</v>
      </c>
      <c r="D864" s="37" t="s">
        <v>67</v>
      </c>
      <c r="E864" s="37" t="s">
        <v>5</v>
      </c>
      <c r="F864" s="37" t="s">
        <v>142</v>
      </c>
      <c r="G864" s="37" t="s">
        <v>143</v>
      </c>
      <c r="H864" s="37" t="s">
        <v>115</v>
      </c>
      <c r="I864" s="37" t="s">
        <v>116</v>
      </c>
      <c r="J864" s="37" t="s">
        <v>34</v>
      </c>
      <c r="K864" s="38">
        <v>0</v>
      </c>
      <c r="L864" s="39"/>
      <c r="M864" s="37"/>
      <c r="N864" s="40">
        <v>0</v>
      </c>
      <c r="O864" s="38">
        <v>0</v>
      </c>
      <c r="P864" s="38">
        <v>0</v>
      </c>
      <c r="Q864" s="38">
        <v>0</v>
      </c>
      <c r="R864" s="40">
        <v>0</v>
      </c>
      <c r="S864" s="38">
        <v>0</v>
      </c>
      <c r="T864" s="38">
        <v>0</v>
      </c>
      <c r="U864" s="38">
        <v>0</v>
      </c>
      <c r="V864" s="8">
        <f t="shared" si="13"/>
        <v>2022</v>
      </c>
    </row>
    <row r="865" spans="1:22" s="41" customFormat="1" ht="20.399999999999999" hidden="1" x14ac:dyDescent="0.3">
      <c r="A865" s="36">
        <v>44593</v>
      </c>
      <c r="B865" s="37" t="s">
        <v>19</v>
      </c>
      <c r="C865" s="37" t="s">
        <v>123</v>
      </c>
      <c r="D865" s="37" t="s">
        <v>67</v>
      </c>
      <c r="E865" s="37" t="s">
        <v>5</v>
      </c>
      <c r="F865" s="37" t="s">
        <v>142</v>
      </c>
      <c r="G865" s="37" t="s">
        <v>143</v>
      </c>
      <c r="H865" s="37" t="s">
        <v>115</v>
      </c>
      <c r="I865" s="37" t="s">
        <v>116</v>
      </c>
      <c r="J865" s="37" t="s">
        <v>34</v>
      </c>
      <c r="K865" s="38">
        <v>39.722999999999999</v>
      </c>
      <c r="L865" s="39"/>
      <c r="M865" s="37"/>
      <c r="N865" s="40">
        <v>7.2</v>
      </c>
      <c r="O865" s="38">
        <v>7.1917790000000004</v>
      </c>
      <c r="P865" s="38">
        <v>3.7000000000000002E-3</v>
      </c>
      <c r="Q865" s="38">
        <v>4.0390000000000001E-3</v>
      </c>
      <c r="R865" s="40">
        <v>7.2</v>
      </c>
      <c r="S865" s="38">
        <v>7.1917790000000004</v>
      </c>
      <c r="T865" s="38">
        <v>3.7000000000000002E-3</v>
      </c>
      <c r="U865" s="38">
        <v>4.0390000000000001E-3</v>
      </c>
      <c r="V865" s="8">
        <f t="shared" si="13"/>
        <v>2022</v>
      </c>
    </row>
    <row r="866" spans="1:22" s="41" customFormat="1" ht="20.399999999999999" hidden="1" x14ac:dyDescent="0.3">
      <c r="A866" s="36">
        <v>44593</v>
      </c>
      <c r="B866" s="37" t="s">
        <v>20</v>
      </c>
      <c r="C866" s="37" t="s">
        <v>123</v>
      </c>
      <c r="D866" s="37" t="s">
        <v>67</v>
      </c>
      <c r="E866" s="37" t="s">
        <v>5</v>
      </c>
      <c r="F866" s="37" t="s">
        <v>142</v>
      </c>
      <c r="G866" s="37" t="s">
        <v>143</v>
      </c>
      <c r="H866" s="37" t="s">
        <v>115</v>
      </c>
      <c r="I866" s="37" t="s">
        <v>116</v>
      </c>
      <c r="J866" s="37" t="s">
        <v>34</v>
      </c>
      <c r="K866" s="38">
        <v>0</v>
      </c>
      <c r="L866" s="39"/>
      <c r="M866" s="37"/>
      <c r="N866" s="40">
        <v>0</v>
      </c>
      <c r="O866" s="38">
        <v>0</v>
      </c>
      <c r="P866" s="38">
        <v>0</v>
      </c>
      <c r="Q866" s="38">
        <v>0</v>
      </c>
      <c r="R866" s="39" t="s">
        <v>117</v>
      </c>
      <c r="S866" s="39"/>
      <c r="T866" s="39"/>
      <c r="U866" s="39"/>
      <c r="V866" s="8">
        <f t="shared" si="13"/>
        <v>2022</v>
      </c>
    </row>
    <row r="867" spans="1:22" s="41" customFormat="1" ht="20.399999999999999" hidden="1" x14ac:dyDescent="0.3">
      <c r="A867" s="36">
        <v>44621</v>
      </c>
      <c r="B867" s="37" t="s">
        <v>11</v>
      </c>
      <c r="C867" s="37" t="s">
        <v>123</v>
      </c>
      <c r="D867" s="37" t="s">
        <v>67</v>
      </c>
      <c r="E867" s="37" t="s">
        <v>5</v>
      </c>
      <c r="F867" s="37" t="s">
        <v>142</v>
      </c>
      <c r="G867" s="37" t="s">
        <v>143</v>
      </c>
      <c r="H867" s="37" t="s">
        <v>115</v>
      </c>
      <c r="I867" s="37" t="s">
        <v>116</v>
      </c>
      <c r="J867" s="37" t="s">
        <v>34</v>
      </c>
      <c r="K867" s="38">
        <v>0</v>
      </c>
      <c r="L867" s="39"/>
      <c r="M867" s="37"/>
      <c r="N867" s="40">
        <v>0</v>
      </c>
      <c r="O867" s="38">
        <v>0</v>
      </c>
      <c r="P867" s="38">
        <v>0</v>
      </c>
      <c r="Q867" s="38">
        <v>0</v>
      </c>
      <c r="R867" s="40">
        <v>0</v>
      </c>
      <c r="S867" s="38">
        <v>0</v>
      </c>
      <c r="T867" s="38">
        <v>0</v>
      </c>
      <c r="U867" s="38">
        <v>0</v>
      </c>
      <c r="V867" s="8">
        <f t="shared" si="13"/>
        <v>2022</v>
      </c>
    </row>
    <row r="868" spans="1:22" s="41" customFormat="1" ht="20.399999999999999" hidden="1" x14ac:dyDescent="0.3">
      <c r="A868" s="36">
        <v>44621</v>
      </c>
      <c r="B868" s="37" t="s">
        <v>19</v>
      </c>
      <c r="C868" s="37" t="s">
        <v>123</v>
      </c>
      <c r="D868" s="37" t="s">
        <v>67</v>
      </c>
      <c r="E868" s="37" t="s">
        <v>5</v>
      </c>
      <c r="F868" s="37" t="s">
        <v>142</v>
      </c>
      <c r="G868" s="37" t="s">
        <v>143</v>
      </c>
      <c r="H868" s="37" t="s">
        <v>115</v>
      </c>
      <c r="I868" s="37" t="s">
        <v>116</v>
      </c>
      <c r="J868" s="37" t="s">
        <v>34</v>
      </c>
      <c r="K868" s="38">
        <v>39.722999999999999</v>
      </c>
      <c r="L868" s="39"/>
      <c r="M868" s="37"/>
      <c r="N868" s="40">
        <v>7.2</v>
      </c>
      <c r="O868" s="38">
        <v>7.1917790000000004</v>
      </c>
      <c r="P868" s="38">
        <v>3.7000000000000002E-3</v>
      </c>
      <c r="Q868" s="38">
        <v>4.0390000000000001E-3</v>
      </c>
      <c r="R868" s="40">
        <v>7.2</v>
      </c>
      <c r="S868" s="38">
        <v>7.1917790000000004</v>
      </c>
      <c r="T868" s="38">
        <v>3.7000000000000002E-3</v>
      </c>
      <c r="U868" s="38">
        <v>4.0390000000000001E-3</v>
      </c>
      <c r="V868" s="8">
        <f t="shared" si="13"/>
        <v>2022</v>
      </c>
    </row>
    <row r="869" spans="1:22" s="41" customFormat="1" ht="20.399999999999999" hidden="1" x14ac:dyDescent="0.3">
      <c r="A869" s="36">
        <v>44621</v>
      </c>
      <c r="B869" s="37" t="s">
        <v>20</v>
      </c>
      <c r="C869" s="37" t="s">
        <v>123</v>
      </c>
      <c r="D869" s="37" t="s">
        <v>67</v>
      </c>
      <c r="E869" s="37" t="s">
        <v>5</v>
      </c>
      <c r="F869" s="37" t="s">
        <v>142</v>
      </c>
      <c r="G869" s="37" t="s">
        <v>143</v>
      </c>
      <c r="H869" s="37" t="s">
        <v>115</v>
      </c>
      <c r="I869" s="37" t="s">
        <v>116</v>
      </c>
      <c r="J869" s="37" t="s">
        <v>34</v>
      </c>
      <c r="K869" s="38">
        <v>0</v>
      </c>
      <c r="L869" s="39"/>
      <c r="M869" s="37"/>
      <c r="N869" s="40">
        <v>0</v>
      </c>
      <c r="O869" s="38">
        <v>0</v>
      </c>
      <c r="P869" s="38">
        <v>0</v>
      </c>
      <c r="Q869" s="38">
        <v>0</v>
      </c>
      <c r="R869" s="39" t="s">
        <v>117</v>
      </c>
      <c r="S869" s="39"/>
      <c r="T869" s="39"/>
      <c r="U869" s="39"/>
      <c r="V869" s="8">
        <f t="shared" si="13"/>
        <v>2022</v>
      </c>
    </row>
    <row r="870" spans="1:22" s="41" customFormat="1" ht="20.399999999999999" hidden="1" x14ac:dyDescent="0.3">
      <c r="A870" s="36">
        <v>44652</v>
      </c>
      <c r="B870" s="37" t="s">
        <v>11</v>
      </c>
      <c r="C870" s="37" t="s">
        <v>123</v>
      </c>
      <c r="D870" s="37" t="s">
        <v>67</v>
      </c>
      <c r="E870" s="37" t="s">
        <v>5</v>
      </c>
      <c r="F870" s="37" t="s">
        <v>142</v>
      </c>
      <c r="G870" s="37" t="s">
        <v>143</v>
      </c>
      <c r="H870" s="37" t="s">
        <v>115</v>
      </c>
      <c r="I870" s="37" t="s">
        <v>116</v>
      </c>
      <c r="J870" s="37" t="s">
        <v>34</v>
      </c>
      <c r="K870" s="38">
        <v>0</v>
      </c>
      <c r="L870" s="39"/>
      <c r="M870" s="37"/>
      <c r="N870" s="40">
        <v>0</v>
      </c>
      <c r="O870" s="38">
        <v>0</v>
      </c>
      <c r="P870" s="38">
        <v>0</v>
      </c>
      <c r="Q870" s="38">
        <v>0</v>
      </c>
      <c r="R870" s="40">
        <v>0</v>
      </c>
      <c r="S870" s="38">
        <v>0</v>
      </c>
      <c r="T870" s="38">
        <v>0</v>
      </c>
      <c r="U870" s="38">
        <v>0</v>
      </c>
      <c r="V870" s="8">
        <f t="shared" si="13"/>
        <v>2022</v>
      </c>
    </row>
    <row r="871" spans="1:22" s="41" customFormat="1" ht="20.399999999999999" hidden="1" x14ac:dyDescent="0.3">
      <c r="A871" s="36">
        <v>44652</v>
      </c>
      <c r="B871" s="37" t="s">
        <v>19</v>
      </c>
      <c r="C871" s="37" t="s">
        <v>123</v>
      </c>
      <c r="D871" s="37" t="s">
        <v>67</v>
      </c>
      <c r="E871" s="37" t="s">
        <v>5</v>
      </c>
      <c r="F871" s="37" t="s">
        <v>142</v>
      </c>
      <c r="G871" s="37" t="s">
        <v>143</v>
      </c>
      <c r="H871" s="37" t="s">
        <v>115</v>
      </c>
      <c r="I871" s="37" t="s">
        <v>116</v>
      </c>
      <c r="J871" s="37" t="s">
        <v>34</v>
      </c>
      <c r="K871" s="38">
        <v>39.722999999999999</v>
      </c>
      <c r="L871" s="39"/>
      <c r="M871" s="37"/>
      <c r="N871" s="40">
        <v>7.2</v>
      </c>
      <c r="O871" s="38">
        <v>7.1917790000000004</v>
      </c>
      <c r="P871" s="38">
        <v>3.7000000000000002E-3</v>
      </c>
      <c r="Q871" s="38">
        <v>4.0390000000000001E-3</v>
      </c>
      <c r="R871" s="40">
        <v>7.2</v>
      </c>
      <c r="S871" s="38">
        <v>7.1917790000000004</v>
      </c>
      <c r="T871" s="38">
        <v>3.7000000000000002E-3</v>
      </c>
      <c r="U871" s="38">
        <v>4.0390000000000001E-3</v>
      </c>
      <c r="V871" s="8">
        <f t="shared" si="13"/>
        <v>2022</v>
      </c>
    </row>
    <row r="872" spans="1:22" s="41" customFormat="1" ht="20.399999999999999" hidden="1" x14ac:dyDescent="0.3">
      <c r="A872" s="36">
        <v>44652</v>
      </c>
      <c r="B872" s="37" t="s">
        <v>20</v>
      </c>
      <c r="C872" s="37" t="s">
        <v>123</v>
      </c>
      <c r="D872" s="37" t="s">
        <v>67</v>
      </c>
      <c r="E872" s="37" t="s">
        <v>5</v>
      </c>
      <c r="F872" s="37" t="s">
        <v>142</v>
      </c>
      <c r="G872" s="37" t="s">
        <v>143</v>
      </c>
      <c r="H872" s="37" t="s">
        <v>115</v>
      </c>
      <c r="I872" s="37" t="s">
        <v>116</v>
      </c>
      <c r="J872" s="37" t="s">
        <v>34</v>
      </c>
      <c r="K872" s="38">
        <v>0</v>
      </c>
      <c r="L872" s="39"/>
      <c r="M872" s="37"/>
      <c r="N872" s="40">
        <v>0</v>
      </c>
      <c r="O872" s="38">
        <v>0</v>
      </c>
      <c r="P872" s="38">
        <v>0</v>
      </c>
      <c r="Q872" s="38">
        <v>0</v>
      </c>
      <c r="R872" s="39" t="s">
        <v>117</v>
      </c>
      <c r="S872" s="39"/>
      <c r="T872" s="39"/>
      <c r="U872" s="39"/>
      <c r="V872" s="8">
        <f t="shared" si="13"/>
        <v>2022</v>
      </c>
    </row>
    <row r="873" spans="1:22" s="41" customFormat="1" ht="20.399999999999999" hidden="1" x14ac:dyDescent="0.3">
      <c r="A873" s="36">
        <v>44682</v>
      </c>
      <c r="B873" s="37" t="s">
        <v>11</v>
      </c>
      <c r="C873" s="37" t="s">
        <v>123</v>
      </c>
      <c r="D873" s="37" t="s">
        <v>67</v>
      </c>
      <c r="E873" s="37" t="s">
        <v>5</v>
      </c>
      <c r="F873" s="37" t="s">
        <v>142</v>
      </c>
      <c r="G873" s="37" t="s">
        <v>143</v>
      </c>
      <c r="H873" s="37" t="s">
        <v>115</v>
      </c>
      <c r="I873" s="37" t="s">
        <v>116</v>
      </c>
      <c r="J873" s="37" t="s">
        <v>34</v>
      </c>
      <c r="K873" s="38">
        <v>0</v>
      </c>
      <c r="L873" s="39"/>
      <c r="M873" s="37"/>
      <c r="N873" s="40">
        <v>0</v>
      </c>
      <c r="O873" s="38">
        <v>0</v>
      </c>
      <c r="P873" s="38">
        <v>0</v>
      </c>
      <c r="Q873" s="38">
        <v>0</v>
      </c>
      <c r="R873" s="40">
        <v>0</v>
      </c>
      <c r="S873" s="38">
        <v>0</v>
      </c>
      <c r="T873" s="38">
        <v>0</v>
      </c>
      <c r="U873" s="38">
        <v>0</v>
      </c>
      <c r="V873" s="8">
        <f t="shared" si="13"/>
        <v>2022</v>
      </c>
    </row>
    <row r="874" spans="1:22" s="41" customFormat="1" ht="20.399999999999999" hidden="1" x14ac:dyDescent="0.3">
      <c r="A874" s="36">
        <v>44682</v>
      </c>
      <c r="B874" s="37" t="s">
        <v>19</v>
      </c>
      <c r="C874" s="37" t="s">
        <v>123</v>
      </c>
      <c r="D874" s="37" t="s">
        <v>67</v>
      </c>
      <c r="E874" s="37" t="s">
        <v>5</v>
      </c>
      <c r="F874" s="37" t="s">
        <v>142</v>
      </c>
      <c r="G874" s="37" t="s">
        <v>143</v>
      </c>
      <c r="H874" s="37" t="s">
        <v>115</v>
      </c>
      <c r="I874" s="37" t="s">
        <v>116</v>
      </c>
      <c r="J874" s="37" t="s">
        <v>34</v>
      </c>
      <c r="K874" s="38">
        <v>39.722999999999999</v>
      </c>
      <c r="L874" s="39"/>
      <c r="M874" s="37"/>
      <c r="N874" s="40">
        <v>7.2</v>
      </c>
      <c r="O874" s="38">
        <v>7.1917790000000004</v>
      </c>
      <c r="P874" s="38">
        <v>3.7000000000000002E-3</v>
      </c>
      <c r="Q874" s="38">
        <v>4.0390000000000001E-3</v>
      </c>
      <c r="R874" s="40">
        <v>7.2</v>
      </c>
      <c r="S874" s="38">
        <v>7.1917790000000004</v>
      </c>
      <c r="T874" s="38">
        <v>3.7000000000000002E-3</v>
      </c>
      <c r="U874" s="38">
        <v>4.0390000000000001E-3</v>
      </c>
      <c r="V874" s="8">
        <f t="shared" si="13"/>
        <v>2022</v>
      </c>
    </row>
    <row r="875" spans="1:22" s="41" customFormat="1" ht="20.399999999999999" hidden="1" x14ac:dyDescent="0.3">
      <c r="A875" s="36">
        <v>44682</v>
      </c>
      <c r="B875" s="37" t="s">
        <v>20</v>
      </c>
      <c r="C875" s="37" t="s">
        <v>123</v>
      </c>
      <c r="D875" s="37" t="s">
        <v>67</v>
      </c>
      <c r="E875" s="37" t="s">
        <v>5</v>
      </c>
      <c r="F875" s="37" t="s">
        <v>142</v>
      </c>
      <c r="G875" s="37" t="s">
        <v>143</v>
      </c>
      <c r="H875" s="37" t="s">
        <v>115</v>
      </c>
      <c r="I875" s="37" t="s">
        <v>116</v>
      </c>
      <c r="J875" s="37" t="s">
        <v>34</v>
      </c>
      <c r="K875" s="38">
        <v>0</v>
      </c>
      <c r="L875" s="39"/>
      <c r="M875" s="37"/>
      <c r="N875" s="40">
        <v>0</v>
      </c>
      <c r="O875" s="38">
        <v>0</v>
      </c>
      <c r="P875" s="38">
        <v>0</v>
      </c>
      <c r="Q875" s="38">
        <v>0</v>
      </c>
      <c r="R875" s="39" t="s">
        <v>117</v>
      </c>
      <c r="S875" s="39"/>
      <c r="T875" s="39"/>
      <c r="U875" s="39"/>
      <c r="V875" s="8">
        <f t="shared" si="13"/>
        <v>2022</v>
      </c>
    </row>
    <row r="876" spans="1:22" s="41" customFormat="1" ht="20.399999999999999" hidden="1" x14ac:dyDescent="0.3">
      <c r="A876" s="36">
        <v>44713</v>
      </c>
      <c r="B876" s="37" t="s">
        <v>11</v>
      </c>
      <c r="C876" s="37" t="s">
        <v>123</v>
      </c>
      <c r="D876" s="37" t="s">
        <v>67</v>
      </c>
      <c r="E876" s="37" t="s">
        <v>5</v>
      </c>
      <c r="F876" s="37" t="s">
        <v>142</v>
      </c>
      <c r="G876" s="37" t="s">
        <v>143</v>
      </c>
      <c r="H876" s="37" t="s">
        <v>115</v>
      </c>
      <c r="I876" s="37" t="s">
        <v>116</v>
      </c>
      <c r="J876" s="37" t="s">
        <v>34</v>
      </c>
      <c r="K876" s="38">
        <v>0</v>
      </c>
      <c r="L876" s="39"/>
      <c r="M876" s="37"/>
      <c r="N876" s="40">
        <v>0</v>
      </c>
      <c r="O876" s="38">
        <v>0</v>
      </c>
      <c r="P876" s="38">
        <v>0</v>
      </c>
      <c r="Q876" s="38">
        <v>0</v>
      </c>
      <c r="R876" s="40">
        <v>0</v>
      </c>
      <c r="S876" s="38">
        <v>0</v>
      </c>
      <c r="T876" s="38">
        <v>0</v>
      </c>
      <c r="U876" s="38">
        <v>0</v>
      </c>
      <c r="V876" s="8">
        <f t="shared" si="13"/>
        <v>2022</v>
      </c>
    </row>
    <row r="877" spans="1:22" s="41" customFormat="1" ht="20.399999999999999" hidden="1" x14ac:dyDescent="0.3">
      <c r="A877" s="36">
        <v>44713</v>
      </c>
      <c r="B877" s="37" t="s">
        <v>19</v>
      </c>
      <c r="C877" s="37" t="s">
        <v>123</v>
      </c>
      <c r="D877" s="37" t="s">
        <v>67</v>
      </c>
      <c r="E877" s="37" t="s">
        <v>5</v>
      </c>
      <c r="F877" s="37" t="s">
        <v>142</v>
      </c>
      <c r="G877" s="37" t="s">
        <v>143</v>
      </c>
      <c r="H877" s="37" t="s">
        <v>115</v>
      </c>
      <c r="I877" s="37" t="s">
        <v>116</v>
      </c>
      <c r="J877" s="37" t="s">
        <v>34</v>
      </c>
      <c r="K877" s="38">
        <v>39.722999999999999</v>
      </c>
      <c r="L877" s="39"/>
      <c r="M877" s="37"/>
      <c r="N877" s="40">
        <v>7.2</v>
      </c>
      <c r="O877" s="38">
        <v>7.1917790000000004</v>
      </c>
      <c r="P877" s="38">
        <v>3.7000000000000002E-3</v>
      </c>
      <c r="Q877" s="38">
        <v>4.0390000000000001E-3</v>
      </c>
      <c r="R877" s="40">
        <v>7.2</v>
      </c>
      <c r="S877" s="38">
        <v>7.1917790000000004</v>
      </c>
      <c r="T877" s="38">
        <v>3.7000000000000002E-3</v>
      </c>
      <c r="U877" s="38">
        <v>4.0390000000000001E-3</v>
      </c>
      <c r="V877" s="8">
        <f t="shared" si="13"/>
        <v>2022</v>
      </c>
    </row>
    <row r="878" spans="1:22" s="41" customFormat="1" ht="20.399999999999999" hidden="1" x14ac:dyDescent="0.3">
      <c r="A878" s="36">
        <v>44713</v>
      </c>
      <c r="B878" s="37" t="s">
        <v>20</v>
      </c>
      <c r="C878" s="37" t="s">
        <v>123</v>
      </c>
      <c r="D878" s="37" t="s">
        <v>67</v>
      </c>
      <c r="E878" s="37" t="s">
        <v>5</v>
      </c>
      <c r="F878" s="37" t="s">
        <v>142</v>
      </c>
      <c r="G878" s="37" t="s">
        <v>143</v>
      </c>
      <c r="H878" s="37" t="s">
        <v>115</v>
      </c>
      <c r="I878" s="37" t="s">
        <v>116</v>
      </c>
      <c r="J878" s="37" t="s">
        <v>34</v>
      </c>
      <c r="K878" s="38">
        <v>0</v>
      </c>
      <c r="L878" s="39"/>
      <c r="M878" s="37"/>
      <c r="N878" s="40">
        <v>0</v>
      </c>
      <c r="O878" s="38">
        <v>0</v>
      </c>
      <c r="P878" s="38">
        <v>0</v>
      </c>
      <c r="Q878" s="38">
        <v>0</v>
      </c>
      <c r="R878" s="39" t="s">
        <v>117</v>
      </c>
      <c r="S878" s="39"/>
      <c r="T878" s="39"/>
      <c r="U878" s="39"/>
      <c r="V878" s="8">
        <f t="shared" si="13"/>
        <v>2022</v>
      </c>
    </row>
    <row r="879" spans="1:22" s="41" customFormat="1" ht="20.399999999999999" hidden="1" x14ac:dyDescent="0.3">
      <c r="A879" s="36">
        <v>44743</v>
      </c>
      <c r="B879" s="37" t="s">
        <v>11</v>
      </c>
      <c r="C879" s="37" t="s">
        <v>123</v>
      </c>
      <c r="D879" s="37" t="s">
        <v>67</v>
      </c>
      <c r="E879" s="37" t="s">
        <v>5</v>
      </c>
      <c r="F879" s="37" t="s">
        <v>142</v>
      </c>
      <c r="G879" s="37" t="s">
        <v>143</v>
      </c>
      <c r="H879" s="37" t="s">
        <v>115</v>
      </c>
      <c r="I879" s="37" t="s">
        <v>116</v>
      </c>
      <c r="J879" s="37" t="s">
        <v>34</v>
      </c>
      <c r="K879" s="38">
        <v>0</v>
      </c>
      <c r="L879" s="39"/>
      <c r="M879" s="37"/>
      <c r="N879" s="40">
        <v>0</v>
      </c>
      <c r="O879" s="38">
        <v>0</v>
      </c>
      <c r="P879" s="38">
        <v>0</v>
      </c>
      <c r="Q879" s="38">
        <v>0</v>
      </c>
      <c r="R879" s="40">
        <v>0</v>
      </c>
      <c r="S879" s="38">
        <v>0</v>
      </c>
      <c r="T879" s="38">
        <v>0</v>
      </c>
      <c r="U879" s="38">
        <v>0</v>
      </c>
      <c r="V879" s="8">
        <f t="shared" si="13"/>
        <v>2022</v>
      </c>
    </row>
    <row r="880" spans="1:22" s="41" customFormat="1" ht="20.399999999999999" hidden="1" x14ac:dyDescent="0.3">
      <c r="A880" s="36">
        <v>44743</v>
      </c>
      <c r="B880" s="37" t="s">
        <v>19</v>
      </c>
      <c r="C880" s="37" t="s">
        <v>123</v>
      </c>
      <c r="D880" s="37" t="s">
        <v>67</v>
      </c>
      <c r="E880" s="37" t="s">
        <v>5</v>
      </c>
      <c r="F880" s="37" t="s">
        <v>142</v>
      </c>
      <c r="G880" s="37" t="s">
        <v>143</v>
      </c>
      <c r="H880" s="37" t="s">
        <v>115</v>
      </c>
      <c r="I880" s="37" t="s">
        <v>116</v>
      </c>
      <c r="J880" s="37" t="s">
        <v>34</v>
      </c>
      <c r="K880" s="38">
        <v>39.722999999999999</v>
      </c>
      <c r="L880" s="39"/>
      <c r="M880" s="37"/>
      <c r="N880" s="40">
        <v>7.2</v>
      </c>
      <c r="O880" s="38">
        <v>7.1917790000000004</v>
      </c>
      <c r="P880" s="38">
        <v>3.7000000000000002E-3</v>
      </c>
      <c r="Q880" s="38">
        <v>4.0390000000000001E-3</v>
      </c>
      <c r="R880" s="40">
        <v>7.2</v>
      </c>
      <c r="S880" s="38">
        <v>7.1917790000000004</v>
      </c>
      <c r="T880" s="38">
        <v>3.7000000000000002E-3</v>
      </c>
      <c r="U880" s="38">
        <v>4.0390000000000001E-3</v>
      </c>
      <c r="V880" s="8">
        <f t="shared" si="13"/>
        <v>2022</v>
      </c>
    </row>
    <row r="881" spans="1:22" s="41" customFormat="1" ht="20.399999999999999" hidden="1" x14ac:dyDescent="0.3">
      <c r="A881" s="36">
        <v>44743</v>
      </c>
      <c r="B881" s="37" t="s">
        <v>20</v>
      </c>
      <c r="C881" s="37" t="s">
        <v>123</v>
      </c>
      <c r="D881" s="37" t="s">
        <v>67</v>
      </c>
      <c r="E881" s="37" t="s">
        <v>5</v>
      </c>
      <c r="F881" s="37" t="s">
        <v>142</v>
      </c>
      <c r="G881" s="37" t="s">
        <v>143</v>
      </c>
      <c r="H881" s="37" t="s">
        <v>115</v>
      </c>
      <c r="I881" s="37" t="s">
        <v>116</v>
      </c>
      <c r="J881" s="37" t="s">
        <v>34</v>
      </c>
      <c r="K881" s="38">
        <v>0</v>
      </c>
      <c r="L881" s="39"/>
      <c r="M881" s="37"/>
      <c r="N881" s="40">
        <v>0</v>
      </c>
      <c r="O881" s="38">
        <v>0</v>
      </c>
      <c r="P881" s="38">
        <v>0</v>
      </c>
      <c r="Q881" s="38">
        <v>0</v>
      </c>
      <c r="R881" s="39" t="s">
        <v>117</v>
      </c>
      <c r="S881" s="39"/>
      <c r="T881" s="39"/>
      <c r="U881" s="39"/>
      <c r="V881" s="8">
        <f t="shared" si="13"/>
        <v>2022</v>
      </c>
    </row>
    <row r="882" spans="1:22" s="41" customFormat="1" ht="20.399999999999999" hidden="1" x14ac:dyDescent="0.3">
      <c r="A882" s="36">
        <v>44774</v>
      </c>
      <c r="B882" s="37" t="s">
        <v>11</v>
      </c>
      <c r="C882" s="37" t="s">
        <v>123</v>
      </c>
      <c r="D882" s="37" t="s">
        <v>67</v>
      </c>
      <c r="E882" s="37" t="s">
        <v>5</v>
      </c>
      <c r="F882" s="37" t="s">
        <v>142</v>
      </c>
      <c r="G882" s="37" t="s">
        <v>143</v>
      </c>
      <c r="H882" s="37" t="s">
        <v>115</v>
      </c>
      <c r="I882" s="37" t="s">
        <v>116</v>
      </c>
      <c r="J882" s="37" t="s">
        <v>34</v>
      </c>
      <c r="K882" s="38">
        <v>0</v>
      </c>
      <c r="L882" s="39"/>
      <c r="M882" s="37"/>
      <c r="N882" s="40">
        <v>0</v>
      </c>
      <c r="O882" s="38">
        <v>0</v>
      </c>
      <c r="P882" s="38">
        <v>0</v>
      </c>
      <c r="Q882" s="38">
        <v>0</v>
      </c>
      <c r="R882" s="40">
        <v>0</v>
      </c>
      <c r="S882" s="38">
        <v>0</v>
      </c>
      <c r="T882" s="38">
        <v>0</v>
      </c>
      <c r="U882" s="38">
        <v>0</v>
      </c>
      <c r="V882" s="8">
        <f t="shared" si="13"/>
        <v>2022</v>
      </c>
    </row>
    <row r="883" spans="1:22" s="41" customFormat="1" ht="20.399999999999999" hidden="1" x14ac:dyDescent="0.3">
      <c r="A883" s="36">
        <v>44774</v>
      </c>
      <c r="B883" s="37" t="s">
        <v>19</v>
      </c>
      <c r="C883" s="37" t="s">
        <v>123</v>
      </c>
      <c r="D883" s="37" t="s">
        <v>67</v>
      </c>
      <c r="E883" s="37" t="s">
        <v>5</v>
      </c>
      <c r="F883" s="37" t="s">
        <v>142</v>
      </c>
      <c r="G883" s="37" t="s">
        <v>143</v>
      </c>
      <c r="H883" s="37" t="s">
        <v>115</v>
      </c>
      <c r="I883" s="37" t="s">
        <v>116</v>
      </c>
      <c r="J883" s="37" t="s">
        <v>34</v>
      </c>
      <c r="K883" s="38">
        <v>39.722999999999999</v>
      </c>
      <c r="L883" s="39"/>
      <c r="M883" s="37"/>
      <c r="N883" s="40">
        <v>7.2</v>
      </c>
      <c r="O883" s="38">
        <v>7.1917790000000004</v>
      </c>
      <c r="P883" s="38">
        <v>3.7000000000000002E-3</v>
      </c>
      <c r="Q883" s="38">
        <v>4.0390000000000001E-3</v>
      </c>
      <c r="R883" s="40">
        <v>7.2</v>
      </c>
      <c r="S883" s="38">
        <v>7.1917790000000004</v>
      </c>
      <c r="T883" s="38">
        <v>3.7000000000000002E-3</v>
      </c>
      <c r="U883" s="38">
        <v>4.0390000000000001E-3</v>
      </c>
      <c r="V883" s="8">
        <f t="shared" si="13"/>
        <v>2022</v>
      </c>
    </row>
    <row r="884" spans="1:22" s="41" customFormat="1" ht="20.399999999999999" hidden="1" x14ac:dyDescent="0.3">
      <c r="A884" s="36">
        <v>44774</v>
      </c>
      <c r="B884" s="37" t="s">
        <v>20</v>
      </c>
      <c r="C884" s="37" t="s">
        <v>123</v>
      </c>
      <c r="D884" s="37" t="s">
        <v>67</v>
      </c>
      <c r="E884" s="37" t="s">
        <v>5</v>
      </c>
      <c r="F884" s="37" t="s">
        <v>142</v>
      </c>
      <c r="G884" s="37" t="s">
        <v>143</v>
      </c>
      <c r="H884" s="37" t="s">
        <v>115</v>
      </c>
      <c r="I884" s="37" t="s">
        <v>116</v>
      </c>
      <c r="J884" s="37" t="s">
        <v>34</v>
      </c>
      <c r="K884" s="38">
        <v>0</v>
      </c>
      <c r="L884" s="39"/>
      <c r="M884" s="37"/>
      <c r="N884" s="40">
        <v>0</v>
      </c>
      <c r="O884" s="38">
        <v>0</v>
      </c>
      <c r="P884" s="38">
        <v>0</v>
      </c>
      <c r="Q884" s="38">
        <v>0</v>
      </c>
      <c r="R884" s="39" t="s">
        <v>117</v>
      </c>
      <c r="S884" s="39"/>
      <c r="T884" s="39"/>
      <c r="U884" s="39"/>
      <c r="V884" s="8">
        <f t="shared" ref="V884:V947" si="14">YEAR(A884)</f>
        <v>2022</v>
      </c>
    </row>
    <row r="885" spans="1:22" s="41" customFormat="1" ht="20.399999999999999" hidden="1" x14ac:dyDescent="0.3">
      <c r="A885" s="36">
        <v>44805</v>
      </c>
      <c r="B885" s="37" t="s">
        <v>11</v>
      </c>
      <c r="C885" s="37" t="s">
        <v>123</v>
      </c>
      <c r="D885" s="37" t="s">
        <v>67</v>
      </c>
      <c r="E885" s="37" t="s">
        <v>5</v>
      </c>
      <c r="F885" s="37" t="s">
        <v>142</v>
      </c>
      <c r="G885" s="37" t="s">
        <v>143</v>
      </c>
      <c r="H885" s="37" t="s">
        <v>115</v>
      </c>
      <c r="I885" s="37" t="s">
        <v>116</v>
      </c>
      <c r="J885" s="37" t="s">
        <v>34</v>
      </c>
      <c r="K885" s="38">
        <v>0</v>
      </c>
      <c r="L885" s="39"/>
      <c r="M885" s="37"/>
      <c r="N885" s="40">
        <v>0</v>
      </c>
      <c r="O885" s="38">
        <v>0</v>
      </c>
      <c r="P885" s="38">
        <v>0</v>
      </c>
      <c r="Q885" s="38">
        <v>0</v>
      </c>
      <c r="R885" s="40">
        <v>0</v>
      </c>
      <c r="S885" s="38">
        <v>0</v>
      </c>
      <c r="T885" s="38">
        <v>0</v>
      </c>
      <c r="U885" s="38">
        <v>0</v>
      </c>
      <c r="V885" s="8">
        <f t="shared" si="14"/>
        <v>2022</v>
      </c>
    </row>
    <row r="886" spans="1:22" s="41" customFormat="1" ht="20.399999999999999" hidden="1" x14ac:dyDescent="0.3">
      <c r="A886" s="36">
        <v>44805</v>
      </c>
      <c r="B886" s="37" t="s">
        <v>19</v>
      </c>
      <c r="C886" s="37" t="s">
        <v>123</v>
      </c>
      <c r="D886" s="37" t="s">
        <v>67</v>
      </c>
      <c r="E886" s="37" t="s">
        <v>5</v>
      </c>
      <c r="F886" s="37" t="s">
        <v>142</v>
      </c>
      <c r="G886" s="37" t="s">
        <v>143</v>
      </c>
      <c r="H886" s="37" t="s">
        <v>115</v>
      </c>
      <c r="I886" s="37" t="s">
        <v>116</v>
      </c>
      <c r="J886" s="37" t="s">
        <v>34</v>
      </c>
      <c r="K886" s="38">
        <v>39.722999999999999</v>
      </c>
      <c r="L886" s="39"/>
      <c r="M886" s="37"/>
      <c r="N886" s="40">
        <v>7.2</v>
      </c>
      <c r="O886" s="38">
        <v>7.1917790000000004</v>
      </c>
      <c r="P886" s="38">
        <v>3.7000000000000002E-3</v>
      </c>
      <c r="Q886" s="38">
        <v>4.0390000000000001E-3</v>
      </c>
      <c r="R886" s="40">
        <v>7.2</v>
      </c>
      <c r="S886" s="38">
        <v>7.1917790000000004</v>
      </c>
      <c r="T886" s="38">
        <v>3.7000000000000002E-3</v>
      </c>
      <c r="U886" s="38">
        <v>4.0390000000000001E-3</v>
      </c>
      <c r="V886" s="8">
        <f t="shared" si="14"/>
        <v>2022</v>
      </c>
    </row>
    <row r="887" spans="1:22" s="41" customFormat="1" ht="20.399999999999999" hidden="1" x14ac:dyDescent="0.3">
      <c r="A887" s="36">
        <v>44805</v>
      </c>
      <c r="B887" s="37" t="s">
        <v>20</v>
      </c>
      <c r="C887" s="37" t="s">
        <v>123</v>
      </c>
      <c r="D887" s="37" t="s">
        <v>67</v>
      </c>
      <c r="E887" s="37" t="s">
        <v>5</v>
      </c>
      <c r="F887" s="37" t="s">
        <v>142</v>
      </c>
      <c r="G887" s="37" t="s">
        <v>143</v>
      </c>
      <c r="H887" s="37" t="s">
        <v>115</v>
      </c>
      <c r="I887" s="37" t="s">
        <v>116</v>
      </c>
      <c r="J887" s="37" t="s">
        <v>34</v>
      </c>
      <c r="K887" s="38">
        <v>0</v>
      </c>
      <c r="L887" s="39"/>
      <c r="M887" s="37"/>
      <c r="N887" s="40">
        <v>0</v>
      </c>
      <c r="O887" s="38">
        <v>0</v>
      </c>
      <c r="P887" s="38">
        <v>0</v>
      </c>
      <c r="Q887" s="38">
        <v>0</v>
      </c>
      <c r="R887" s="39" t="s">
        <v>117</v>
      </c>
      <c r="S887" s="39"/>
      <c r="T887" s="39"/>
      <c r="U887" s="39"/>
      <c r="V887" s="8">
        <f t="shared" si="14"/>
        <v>2022</v>
      </c>
    </row>
    <row r="888" spans="1:22" s="41" customFormat="1" ht="20.399999999999999" hidden="1" x14ac:dyDescent="0.3">
      <c r="A888" s="36">
        <v>44835</v>
      </c>
      <c r="B888" s="37" t="s">
        <v>11</v>
      </c>
      <c r="C888" s="37" t="s">
        <v>123</v>
      </c>
      <c r="D888" s="37" t="s">
        <v>67</v>
      </c>
      <c r="E888" s="37" t="s">
        <v>5</v>
      </c>
      <c r="F888" s="37" t="s">
        <v>142</v>
      </c>
      <c r="G888" s="37" t="s">
        <v>143</v>
      </c>
      <c r="H888" s="37" t="s">
        <v>115</v>
      </c>
      <c r="I888" s="37" t="s">
        <v>116</v>
      </c>
      <c r="J888" s="37" t="s">
        <v>34</v>
      </c>
      <c r="K888" s="38">
        <v>0</v>
      </c>
      <c r="L888" s="39"/>
      <c r="M888" s="37"/>
      <c r="N888" s="40">
        <v>0</v>
      </c>
      <c r="O888" s="38">
        <v>0</v>
      </c>
      <c r="P888" s="38">
        <v>0</v>
      </c>
      <c r="Q888" s="38">
        <v>0</v>
      </c>
      <c r="R888" s="40">
        <v>0</v>
      </c>
      <c r="S888" s="38">
        <v>0</v>
      </c>
      <c r="T888" s="38">
        <v>0</v>
      </c>
      <c r="U888" s="38">
        <v>0</v>
      </c>
      <c r="V888" s="8">
        <f t="shared" si="14"/>
        <v>2022</v>
      </c>
    </row>
    <row r="889" spans="1:22" s="41" customFormat="1" ht="20.399999999999999" hidden="1" x14ac:dyDescent="0.3">
      <c r="A889" s="36">
        <v>44835</v>
      </c>
      <c r="B889" s="37" t="s">
        <v>19</v>
      </c>
      <c r="C889" s="37" t="s">
        <v>123</v>
      </c>
      <c r="D889" s="37" t="s">
        <v>67</v>
      </c>
      <c r="E889" s="37" t="s">
        <v>5</v>
      </c>
      <c r="F889" s="37" t="s">
        <v>142</v>
      </c>
      <c r="G889" s="37" t="s">
        <v>143</v>
      </c>
      <c r="H889" s="37" t="s">
        <v>115</v>
      </c>
      <c r="I889" s="37" t="s">
        <v>116</v>
      </c>
      <c r="J889" s="37" t="s">
        <v>34</v>
      </c>
      <c r="K889" s="38">
        <v>39.722999999999999</v>
      </c>
      <c r="L889" s="39"/>
      <c r="M889" s="37"/>
      <c r="N889" s="40">
        <v>7.2</v>
      </c>
      <c r="O889" s="38">
        <v>7.1917790000000004</v>
      </c>
      <c r="P889" s="38">
        <v>3.7000000000000002E-3</v>
      </c>
      <c r="Q889" s="38">
        <v>4.0390000000000001E-3</v>
      </c>
      <c r="R889" s="40">
        <v>7.2</v>
      </c>
      <c r="S889" s="38">
        <v>7.1917790000000004</v>
      </c>
      <c r="T889" s="38">
        <v>3.7000000000000002E-3</v>
      </c>
      <c r="U889" s="38">
        <v>4.0390000000000001E-3</v>
      </c>
      <c r="V889" s="8">
        <f t="shared" si="14"/>
        <v>2022</v>
      </c>
    </row>
    <row r="890" spans="1:22" s="41" customFormat="1" ht="20.399999999999999" hidden="1" x14ac:dyDescent="0.3">
      <c r="A890" s="36">
        <v>44835</v>
      </c>
      <c r="B890" s="37" t="s">
        <v>20</v>
      </c>
      <c r="C890" s="37" t="s">
        <v>123</v>
      </c>
      <c r="D890" s="37" t="s">
        <v>67</v>
      </c>
      <c r="E890" s="37" t="s">
        <v>5</v>
      </c>
      <c r="F890" s="37" t="s">
        <v>142</v>
      </c>
      <c r="G890" s="37" t="s">
        <v>143</v>
      </c>
      <c r="H890" s="37" t="s">
        <v>115</v>
      </c>
      <c r="I890" s="37" t="s">
        <v>116</v>
      </c>
      <c r="J890" s="37" t="s">
        <v>34</v>
      </c>
      <c r="K890" s="38">
        <v>0</v>
      </c>
      <c r="L890" s="39"/>
      <c r="M890" s="37"/>
      <c r="N890" s="40">
        <v>0</v>
      </c>
      <c r="O890" s="38">
        <v>0</v>
      </c>
      <c r="P890" s="38">
        <v>0</v>
      </c>
      <c r="Q890" s="38">
        <v>0</v>
      </c>
      <c r="R890" s="39" t="s">
        <v>117</v>
      </c>
      <c r="S890" s="39"/>
      <c r="T890" s="39"/>
      <c r="U890" s="39"/>
      <c r="V890" s="8">
        <f t="shared" si="14"/>
        <v>2022</v>
      </c>
    </row>
    <row r="891" spans="1:22" s="41" customFormat="1" ht="20.399999999999999" hidden="1" x14ac:dyDescent="0.3">
      <c r="A891" s="36">
        <v>44866</v>
      </c>
      <c r="B891" s="37" t="s">
        <v>11</v>
      </c>
      <c r="C891" s="37" t="s">
        <v>123</v>
      </c>
      <c r="D891" s="37" t="s">
        <v>67</v>
      </c>
      <c r="E891" s="37" t="s">
        <v>5</v>
      </c>
      <c r="F891" s="37" t="s">
        <v>142</v>
      </c>
      <c r="G891" s="37" t="s">
        <v>143</v>
      </c>
      <c r="H891" s="37" t="s">
        <v>115</v>
      </c>
      <c r="I891" s="37" t="s">
        <v>116</v>
      </c>
      <c r="J891" s="37" t="s">
        <v>34</v>
      </c>
      <c r="K891" s="38">
        <v>0</v>
      </c>
      <c r="L891" s="39"/>
      <c r="M891" s="37"/>
      <c r="N891" s="40">
        <v>0</v>
      </c>
      <c r="O891" s="38">
        <v>0</v>
      </c>
      <c r="P891" s="38">
        <v>0</v>
      </c>
      <c r="Q891" s="38">
        <v>0</v>
      </c>
      <c r="R891" s="40">
        <v>0</v>
      </c>
      <c r="S891" s="38">
        <v>0</v>
      </c>
      <c r="T891" s="38">
        <v>0</v>
      </c>
      <c r="U891" s="38">
        <v>0</v>
      </c>
      <c r="V891" s="8">
        <f t="shared" si="14"/>
        <v>2022</v>
      </c>
    </row>
    <row r="892" spans="1:22" s="41" customFormat="1" ht="20.399999999999999" hidden="1" x14ac:dyDescent="0.3">
      <c r="A892" s="36">
        <v>44866</v>
      </c>
      <c r="B892" s="37" t="s">
        <v>19</v>
      </c>
      <c r="C892" s="37" t="s">
        <v>123</v>
      </c>
      <c r="D892" s="37" t="s">
        <v>67</v>
      </c>
      <c r="E892" s="37" t="s">
        <v>5</v>
      </c>
      <c r="F892" s="37" t="s">
        <v>142</v>
      </c>
      <c r="G892" s="37" t="s">
        <v>143</v>
      </c>
      <c r="H892" s="37" t="s">
        <v>115</v>
      </c>
      <c r="I892" s="37" t="s">
        <v>116</v>
      </c>
      <c r="J892" s="37" t="s">
        <v>34</v>
      </c>
      <c r="K892" s="38">
        <v>39.722999999999999</v>
      </c>
      <c r="L892" s="39"/>
      <c r="M892" s="37"/>
      <c r="N892" s="40">
        <v>7.2</v>
      </c>
      <c r="O892" s="38">
        <v>7.1917790000000004</v>
      </c>
      <c r="P892" s="38">
        <v>3.7000000000000002E-3</v>
      </c>
      <c r="Q892" s="38">
        <v>4.0390000000000001E-3</v>
      </c>
      <c r="R892" s="40">
        <v>7.2</v>
      </c>
      <c r="S892" s="38">
        <v>7.1917790000000004</v>
      </c>
      <c r="T892" s="38">
        <v>3.7000000000000002E-3</v>
      </c>
      <c r="U892" s="38">
        <v>4.0390000000000001E-3</v>
      </c>
      <c r="V892" s="8">
        <f t="shared" si="14"/>
        <v>2022</v>
      </c>
    </row>
    <row r="893" spans="1:22" s="41" customFormat="1" ht="20.399999999999999" hidden="1" x14ac:dyDescent="0.3">
      <c r="A893" s="36">
        <v>44866</v>
      </c>
      <c r="B893" s="37" t="s">
        <v>20</v>
      </c>
      <c r="C893" s="37" t="s">
        <v>123</v>
      </c>
      <c r="D893" s="37" t="s">
        <v>67</v>
      </c>
      <c r="E893" s="37" t="s">
        <v>5</v>
      </c>
      <c r="F893" s="37" t="s">
        <v>142</v>
      </c>
      <c r="G893" s="37" t="s">
        <v>143</v>
      </c>
      <c r="H893" s="37" t="s">
        <v>115</v>
      </c>
      <c r="I893" s="37" t="s">
        <v>116</v>
      </c>
      <c r="J893" s="37" t="s">
        <v>34</v>
      </c>
      <c r="K893" s="38">
        <v>0</v>
      </c>
      <c r="L893" s="39"/>
      <c r="M893" s="37"/>
      <c r="N893" s="40">
        <v>0</v>
      </c>
      <c r="O893" s="38">
        <v>0</v>
      </c>
      <c r="P893" s="38">
        <v>0</v>
      </c>
      <c r="Q893" s="38">
        <v>0</v>
      </c>
      <c r="R893" s="39" t="s">
        <v>117</v>
      </c>
      <c r="S893" s="39"/>
      <c r="T893" s="39"/>
      <c r="U893" s="39"/>
      <c r="V893" s="8">
        <f t="shared" si="14"/>
        <v>2022</v>
      </c>
    </row>
    <row r="894" spans="1:22" s="41" customFormat="1" ht="20.399999999999999" hidden="1" x14ac:dyDescent="0.3">
      <c r="A894" s="36">
        <v>44896</v>
      </c>
      <c r="B894" s="37" t="s">
        <v>11</v>
      </c>
      <c r="C894" s="37" t="s">
        <v>123</v>
      </c>
      <c r="D894" s="37" t="s">
        <v>67</v>
      </c>
      <c r="E894" s="37" t="s">
        <v>5</v>
      </c>
      <c r="F894" s="37" t="s">
        <v>142</v>
      </c>
      <c r="G894" s="37" t="s">
        <v>143</v>
      </c>
      <c r="H894" s="37" t="s">
        <v>115</v>
      </c>
      <c r="I894" s="37" t="s">
        <v>116</v>
      </c>
      <c r="J894" s="37" t="s">
        <v>34</v>
      </c>
      <c r="K894" s="38">
        <v>0</v>
      </c>
      <c r="L894" s="39"/>
      <c r="M894" s="37"/>
      <c r="N894" s="40">
        <v>0</v>
      </c>
      <c r="O894" s="38">
        <v>0</v>
      </c>
      <c r="P894" s="38">
        <v>0</v>
      </c>
      <c r="Q894" s="38">
        <v>0</v>
      </c>
      <c r="R894" s="40">
        <v>0</v>
      </c>
      <c r="S894" s="38">
        <v>0</v>
      </c>
      <c r="T894" s="38">
        <v>0</v>
      </c>
      <c r="U894" s="38">
        <v>0</v>
      </c>
      <c r="V894" s="8">
        <f t="shared" si="14"/>
        <v>2022</v>
      </c>
    </row>
    <row r="895" spans="1:22" s="41" customFormat="1" ht="20.399999999999999" hidden="1" x14ac:dyDescent="0.3">
      <c r="A895" s="36">
        <v>44896</v>
      </c>
      <c r="B895" s="37" t="s">
        <v>19</v>
      </c>
      <c r="C895" s="37" t="s">
        <v>123</v>
      </c>
      <c r="D895" s="37" t="s">
        <v>67</v>
      </c>
      <c r="E895" s="37" t="s">
        <v>5</v>
      </c>
      <c r="F895" s="37" t="s">
        <v>142</v>
      </c>
      <c r="G895" s="37" t="s">
        <v>143</v>
      </c>
      <c r="H895" s="37" t="s">
        <v>115</v>
      </c>
      <c r="I895" s="37" t="s">
        <v>116</v>
      </c>
      <c r="J895" s="37" t="s">
        <v>34</v>
      </c>
      <c r="K895" s="38">
        <v>39.722999999999999</v>
      </c>
      <c r="L895" s="39"/>
      <c r="M895" s="37"/>
      <c r="N895" s="40">
        <v>7.2</v>
      </c>
      <c r="O895" s="38">
        <v>7.1917790000000004</v>
      </c>
      <c r="P895" s="38">
        <v>3.7000000000000002E-3</v>
      </c>
      <c r="Q895" s="38">
        <v>4.0390000000000001E-3</v>
      </c>
      <c r="R895" s="40">
        <v>7.2</v>
      </c>
      <c r="S895" s="38">
        <v>7.1917790000000004</v>
      </c>
      <c r="T895" s="38">
        <v>3.7000000000000002E-3</v>
      </c>
      <c r="U895" s="38">
        <v>4.0390000000000001E-3</v>
      </c>
      <c r="V895" s="8">
        <f t="shared" si="14"/>
        <v>2022</v>
      </c>
    </row>
    <row r="896" spans="1:22" s="41" customFormat="1" ht="20.399999999999999" hidden="1" x14ac:dyDescent="0.3">
      <c r="A896" s="36">
        <v>44896</v>
      </c>
      <c r="B896" s="37" t="s">
        <v>20</v>
      </c>
      <c r="C896" s="37" t="s">
        <v>123</v>
      </c>
      <c r="D896" s="37" t="s">
        <v>67</v>
      </c>
      <c r="E896" s="37" t="s">
        <v>5</v>
      </c>
      <c r="F896" s="37" t="s">
        <v>142</v>
      </c>
      <c r="G896" s="37" t="s">
        <v>143</v>
      </c>
      <c r="H896" s="37" t="s">
        <v>115</v>
      </c>
      <c r="I896" s="37" t="s">
        <v>116</v>
      </c>
      <c r="J896" s="37" t="s">
        <v>34</v>
      </c>
      <c r="K896" s="38">
        <v>0</v>
      </c>
      <c r="L896" s="39"/>
      <c r="M896" s="37"/>
      <c r="N896" s="40">
        <v>0</v>
      </c>
      <c r="O896" s="38">
        <v>0</v>
      </c>
      <c r="P896" s="38">
        <v>0</v>
      </c>
      <c r="Q896" s="38">
        <v>0</v>
      </c>
      <c r="R896" s="39" t="s">
        <v>117</v>
      </c>
      <c r="S896" s="39"/>
      <c r="T896" s="39"/>
      <c r="U896" s="39"/>
      <c r="V896" s="8">
        <f t="shared" si="14"/>
        <v>2022</v>
      </c>
    </row>
    <row r="897" spans="1:22" s="41" customFormat="1" ht="20.399999999999999" hidden="1" x14ac:dyDescent="0.3">
      <c r="A897" s="36">
        <v>44927</v>
      </c>
      <c r="B897" s="37" t="s">
        <v>19</v>
      </c>
      <c r="C897" s="37" t="s">
        <v>123</v>
      </c>
      <c r="D897" s="37" t="s">
        <v>67</v>
      </c>
      <c r="E897" s="37" t="s">
        <v>5</v>
      </c>
      <c r="F897" s="37" t="s">
        <v>142</v>
      </c>
      <c r="G897" s="37" t="s">
        <v>143</v>
      </c>
      <c r="H897" s="37" t="s">
        <v>115</v>
      </c>
      <c r="I897" s="37" t="s">
        <v>116</v>
      </c>
      <c r="J897" s="37" t="s">
        <v>34</v>
      </c>
      <c r="K897" s="38">
        <v>35.354999999999997</v>
      </c>
      <c r="L897" s="39"/>
      <c r="M897" s="37"/>
      <c r="N897" s="40">
        <v>6.4080000000000004</v>
      </c>
      <c r="O897" s="38">
        <v>6.4009600000000004</v>
      </c>
      <c r="P897" s="38">
        <v>3.2929999999999999E-3</v>
      </c>
      <c r="Q897" s="38">
        <v>3.5950000000000001E-3</v>
      </c>
      <c r="R897" s="40">
        <v>6.4080000000000004</v>
      </c>
      <c r="S897" s="38">
        <v>6.4009600000000004</v>
      </c>
      <c r="T897" s="38">
        <v>3.2929999999999999E-3</v>
      </c>
      <c r="U897" s="38">
        <v>3.5950000000000001E-3</v>
      </c>
      <c r="V897" s="8">
        <f t="shared" si="14"/>
        <v>2023</v>
      </c>
    </row>
    <row r="898" spans="1:22" s="41" customFormat="1" ht="20.399999999999999" hidden="1" x14ac:dyDescent="0.3">
      <c r="A898" s="36">
        <v>44958</v>
      </c>
      <c r="B898" s="37" t="s">
        <v>19</v>
      </c>
      <c r="C898" s="37" t="s">
        <v>123</v>
      </c>
      <c r="D898" s="37" t="s">
        <v>67</v>
      </c>
      <c r="E898" s="37" t="s">
        <v>5</v>
      </c>
      <c r="F898" s="37" t="s">
        <v>142</v>
      </c>
      <c r="G898" s="37" t="s">
        <v>143</v>
      </c>
      <c r="H898" s="37" t="s">
        <v>115</v>
      </c>
      <c r="I898" s="37" t="s">
        <v>116</v>
      </c>
      <c r="J898" s="37" t="s">
        <v>34</v>
      </c>
      <c r="K898" s="38">
        <v>34.176000000000002</v>
      </c>
      <c r="L898" s="39"/>
      <c r="M898" s="37"/>
      <c r="N898" s="40">
        <v>6.194</v>
      </c>
      <c r="O898" s="38">
        <v>6.1875039999999997</v>
      </c>
      <c r="P898" s="38">
        <v>3.1840000000000002E-3</v>
      </c>
      <c r="Q898" s="38">
        <v>3.4749999999999998E-3</v>
      </c>
      <c r="R898" s="40">
        <v>6.194</v>
      </c>
      <c r="S898" s="38">
        <v>6.1875039999999997</v>
      </c>
      <c r="T898" s="38">
        <v>3.1830000000000001E-3</v>
      </c>
      <c r="U898" s="38">
        <v>3.4749999999999998E-3</v>
      </c>
      <c r="V898" s="8">
        <f t="shared" si="14"/>
        <v>2023</v>
      </c>
    </row>
    <row r="899" spans="1:22" s="41" customFormat="1" ht="20.399999999999999" hidden="1" x14ac:dyDescent="0.3">
      <c r="A899" s="36">
        <v>44986</v>
      </c>
      <c r="B899" s="37" t="s">
        <v>19</v>
      </c>
      <c r="C899" s="37" t="s">
        <v>123</v>
      </c>
      <c r="D899" s="37" t="s">
        <v>67</v>
      </c>
      <c r="E899" s="37" t="s">
        <v>5</v>
      </c>
      <c r="F899" s="37" t="s">
        <v>142</v>
      </c>
      <c r="G899" s="37" t="s">
        <v>143</v>
      </c>
      <c r="H899" s="37" t="s">
        <v>115</v>
      </c>
      <c r="I899" s="37" t="s">
        <v>116</v>
      </c>
      <c r="J899" s="37" t="s">
        <v>34</v>
      </c>
      <c r="K899" s="38">
        <v>30.640999999999998</v>
      </c>
      <c r="L899" s="39"/>
      <c r="M899" s="37"/>
      <c r="N899" s="40">
        <v>5.5529999999999999</v>
      </c>
      <c r="O899" s="38">
        <v>5.5474990000000002</v>
      </c>
      <c r="P899" s="38">
        <v>2.8540000000000002E-3</v>
      </c>
      <c r="Q899" s="38">
        <v>3.1159999999999998E-3</v>
      </c>
      <c r="R899" s="40">
        <v>5.5529999999999999</v>
      </c>
      <c r="S899" s="38">
        <v>5.5474990000000002</v>
      </c>
      <c r="T899" s="38">
        <v>2.8540000000000002E-3</v>
      </c>
      <c r="U899" s="38">
        <v>3.1159999999999998E-3</v>
      </c>
      <c r="V899" s="8">
        <f t="shared" si="14"/>
        <v>2023</v>
      </c>
    </row>
    <row r="900" spans="1:22" s="41" customFormat="1" ht="20.399999999999999" hidden="1" x14ac:dyDescent="0.3">
      <c r="A900" s="36">
        <v>45017</v>
      </c>
      <c r="B900" s="37" t="s">
        <v>19</v>
      </c>
      <c r="C900" s="37" t="s">
        <v>123</v>
      </c>
      <c r="D900" s="37" t="s">
        <v>67</v>
      </c>
      <c r="E900" s="37" t="s">
        <v>5</v>
      </c>
      <c r="F900" s="37" t="s">
        <v>142</v>
      </c>
      <c r="G900" s="37" t="s">
        <v>143</v>
      </c>
      <c r="H900" s="37" t="s">
        <v>115</v>
      </c>
      <c r="I900" s="37" t="s">
        <v>116</v>
      </c>
      <c r="J900" s="37" t="s">
        <v>34</v>
      </c>
      <c r="K900" s="38">
        <v>31.818999999999999</v>
      </c>
      <c r="L900" s="39"/>
      <c r="M900" s="37"/>
      <c r="N900" s="40">
        <v>5.7670000000000003</v>
      </c>
      <c r="O900" s="38">
        <v>5.7607739999999996</v>
      </c>
      <c r="P900" s="38">
        <v>2.9640000000000001E-3</v>
      </c>
      <c r="Q900" s="38">
        <v>3.235E-3</v>
      </c>
      <c r="R900" s="40">
        <v>5.7670000000000003</v>
      </c>
      <c r="S900" s="38">
        <v>5.7607739999999996</v>
      </c>
      <c r="T900" s="38">
        <v>2.9640000000000001E-3</v>
      </c>
      <c r="U900" s="38">
        <v>3.235E-3</v>
      </c>
      <c r="V900" s="8">
        <f t="shared" si="14"/>
        <v>2023</v>
      </c>
    </row>
    <row r="901" spans="1:22" s="41" customFormat="1" ht="20.399999999999999" hidden="1" x14ac:dyDescent="0.3">
      <c r="A901" s="36">
        <v>45047</v>
      </c>
      <c r="B901" s="37" t="s">
        <v>19</v>
      </c>
      <c r="C901" s="37" t="s">
        <v>123</v>
      </c>
      <c r="D901" s="37" t="s">
        <v>67</v>
      </c>
      <c r="E901" s="37" t="s">
        <v>5</v>
      </c>
      <c r="F901" s="37" t="s">
        <v>142</v>
      </c>
      <c r="G901" s="37" t="s">
        <v>143</v>
      </c>
      <c r="H901" s="37" t="s">
        <v>115</v>
      </c>
      <c r="I901" s="37" t="s">
        <v>116</v>
      </c>
      <c r="J901" s="37" t="s">
        <v>34</v>
      </c>
      <c r="K901" s="38">
        <v>34.176000000000002</v>
      </c>
      <c r="L901" s="39"/>
      <c r="M901" s="37"/>
      <c r="N901" s="40">
        <v>6.194</v>
      </c>
      <c r="O901" s="38">
        <v>6.1875039999999997</v>
      </c>
      <c r="P901" s="38">
        <v>3.1840000000000002E-3</v>
      </c>
      <c r="Q901" s="38">
        <v>3.4749999999999998E-3</v>
      </c>
      <c r="R901" s="40">
        <v>6.194</v>
      </c>
      <c r="S901" s="38">
        <v>6.1875039999999997</v>
      </c>
      <c r="T901" s="38">
        <v>3.1830000000000001E-3</v>
      </c>
      <c r="U901" s="38">
        <v>3.4749999999999998E-3</v>
      </c>
      <c r="V901" s="8">
        <f t="shared" si="14"/>
        <v>2023</v>
      </c>
    </row>
    <row r="902" spans="1:22" s="41" customFormat="1" ht="20.399999999999999" hidden="1" x14ac:dyDescent="0.3">
      <c r="A902" s="36">
        <v>45078</v>
      </c>
      <c r="B902" s="37" t="s">
        <v>19</v>
      </c>
      <c r="C902" s="37" t="s">
        <v>123</v>
      </c>
      <c r="D902" s="37" t="s">
        <v>67</v>
      </c>
      <c r="E902" s="37" t="s">
        <v>5</v>
      </c>
      <c r="F902" s="37" t="s">
        <v>142</v>
      </c>
      <c r="G902" s="37" t="s">
        <v>143</v>
      </c>
      <c r="H902" s="37" t="s">
        <v>115</v>
      </c>
      <c r="I902" s="37" t="s">
        <v>116</v>
      </c>
      <c r="J902" s="37" t="s">
        <v>34</v>
      </c>
      <c r="K902" s="38">
        <v>32.997999999999998</v>
      </c>
      <c r="L902" s="39"/>
      <c r="M902" s="37"/>
      <c r="N902" s="40">
        <v>5.9809999999999999</v>
      </c>
      <c r="O902" s="38">
        <v>5.9742300000000004</v>
      </c>
      <c r="P902" s="38">
        <v>3.0739999999999999E-3</v>
      </c>
      <c r="Q902" s="38">
        <v>3.3549999999999999E-3</v>
      </c>
      <c r="R902" s="40">
        <v>5.9809999999999999</v>
      </c>
      <c r="S902" s="38">
        <v>5.9742300000000004</v>
      </c>
      <c r="T902" s="38">
        <v>3.0739999999999999E-3</v>
      </c>
      <c r="U902" s="38">
        <v>3.3549999999999999E-3</v>
      </c>
      <c r="V902" s="8">
        <f t="shared" si="14"/>
        <v>2023</v>
      </c>
    </row>
    <row r="903" spans="1:22" s="41" customFormat="1" ht="20.399999999999999" hidden="1" x14ac:dyDescent="0.3">
      <c r="A903" s="36">
        <v>45108</v>
      </c>
      <c r="B903" s="37" t="s">
        <v>19</v>
      </c>
      <c r="C903" s="37" t="s">
        <v>123</v>
      </c>
      <c r="D903" s="37" t="s">
        <v>67</v>
      </c>
      <c r="E903" s="37" t="s">
        <v>5</v>
      </c>
      <c r="F903" s="37" t="s">
        <v>142</v>
      </c>
      <c r="G903" s="37" t="s">
        <v>143</v>
      </c>
      <c r="H903" s="37" t="s">
        <v>115</v>
      </c>
      <c r="I903" s="37" t="s">
        <v>116</v>
      </c>
      <c r="J903" s="37" t="s">
        <v>34</v>
      </c>
      <c r="K903" s="38">
        <v>31.818999999999999</v>
      </c>
      <c r="L903" s="39"/>
      <c r="M903" s="37"/>
      <c r="N903" s="40">
        <v>5.7670000000000003</v>
      </c>
      <c r="O903" s="38">
        <v>5.7607739999999996</v>
      </c>
      <c r="P903" s="38">
        <v>2.9640000000000001E-3</v>
      </c>
      <c r="Q903" s="38">
        <v>3.235E-3</v>
      </c>
      <c r="R903" s="40">
        <v>5.7670000000000003</v>
      </c>
      <c r="S903" s="38">
        <v>5.7607739999999996</v>
      </c>
      <c r="T903" s="38">
        <v>2.9640000000000001E-3</v>
      </c>
      <c r="U903" s="38">
        <v>3.235E-3</v>
      </c>
      <c r="V903" s="8">
        <f t="shared" si="14"/>
        <v>2023</v>
      </c>
    </row>
    <row r="904" spans="1:22" s="41" customFormat="1" ht="20.399999999999999" hidden="1" x14ac:dyDescent="0.3">
      <c r="A904" s="36">
        <v>45139</v>
      </c>
      <c r="B904" s="37" t="s">
        <v>19</v>
      </c>
      <c r="C904" s="37" t="s">
        <v>123</v>
      </c>
      <c r="D904" s="37" t="s">
        <v>67</v>
      </c>
      <c r="E904" s="37" t="s">
        <v>5</v>
      </c>
      <c r="F904" s="37" t="s">
        <v>142</v>
      </c>
      <c r="G904" s="37" t="s">
        <v>143</v>
      </c>
      <c r="H904" s="37" t="s">
        <v>115</v>
      </c>
      <c r="I904" s="37" t="s">
        <v>116</v>
      </c>
      <c r="J904" s="37" t="s">
        <v>34</v>
      </c>
      <c r="K904" s="38">
        <v>31.818999999999999</v>
      </c>
      <c r="L904" s="39"/>
      <c r="M904" s="37"/>
      <c r="N904" s="40">
        <v>5.7670000000000003</v>
      </c>
      <c r="O904" s="38">
        <v>5.7607739999999996</v>
      </c>
      <c r="P904" s="38">
        <v>2.9640000000000001E-3</v>
      </c>
      <c r="Q904" s="38">
        <v>3.235E-3</v>
      </c>
      <c r="R904" s="40">
        <v>5.7670000000000003</v>
      </c>
      <c r="S904" s="38">
        <v>5.7607739999999996</v>
      </c>
      <c r="T904" s="38">
        <v>2.9640000000000001E-3</v>
      </c>
      <c r="U904" s="38">
        <v>3.235E-3</v>
      </c>
      <c r="V904" s="8">
        <f t="shared" si="14"/>
        <v>2023</v>
      </c>
    </row>
    <row r="905" spans="1:22" s="41" customFormat="1" ht="20.399999999999999" hidden="1" x14ac:dyDescent="0.3">
      <c r="A905" s="36">
        <v>45170</v>
      </c>
      <c r="B905" s="37" t="s">
        <v>19</v>
      </c>
      <c r="C905" s="37" t="s">
        <v>123</v>
      </c>
      <c r="D905" s="37" t="s">
        <v>67</v>
      </c>
      <c r="E905" s="37" t="s">
        <v>5</v>
      </c>
      <c r="F905" s="37" t="s">
        <v>142</v>
      </c>
      <c r="G905" s="37" t="s">
        <v>143</v>
      </c>
      <c r="H905" s="37" t="s">
        <v>115</v>
      </c>
      <c r="I905" s="37" t="s">
        <v>116</v>
      </c>
      <c r="J905" s="37" t="s">
        <v>34</v>
      </c>
      <c r="K905" s="38">
        <v>35.354999999999997</v>
      </c>
      <c r="L905" s="39"/>
      <c r="M905" s="37"/>
      <c r="N905" s="40">
        <v>6.4080000000000004</v>
      </c>
      <c r="O905" s="38">
        <v>6.4009600000000004</v>
      </c>
      <c r="P905" s="38">
        <v>3.2929999999999999E-3</v>
      </c>
      <c r="Q905" s="38">
        <v>3.5950000000000001E-3</v>
      </c>
      <c r="R905" s="40">
        <v>6.4080000000000004</v>
      </c>
      <c r="S905" s="38">
        <v>6.4009600000000004</v>
      </c>
      <c r="T905" s="38">
        <v>3.2929999999999999E-3</v>
      </c>
      <c r="U905" s="38">
        <v>3.5950000000000001E-3</v>
      </c>
      <c r="V905" s="8">
        <f t="shared" si="14"/>
        <v>2023</v>
      </c>
    </row>
    <row r="906" spans="1:22" s="41" customFormat="1" ht="20.399999999999999" hidden="1" x14ac:dyDescent="0.3">
      <c r="A906" s="36">
        <v>45200</v>
      </c>
      <c r="B906" s="37" t="s">
        <v>19</v>
      </c>
      <c r="C906" s="37" t="s">
        <v>123</v>
      </c>
      <c r="D906" s="37" t="s">
        <v>67</v>
      </c>
      <c r="E906" s="37" t="s">
        <v>5</v>
      </c>
      <c r="F906" s="37" t="s">
        <v>142</v>
      </c>
      <c r="G906" s="37" t="s">
        <v>143</v>
      </c>
      <c r="H906" s="37" t="s">
        <v>115</v>
      </c>
      <c r="I906" s="37" t="s">
        <v>116</v>
      </c>
      <c r="J906" s="37" t="s">
        <v>34</v>
      </c>
      <c r="K906" s="38">
        <v>43.604999999999997</v>
      </c>
      <c r="L906" s="39"/>
      <c r="M906" s="37"/>
      <c r="N906" s="40">
        <v>7.9029999999999996</v>
      </c>
      <c r="O906" s="38">
        <v>7.8946079999999998</v>
      </c>
      <c r="P906" s="38">
        <v>4.0619999999999996E-3</v>
      </c>
      <c r="Q906" s="38">
        <v>4.4339999999999996E-3</v>
      </c>
      <c r="R906" s="40">
        <v>7.9029999999999996</v>
      </c>
      <c r="S906" s="38">
        <v>7.8946079999999998</v>
      </c>
      <c r="T906" s="38">
        <v>4.0619999999999996E-3</v>
      </c>
      <c r="U906" s="38">
        <v>4.4339999999999996E-3</v>
      </c>
      <c r="V906" s="8">
        <f t="shared" si="14"/>
        <v>2023</v>
      </c>
    </row>
    <row r="907" spans="1:22" s="41" customFormat="1" ht="20.399999999999999" hidden="1" x14ac:dyDescent="0.3">
      <c r="A907" s="36">
        <v>45231</v>
      </c>
      <c r="B907" s="37" t="s">
        <v>19</v>
      </c>
      <c r="C907" s="37" t="s">
        <v>123</v>
      </c>
      <c r="D907" s="37" t="s">
        <v>67</v>
      </c>
      <c r="E907" s="37" t="s">
        <v>5</v>
      </c>
      <c r="F907" s="37" t="s">
        <v>142</v>
      </c>
      <c r="G907" s="37" t="s">
        <v>143</v>
      </c>
      <c r="H907" s="37" t="s">
        <v>115</v>
      </c>
      <c r="I907" s="37" t="s">
        <v>116</v>
      </c>
      <c r="J907" s="37" t="s">
        <v>34</v>
      </c>
      <c r="K907" s="38">
        <v>35.354999999999997</v>
      </c>
      <c r="L907" s="39"/>
      <c r="M907" s="37"/>
      <c r="N907" s="40">
        <v>6.4080000000000004</v>
      </c>
      <c r="O907" s="38">
        <v>6.4009600000000004</v>
      </c>
      <c r="P907" s="38">
        <v>3.2929999999999999E-3</v>
      </c>
      <c r="Q907" s="38">
        <v>3.5950000000000001E-3</v>
      </c>
      <c r="R907" s="40">
        <v>6.4080000000000004</v>
      </c>
      <c r="S907" s="38">
        <v>6.4009600000000004</v>
      </c>
      <c r="T907" s="38">
        <v>3.2929999999999999E-3</v>
      </c>
      <c r="U907" s="38">
        <v>3.5950000000000001E-3</v>
      </c>
      <c r="V907" s="8">
        <f t="shared" si="14"/>
        <v>2023</v>
      </c>
    </row>
    <row r="908" spans="1:22" s="41" customFormat="1" ht="20.399999999999999" hidden="1" x14ac:dyDescent="0.3">
      <c r="A908" s="36">
        <v>45261</v>
      </c>
      <c r="B908" s="37" t="s">
        <v>19</v>
      </c>
      <c r="C908" s="37" t="s">
        <v>123</v>
      </c>
      <c r="D908" s="37" t="s">
        <v>67</v>
      </c>
      <c r="E908" s="37" t="s">
        <v>5</v>
      </c>
      <c r="F908" s="37" t="s">
        <v>142</v>
      </c>
      <c r="G908" s="37" t="s">
        <v>143</v>
      </c>
      <c r="H908" s="37" t="s">
        <v>115</v>
      </c>
      <c r="I908" s="37" t="s">
        <v>116</v>
      </c>
      <c r="J908" s="37" t="s">
        <v>34</v>
      </c>
      <c r="K908" s="38">
        <v>34.176000000000002</v>
      </c>
      <c r="L908" s="39"/>
      <c r="M908" s="37"/>
      <c r="N908" s="40">
        <v>6.194</v>
      </c>
      <c r="O908" s="38">
        <v>6.1875039999999997</v>
      </c>
      <c r="P908" s="38">
        <v>3.1840000000000002E-3</v>
      </c>
      <c r="Q908" s="38">
        <v>3.4749999999999998E-3</v>
      </c>
      <c r="R908" s="40">
        <v>6.194</v>
      </c>
      <c r="S908" s="38">
        <v>6.1875039999999997</v>
      </c>
      <c r="T908" s="38">
        <v>3.1830000000000001E-3</v>
      </c>
      <c r="U908" s="38">
        <v>3.4749999999999998E-3</v>
      </c>
      <c r="V908" s="8">
        <f t="shared" si="14"/>
        <v>2023</v>
      </c>
    </row>
    <row r="909" spans="1:22" s="41" customFormat="1" ht="20.399999999999999" hidden="1" x14ac:dyDescent="0.3">
      <c r="A909" s="36">
        <v>44562</v>
      </c>
      <c r="B909" s="37" t="s">
        <v>23</v>
      </c>
      <c r="C909" s="37" t="s">
        <v>123</v>
      </c>
      <c r="D909" s="37" t="s">
        <v>67</v>
      </c>
      <c r="E909" s="37" t="s">
        <v>6</v>
      </c>
      <c r="F909" s="37" t="s">
        <v>142</v>
      </c>
      <c r="G909" s="37" t="s">
        <v>143</v>
      </c>
      <c r="H909" s="37" t="s">
        <v>115</v>
      </c>
      <c r="I909" s="37" t="s">
        <v>116</v>
      </c>
      <c r="J909" s="37" t="s">
        <v>34</v>
      </c>
      <c r="K909" s="38">
        <v>11.535833</v>
      </c>
      <c r="L909" s="39"/>
      <c r="M909" s="37"/>
      <c r="N909" s="40">
        <v>3.6139999999999999</v>
      </c>
      <c r="O909" s="38">
        <v>3.6141760000000001</v>
      </c>
      <c r="P909" s="39"/>
      <c r="Q909" s="39"/>
      <c r="R909" s="40">
        <v>1.7370000000000001</v>
      </c>
      <c r="S909" s="38">
        <v>1.7280679999999999</v>
      </c>
      <c r="T909" s="38">
        <v>5.2909999999999997E-3</v>
      </c>
      <c r="U909" s="38">
        <v>3.862E-3</v>
      </c>
      <c r="V909" s="8">
        <f t="shared" si="14"/>
        <v>2022</v>
      </c>
    </row>
    <row r="910" spans="1:22" s="41" customFormat="1" ht="20.399999999999999" hidden="1" x14ac:dyDescent="0.3">
      <c r="A910" s="36">
        <v>44593</v>
      </c>
      <c r="B910" s="37" t="s">
        <v>23</v>
      </c>
      <c r="C910" s="37" t="s">
        <v>123</v>
      </c>
      <c r="D910" s="37" t="s">
        <v>67</v>
      </c>
      <c r="E910" s="37" t="s">
        <v>6</v>
      </c>
      <c r="F910" s="37" t="s">
        <v>142</v>
      </c>
      <c r="G910" s="37" t="s">
        <v>143</v>
      </c>
      <c r="H910" s="37" t="s">
        <v>115</v>
      </c>
      <c r="I910" s="37" t="s">
        <v>116</v>
      </c>
      <c r="J910" s="37" t="s">
        <v>34</v>
      </c>
      <c r="K910" s="38">
        <v>11.535833</v>
      </c>
      <c r="L910" s="39"/>
      <c r="M910" s="37"/>
      <c r="N910" s="40">
        <v>3.6139999999999999</v>
      </c>
      <c r="O910" s="38">
        <v>3.6141760000000001</v>
      </c>
      <c r="P910" s="39"/>
      <c r="Q910" s="39"/>
      <c r="R910" s="40">
        <v>1.7370000000000001</v>
      </c>
      <c r="S910" s="38">
        <v>1.7280679999999999</v>
      </c>
      <c r="T910" s="38">
        <v>5.2909999999999997E-3</v>
      </c>
      <c r="U910" s="38">
        <v>3.862E-3</v>
      </c>
      <c r="V910" s="8">
        <f t="shared" si="14"/>
        <v>2022</v>
      </c>
    </row>
    <row r="911" spans="1:22" s="41" customFormat="1" ht="20.399999999999999" hidden="1" x14ac:dyDescent="0.3">
      <c r="A911" s="36">
        <v>44621</v>
      </c>
      <c r="B911" s="37" t="s">
        <v>23</v>
      </c>
      <c r="C911" s="37" t="s">
        <v>123</v>
      </c>
      <c r="D911" s="37" t="s">
        <v>67</v>
      </c>
      <c r="E911" s="37" t="s">
        <v>6</v>
      </c>
      <c r="F911" s="37" t="s">
        <v>142</v>
      </c>
      <c r="G911" s="37" t="s">
        <v>143</v>
      </c>
      <c r="H911" s="37" t="s">
        <v>115</v>
      </c>
      <c r="I911" s="37" t="s">
        <v>116</v>
      </c>
      <c r="J911" s="37" t="s">
        <v>34</v>
      </c>
      <c r="K911" s="38">
        <v>11.535833</v>
      </c>
      <c r="L911" s="39"/>
      <c r="M911" s="37"/>
      <c r="N911" s="40">
        <v>3.6139999999999999</v>
      </c>
      <c r="O911" s="38">
        <v>3.6141760000000001</v>
      </c>
      <c r="P911" s="39"/>
      <c r="Q911" s="39"/>
      <c r="R911" s="40">
        <v>1.7370000000000001</v>
      </c>
      <c r="S911" s="38">
        <v>1.7280679999999999</v>
      </c>
      <c r="T911" s="38">
        <v>5.2909999999999997E-3</v>
      </c>
      <c r="U911" s="38">
        <v>3.862E-3</v>
      </c>
      <c r="V911" s="8">
        <f t="shared" si="14"/>
        <v>2022</v>
      </c>
    </row>
    <row r="912" spans="1:22" s="41" customFormat="1" ht="20.399999999999999" hidden="1" x14ac:dyDescent="0.3">
      <c r="A912" s="36">
        <v>44652</v>
      </c>
      <c r="B912" s="37" t="s">
        <v>23</v>
      </c>
      <c r="C912" s="37" t="s">
        <v>123</v>
      </c>
      <c r="D912" s="37" t="s">
        <v>67</v>
      </c>
      <c r="E912" s="37" t="s">
        <v>6</v>
      </c>
      <c r="F912" s="37" t="s">
        <v>142</v>
      </c>
      <c r="G912" s="37" t="s">
        <v>143</v>
      </c>
      <c r="H912" s="37" t="s">
        <v>115</v>
      </c>
      <c r="I912" s="37" t="s">
        <v>116</v>
      </c>
      <c r="J912" s="37" t="s">
        <v>34</v>
      </c>
      <c r="K912" s="38">
        <v>11.535833</v>
      </c>
      <c r="L912" s="39"/>
      <c r="M912" s="37"/>
      <c r="N912" s="40">
        <v>3.6139999999999999</v>
      </c>
      <c r="O912" s="38">
        <v>3.6141760000000001</v>
      </c>
      <c r="P912" s="39"/>
      <c r="Q912" s="39"/>
      <c r="R912" s="40">
        <v>1.7370000000000001</v>
      </c>
      <c r="S912" s="38">
        <v>1.7280679999999999</v>
      </c>
      <c r="T912" s="38">
        <v>5.2909999999999997E-3</v>
      </c>
      <c r="U912" s="38">
        <v>3.862E-3</v>
      </c>
      <c r="V912" s="8">
        <f t="shared" si="14"/>
        <v>2022</v>
      </c>
    </row>
    <row r="913" spans="1:22" s="41" customFormat="1" ht="20.399999999999999" hidden="1" x14ac:dyDescent="0.3">
      <c r="A913" s="36">
        <v>44682</v>
      </c>
      <c r="B913" s="37" t="s">
        <v>23</v>
      </c>
      <c r="C913" s="37" t="s">
        <v>123</v>
      </c>
      <c r="D913" s="37" t="s">
        <v>67</v>
      </c>
      <c r="E913" s="37" t="s">
        <v>6</v>
      </c>
      <c r="F913" s="37" t="s">
        <v>142</v>
      </c>
      <c r="G913" s="37" t="s">
        <v>143</v>
      </c>
      <c r="H913" s="37" t="s">
        <v>115</v>
      </c>
      <c r="I913" s="37" t="s">
        <v>116</v>
      </c>
      <c r="J913" s="37" t="s">
        <v>34</v>
      </c>
      <c r="K913" s="38">
        <v>11.535833</v>
      </c>
      <c r="L913" s="39"/>
      <c r="M913" s="37"/>
      <c r="N913" s="40">
        <v>3.6139999999999999</v>
      </c>
      <c r="O913" s="38">
        <v>3.6141760000000001</v>
      </c>
      <c r="P913" s="39"/>
      <c r="Q913" s="39"/>
      <c r="R913" s="40">
        <v>1.7370000000000001</v>
      </c>
      <c r="S913" s="38">
        <v>1.7280679999999999</v>
      </c>
      <c r="T913" s="38">
        <v>5.2909999999999997E-3</v>
      </c>
      <c r="U913" s="38">
        <v>3.862E-3</v>
      </c>
      <c r="V913" s="8">
        <f t="shared" si="14"/>
        <v>2022</v>
      </c>
    </row>
    <row r="914" spans="1:22" s="41" customFormat="1" ht="20.399999999999999" hidden="1" x14ac:dyDescent="0.3">
      <c r="A914" s="36">
        <v>44713</v>
      </c>
      <c r="B914" s="37" t="s">
        <v>23</v>
      </c>
      <c r="C914" s="37" t="s">
        <v>123</v>
      </c>
      <c r="D914" s="37" t="s">
        <v>67</v>
      </c>
      <c r="E914" s="37" t="s">
        <v>6</v>
      </c>
      <c r="F914" s="37" t="s">
        <v>142</v>
      </c>
      <c r="G914" s="37" t="s">
        <v>143</v>
      </c>
      <c r="H914" s="37" t="s">
        <v>115</v>
      </c>
      <c r="I914" s="37" t="s">
        <v>116</v>
      </c>
      <c r="J914" s="37" t="s">
        <v>34</v>
      </c>
      <c r="K914" s="38">
        <v>11.535833</v>
      </c>
      <c r="L914" s="39"/>
      <c r="M914" s="37"/>
      <c r="N914" s="40">
        <v>3.6139999999999999</v>
      </c>
      <c r="O914" s="38">
        <v>3.6141760000000001</v>
      </c>
      <c r="P914" s="39"/>
      <c r="Q914" s="39"/>
      <c r="R914" s="40">
        <v>1.7370000000000001</v>
      </c>
      <c r="S914" s="38">
        <v>1.7280679999999999</v>
      </c>
      <c r="T914" s="38">
        <v>5.2909999999999997E-3</v>
      </c>
      <c r="U914" s="38">
        <v>3.862E-3</v>
      </c>
      <c r="V914" s="8">
        <f t="shared" si="14"/>
        <v>2022</v>
      </c>
    </row>
    <row r="915" spans="1:22" s="41" customFormat="1" ht="20.399999999999999" hidden="1" x14ac:dyDescent="0.3">
      <c r="A915" s="36">
        <v>44743</v>
      </c>
      <c r="B915" s="37" t="s">
        <v>23</v>
      </c>
      <c r="C915" s="37" t="s">
        <v>123</v>
      </c>
      <c r="D915" s="37" t="s">
        <v>67</v>
      </c>
      <c r="E915" s="37" t="s">
        <v>6</v>
      </c>
      <c r="F915" s="37" t="s">
        <v>142</v>
      </c>
      <c r="G915" s="37" t="s">
        <v>143</v>
      </c>
      <c r="H915" s="37" t="s">
        <v>115</v>
      </c>
      <c r="I915" s="37" t="s">
        <v>116</v>
      </c>
      <c r="J915" s="37" t="s">
        <v>34</v>
      </c>
      <c r="K915" s="38">
        <v>11.535833</v>
      </c>
      <c r="L915" s="39"/>
      <c r="M915" s="37"/>
      <c r="N915" s="40">
        <v>3.6139999999999999</v>
      </c>
      <c r="O915" s="38">
        <v>3.6141760000000001</v>
      </c>
      <c r="P915" s="39"/>
      <c r="Q915" s="39"/>
      <c r="R915" s="40">
        <v>1.7370000000000001</v>
      </c>
      <c r="S915" s="38">
        <v>1.7280679999999999</v>
      </c>
      <c r="T915" s="38">
        <v>5.2909999999999997E-3</v>
      </c>
      <c r="U915" s="38">
        <v>3.862E-3</v>
      </c>
      <c r="V915" s="8">
        <f t="shared" si="14"/>
        <v>2022</v>
      </c>
    </row>
    <row r="916" spans="1:22" s="41" customFormat="1" ht="20.399999999999999" hidden="1" x14ac:dyDescent="0.3">
      <c r="A916" s="36">
        <v>44774</v>
      </c>
      <c r="B916" s="37" t="s">
        <v>23</v>
      </c>
      <c r="C916" s="37" t="s">
        <v>123</v>
      </c>
      <c r="D916" s="37" t="s">
        <v>67</v>
      </c>
      <c r="E916" s="37" t="s">
        <v>6</v>
      </c>
      <c r="F916" s="37" t="s">
        <v>142</v>
      </c>
      <c r="G916" s="37" t="s">
        <v>143</v>
      </c>
      <c r="H916" s="37" t="s">
        <v>115</v>
      </c>
      <c r="I916" s="37" t="s">
        <v>116</v>
      </c>
      <c r="J916" s="37" t="s">
        <v>34</v>
      </c>
      <c r="K916" s="38">
        <v>11.535833</v>
      </c>
      <c r="L916" s="39"/>
      <c r="M916" s="37"/>
      <c r="N916" s="40">
        <v>3.6139999999999999</v>
      </c>
      <c r="O916" s="38">
        <v>3.6141760000000001</v>
      </c>
      <c r="P916" s="39"/>
      <c r="Q916" s="39"/>
      <c r="R916" s="40">
        <v>1.7370000000000001</v>
      </c>
      <c r="S916" s="38">
        <v>1.7280679999999999</v>
      </c>
      <c r="T916" s="38">
        <v>5.2909999999999997E-3</v>
      </c>
      <c r="U916" s="38">
        <v>3.862E-3</v>
      </c>
      <c r="V916" s="8">
        <f t="shared" si="14"/>
        <v>2022</v>
      </c>
    </row>
    <row r="917" spans="1:22" s="41" customFormat="1" ht="20.399999999999999" hidden="1" x14ac:dyDescent="0.3">
      <c r="A917" s="36">
        <v>44805</v>
      </c>
      <c r="B917" s="37" t="s">
        <v>23</v>
      </c>
      <c r="C917" s="37" t="s">
        <v>123</v>
      </c>
      <c r="D917" s="37" t="s">
        <v>67</v>
      </c>
      <c r="E917" s="37" t="s">
        <v>6</v>
      </c>
      <c r="F917" s="37" t="s">
        <v>142</v>
      </c>
      <c r="G917" s="37" t="s">
        <v>143</v>
      </c>
      <c r="H917" s="37" t="s">
        <v>115</v>
      </c>
      <c r="I917" s="37" t="s">
        <v>116</v>
      </c>
      <c r="J917" s="37" t="s">
        <v>34</v>
      </c>
      <c r="K917" s="38">
        <v>11.535833</v>
      </c>
      <c r="L917" s="39"/>
      <c r="M917" s="37"/>
      <c r="N917" s="40">
        <v>3.6139999999999999</v>
      </c>
      <c r="O917" s="38">
        <v>3.6141760000000001</v>
      </c>
      <c r="P917" s="39"/>
      <c r="Q917" s="39"/>
      <c r="R917" s="40">
        <v>1.7370000000000001</v>
      </c>
      <c r="S917" s="38">
        <v>1.7280679999999999</v>
      </c>
      <c r="T917" s="38">
        <v>5.2909999999999997E-3</v>
      </c>
      <c r="U917" s="38">
        <v>3.862E-3</v>
      </c>
      <c r="V917" s="8">
        <f t="shared" si="14"/>
        <v>2022</v>
      </c>
    </row>
    <row r="918" spans="1:22" s="41" customFormat="1" ht="20.399999999999999" hidden="1" x14ac:dyDescent="0.3">
      <c r="A918" s="36">
        <v>44835</v>
      </c>
      <c r="B918" s="37" t="s">
        <v>23</v>
      </c>
      <c r="C918" s="37" t="s">
        <v>123</v>
      </c>
      <c r="D918" s="37" t="s">
        <v>67</v>
      </c>
      <c r="E918" s="37" t="s">
        <v>6</v>
      </c>
      <c r="F918" s="37" t="s">
        <v>142</v>
      </c>
      <c r="G918" s="37" t="s">
        <v>143</v>
      </c>
      <c r="H918" s="37" t="s">
        <v>115</v>
      </c>
      <c r="I918" s="37" t="s">
        <v>116</v>
      </c>
      <c r="J918" s="37" t="s">
        <v>34</v>
      </c>
      <c r="K918" s="38">
        <v>11.535833</v>
      </c>
      <c r="L918" s="39"/>
      <c r="M918" s="37"/>
      <c r="N918" s="40">
        <v>3.6139999999999999</v>
      </c>
      <c r="O918" s="38">
        <v>3.6141760000000001</v>
      </c>
      <c r="P918" s="39"/>
      <c r="Q918" s="39"/>
      <c r="R918" s="40">
        <v>1.7370000000000001</v>
      </c>
      <c r="S918" s="38">
        <v>1.7280679999999999</v>
      </c>
      <c r="T918" s="38">
        <v>5.2909999999999997E-3</v>
      </c>
      <c r="U918" s="38">
        <v>3.862E-3</v>
      </c>
      <c r="V918" s="8">
        <f t="shared" si="14"/>
        <v>2022</v>
      </c>
    </row>
    <row r="919" spans="1:22" s="41" customFormat="1" ht="20.399999999999999" hidden="1" x14ac:dyDescent="0.3">
      <c r="A919" s="36">
        <v>44866</v>
      </c>
      <c r="B919" s="37" t="s">
        <v>23</v>
      </c>
      <c r="C919" s="37" t="s">
        <v>123</v>
      </c>
      <c r="D919" s="37" t="s">
        <v>67</v>
      </c>
      <c r="E919" s="37" t="s">
        <v>6</v>
      </c>
      <c r="F919" s="37" t="s">
        <v>142</v>
      </c>
      <c r="G919" s="37" t="s">
        <v>143</v>
      </c>
      <c r="H919" s="37" t="s">
        <v>115</v>
      </c>
      <c r="I919" s="37" t="s">
        <v>116</v>
      </c>
      <c r="J919" s="37" t="s">
        <v>34</v>
      </c>
      <c r="K919" s="38">
        <v>11.535833</v>
      </c>
      <c r="L919" s="39"/>
      <c r="M919" s="37"/>
      <c r="N919" s="40">
        <v>3.6139999999999999</v>
      </c>
      <c r="O919" s="38">
        <v>3.6141760000000001</v>
      </c>
      <c r="P919" s="39"/>
      <c r="Q919" s="39"/>
      <c r="R919" s="40">
        <v>1.7370000000000001</v>
      </c>
      <c r="S919" s="38">
        <v>1.7280679999999999</v>
      </c>
      <c r="T919" s="38">
        <v>5.2909999999999997E-3</v>
      </c>
      <c r="U919" s="38">
        <v>3.862E-3</v>
      </c>
      <c r="V919" s="8">
        <f t="shared" si="14"/>
        <v>2022</v>
      </c>
    </row>
    <row r="920" spans="1:22" s="41" customFormat="1" ht="20.399999999999999" hidden="1" x14ac:dyDescent="0.3">
      <c r="A920" s="36">
        <v>44896</v>
      </c>
      <c r="B920" s="37" t="s">
        <v>23</v>
      </c>
      <c r="C920" s="37" t="s">
        <v>123</v>
      </c>
      <c r="D920" s="37" t="s">
        <v>67</v>
      </c>
      <c r="E920" s="37" t="s">
        <v>6</v>
      </c>
      <c r="F920" s="37" t="s">
        <v>142</v>
      </c>
      <c r="G920" s="37" t="s">
        <v>143</v>
      </c>
      <c r="H920" s="37" t="s">
        <v>115</v>
      </c>
      <c r="I920" s="37" t="s">
        <v>116</v>
      </c>
      <c r="J920" s="37" t="s">
        <v>34</v>
      </c>
      <c r="K920" s="38">
        <v>11.535833</v>
      </c>
      <c r="L920" s="39"/>
      <c r="M920" s="37"/>
      <c r="N920" s="40">
        <v>3.6139999999999999</v>
      </c>
      <c r="O920" s="38">
        <v>3.6141760000000001</v>
      </c>
      <c r="P920" s="39"/>
      <c r="Q920" s="39"/>
      <c r="R920" s="40">
        <v>1.7370000000000001</v>
      </c>
      <c r="S920" s="38">
        <v>1.7280679999999999</v>
      </c>
      <c r="T920" s="38">
        <v>5.2909999999999997E-3</v>
      </c>
      <c r="U920" s="38">
        <v>3.862E-3</v>
      </c>
      <c r="V920" s="8">
        <f t="shared" si="14"/>
        <v>2022</v>
      </c>
    </row>
    <row r="921" spans="1:22" s="41" customFormat="1" ht="20.399999999999999" hidden="1" x14ac:dyDescent="0.3">
      <c r="A921" s="36">
        <v>44927</v>
      </c>
      <c r="B921" s="37" t="s">
        <v>23</v>
      </c>
      <c r="C921" s="37" t="s">
        <v>123</v>
      </c>
      <c r="D921" s="37" t="s">
        <v>67</v>
      </c>
      <c r="E921" s="37" t="s">
        <v>6</v>
      </c>
      <c r="F921" s="37" t="s">
        <v>142</v>
      </c>
      <c r="G921" s="37" t="s">
        <v>143</v>
      </c>
      <c r="H921" s="37" t="s">
        <v>115</v>
      </c>
      <c r="I921" s="37" t="s">
        <v>116</v>
      </c>
      <c r="J921" s="37" t="s">
        <v>34</v>
      </c>
      <c r="K921" s="38">
        <v>15.018000000000001</v>
      </c>
      <c r="L921" s="39"/>
      <c r="M921" s="37"/>
      <c r="N921" s="40">
        <v>4.1319999999999997</v>
      </c>
      <c r="O921" s="38">
        <v>4.131602</v>
      </c>
      <c r="P921" s="39"/>
      <c r="Q921" s="39"/>
      <c r="R921" s="40">
        <v>2.262</v>
      </c>
      <c r="S921" s="38">
        <v>2.2496960000000001</v>
      </c>
      <c r="T921" s="38">
        <v>6.888E-3</v>
      </c>
      <c r="U921" s="38">
        <v>5.0280000000000004E-3</v>
      </c>
      <c r="V921" s="8">
        <f t="shared" si="14"/>
        <v>2023</v>
      </c>
    </row>
    <row r="922" spans="1:22" s="41" customFormat="1" ht="20.399999999999999" hidden="1" x14ac:dyDescent="0.3">
      <c r="A922" s="36">
        <v>44958</v>
      </c>
      <c r="B922" s="37" t="s">
        <v>23</v>
      </c>
      <c r="C922" s="37" t="s">
        <v>123</v>
      </c>
      <c r="D922" s="37" t="s">
        <v>67</v>
      </c>
      <c r="E922" s="37" t="s">
        <v>6</v>
      </c>
      <c r="F922" s="37" t="s">
        <v>142</v>
      </c>
      <c r="G922" s="37" t="s">
        <v>143</v>
      </c>
      <c r="H922" s="37" t="s">
        <v>115</v>
      </c>
      <c r="I922" s="37" t="s">
        <v>116</v>
      </c>
      <c r="J922" s="37" t="s">
        <v>34</v>
      </c>
      <c r="K922" s="38">
        <v>13.615</v>
      </c>
      <c r="L922" s="39"/>
      <c r="M922" s="37"/>
      <c r="N922" s="40">
        <v>3.746</v>
      </c>
      <c r="O922" s="38">
        <v>3.7456230000000001</v>
      </c>
      <c r="P922" s="39"/>
      <c r="Q922" s="39"/>
      <c r="R922" s="40">
        <v>2.0499999999999998</v>
      </c>
      <c r="S922" s="38">
        <v>2.0395270000000001</v>
      </c>
      <c r="T922" s="38">
        <v>6.2440000000000004E-3</v>
      </c>
      <c r="U922" s="38">
        <v>4.5580000000000004E-3</v>
      </c>
      <c r="V922" s="8">
        <f t="shared" si="14"/>
        <v>2023</v>
      </c>
    </row>
    <row r="923" spans="1:22" s="41" customFormat="1" ht="20.399999999999999" hidden="1" x14ac:dyDescent="0.3">
      <c r="A923" s="36">
        <v>44986</v>
      </c>
      <c r="B923" s="37" t="s">
        <v>23</v>
      </c>
      <c r="C923" s="37" t="s">
        <v>123</v>
      </c>
      <c r="D923" s="37" t="s">
        <v>67</v>
      </c>
      <c r="E923" s="37" t="s">
        <v>6</v>
      </c>
      <c r="F923" s="37" t="s">
        <v>142</v>
      </c>
      <c r="G923" s="37" t="s">
        <v>143</v>
      </c>
      <c r="H923" s="37" t="s">
        <v>115</v>
      </c>
      <c r="I923" s="37" t="s">
        <v>116</v>
      </c>
      <c r="J923" s="37" t="s">
        <v>34</v>
      </c>
      <c r="K923" s="38">
        <v>13.696</v>
      </c>
      <c r="L923" s="39"/>
      <c r="M923" s="37"/>
      <c r="N923" s="40">
        <v>3.7679999999999998</v>
      </c>
      <c r="O923" s="38">
        <v>3.7679070000000001</v>
      </c>
      <c r="P923" s="39"/>
      <c r="Q923" s="39"/>
      <c r="R923" s="40">
        <v>2.0630000000000002</v>
      </c>
      <c r="S923" s="38">
        <v>2.0516610000000002</v>
      </c>
      <c r="T923" s="38">
        <v>6.2820000000000003E-3</v>
      </c>
      <c r="U923" s="38">
        <v>4.5849999999999997E-3</v>
      </c>
      <c r="V923" s="8">
        <f t="shared" si="14"/>
        <v>2023</v>
      </c>
    </row>
    <row r="924" spans="1:22" s="41" customFormat="1" ht="20.399999999999999" hidden="1" x14ac:dyDescent="0.3">
      <c r="A924" s="36">
        <v>45017</v>
      </c>
      <c r="B924" s="37" t="s">
        <v>23</v>
      </c>
      <c r="C924" s="37" t="s">
        <v>123</v>
      </c>
      <c r="D924" s="37" t="s">
        <v>67</v>
      </c>
      <c r="E924" s="37" t="s">
        <v>6</v>
      </c>
      <c r="F924" s="37" t="s">
        <v>142</v>
      </c>
      <c r="G924" s="37" t="s">
        <v>143</v>
      </c>
      <c r="H924" s="37" t="s">
        <v>115</v>
      </c>
      <c r="I924" s="37" t="s">
        <v>116</v>
      </c>
      <c r="J924" s="37" t="s">
        <v>34</v>
      </c>
      <c r="K924" s="38">
        <v>9.8670000000000009</v>
      </c>
      <c r="L924" s="39"/>
      <c r="M924" s="37"/>
      <c r="N924" s="40">
        <v>2.7149999999999999</v>
      </c>
      <c r="O924" s="38">
        <v>2.7145100000000002</v>
      </c>
      <c r="P924" s="39"/>
      <c r="Q924" s="39"/>
      <c r="R924" s="40">
        <v>1.486</v>
      </c>
      <c r="S924" s="38">
        <v>1.4780770000000001</v>
      </c>
      <c r="T924" s="38">
        <v>4.5250000000000004E-3</v>
      </c>
      <c r="U924" s="38">
        <v>3.3029999999999999E-3</v>
      </c>
      <c r="V924" s="8">
        <f t="shared" si="14"/>
        <v>2023</v>
      </c>
    </row>
    <row r="925" spans="1:22" s="41" customFormat="1" ht="20.399999999999999" hidden="1" x14ac:dyDescent="0.3">
      <c r="A925" s="36">
        <v>45047</v>
      </c>
      <c r="B925" s="37" t="s">
        <v>23</v>
      </c>
      <c r="C925" s="37" t="s">
        <v>123</v>
      </c>
      <c r="D925" s="37" t="s">
        <v>67</v>
      </c>
      <c r="E925" s="37" t="s">
        <v>6</v>
      </c>
      <c r="F925" s="37" t="s">
        <v>142</v>
      </c>
      <c r="G925" s="37" t="s">
        <v>143</v>
      </c>
      <c r="H925" s="37" t="s">
        <v>115</v>
      </c>
      <c r="I925" s="37" t="s">
        <v>116</v>
      </c>
      <c r="J925" s="37" t="s">
        <v>34</v>
      </c>
      <c r="K925" s="38">
        <v>11.255000000000001</v>
      </c>
      <c r="L925" s="39"/>
      <c r="M925" s="37"/>
      <c r="N925" s="40">
        <v>3.0960000000000001</v>
      </c>
      <c r="O925" s="38">
        <v>3.0963630000000002</v>
      </c>
      <c r="P925" s="39"/>
      <c r="Q925" s="39"/>
      <c r="R925" s="40">
        <v>1.6950000000000001</v>
      </c>
      <c r="S925" s="38">
        <v>1.685999</v>
      </c>
      <c r="T925" s="38">
        <v>5.1619999999999999E-3</v>
      </c>
      <c r="U925" s="38">
        <v>3.7680000000000001E-3</v>
      </c>
      <c r="V925" s="8">
        <f t="shared" si="14"/>
        <v>2023</v>
      </c>
    </row>
    <row r="926" spans="1:22" s="41" customFormat="1" ht="20.399999999999999" hidden="1" x14ac:dyDescent="0.3">
      <c r="A926" s="36">
        <v>45078</v>
      </c>
      <c r="B926" s="37" t="s">
        <v>23</v>
      </c>
      <c r="C926" s="37" t="s">
        <v>123</v>
      </c>
      <c r="D926" s="37" t="s">
        <v>67</v>
      </c>
      <c r="E926" s="37" t="s">
        <v>6</v>
      </c>
      <c r="F926" s="37" t="s">
        <v>142</v>
      </c>
      <c r="G926" s="37" t="s">
        <v>143</v>
      </c>
      <c r="H926" s="37" t="s">
        <v>115</v>
      </c>
      <c r="I926" s="37" t="s">
        <v>116</v>
      </c>
      <c r="J926" s="37" t="s">
        <v>34</v>
      </c>
      <c r="K926" s="38">
        <v>11.893000000000001</v>
      </c>
      <c r="L926" s="39"/>
      <c r="M926" s="37"/>
      <c r="N926" s="40">
        <v>3.2719999999999998</v>
      </c>
      <c r="O926" s="38">
        <v>3.2718829999999999</v>
      </c>
      <c r="P926" s="39"/>
      <c r="Q926" s="39"/>
      <c r="R926" s="40">
        <v>1.7909999999999999</v>
      </c>
      <c r="S926" s="38">
        <v>1.781571</v>
      </c>
      <c r="T926" s="38">
        <v>5.4549999999999998E-3</v>
      </c>
      <c r="U926" s="38">
        <v>3.9820000000000003E-3</v>
      </c>
      <c r="V926" s="8">
        <f t="shared" si="14"/>
        <v>2023</v>
      </c>
    </row>
    <row r="927" spans="1:22" s="41" customFormat="1" ht="20.399999999999999" hidden="1" x14ac:dyDescent="0.3">
      <c r="A927" s="36">
        <v>45108</v>
      </c>
      <c r="B927" s="37" t="s">
        <v>23</v>
      </c>
      <c r="C927" s="37" t="s">
        <v>123</v>
      </c>
      <c r="D927" s="37" t="s">
        <v>67</v>
      </c>
      <c r="E927" s="37" t="s">
        <v>6</v>
      </c>
      <c r="F927" s="37" t="s">
        <v>142</v>
      </c>
      <c r="G927" s="37" t="s">
        <v>143</v>
      </c>
      <c r="H927" s="37" t="s">
        <v>115</v>
      </c>
      <c r="I927" s="37" t="s">
        <v>116</v>
      </c>
      <c r="J927" s="37" t="s">
        <v>34</v>
      </c>
      <c r="K927" s="38">
        <v>12.323</v>
      </c>
      <c r="L927" s="39"/>
      <c r="M927" s="37"/>
      <c r="N927" s="40">
        <v>3.39</v>
      </c>
      <c r="O927" s="38">
        <v>3.3901810000000001</v>
      </c>
      <c r="P927" s="39"/>
      <c r="Q927" s="39"/>
      <c r="R927" s="40">
        <v>1.8560000000000001</v>
      </c>
      <c r="S927" s="38">
        <v>1.845985</v>
      </c>
      <c r="T927" s="38">
        <v>5.6519999999999999E-3</v>
      </c>
      <c r="U927" s="38">
        <v>4.1260000000000003E-3</v>
      </c>
      <c r="V927" s="8">
        <f t="shared" si="14"/>
        <v>2023</v>
      </c>
    </row>
    <row r="928" spans="1:22" s="41" customFormat="1" ht="20.399999999999999" hidden="1" x14ac:dyDescent="0.3">
      <c r="A928" s="36">
        <v>45139</v>
      </c>
      <c r="B928" s="37" t="s">
        <v>23</v>
      </c>
      <c r="C928" s="37" t="s">
        <v>123</v>
      </c>
      <c r="D928" s="37" t="s">
        <v>67</v>
      </c>
      <c r="E928" s="37" t="s">
        <v>6</v>
      </c>
      <c r="F928" s="37" t="s">
        <v>142</v>
      </c>
      <c r="G928" s="37" t="s">
        <v>143</v>
      </c>
      <c r="H928" s="37" t="s">
        <v>115</v>
      </c>
      <c r="I928" s="37" t="s">
        <v>116</v>
      </c>
      <c r="J928" s="37" t="s">
        <v>34</v>
      </c>
      <c r="K928" s="38">
        <v>13.497</v>
      </c>
      <c r="L928" s="39"/>
      <c r="M928" s="37"/>
      <c r="N928" s="40">
        <v>3.7130000000000001</v>
      </c>
      <c r="O928" s="38">
        <v>3.7131599999999998</v>
      </c>
      <c r="P928" s="39"/>
      <c r="Q928" s="39"/>
      <c r="R928" s="40">
        <v>2.0329999999999999</v>
      </c>
      <c r="S928" s="38">
        <v>2.0218509999999998</v>
      </c>
      <c r="T928" s="38">
        <v>6.1900000000000002E-3</v>
      </c>
      <c r="U928" s="38">
        <v>4.5189999999999996E-3</v>
      </c>
      <c r="V928" s="8">
        <f t="shared" si="14"/>
        <v>2023</v>
      </c>
    </row>
    <row r="929" spans="1:22" s="41" customFormat="1" ht="20.399999999999999" hidden="1" x14ac:dyDescent="0.3">
      <c r="A929" s="36">
        <v>45170</v>
      </c>
      <c r="B929" s="37" t="s">
        <v>23</v>
      </c>
      <c r="C929" s="37" t="s">
        <v>123</v>
      </c>
      <c r="D929" s="37" t="s">
        <v>67</v>
      </c>
      <c r="E929" s="37" t="s">
        <v>6</v>
      </c>
      <c r="F929" s="37" t="s">
        <v>142</v>
      </c>
      <c r="G929" s="37" t="s">
        <v>143</v>
      </c>
      <c r="H929" s="37" t="s">
        <v>115</v>
      </c>
      <c r="I929" s="37" t="s">
        <v>116</v>
      </c>
      <c r="J929" s="37" t="s">
        <v>34</v>
      </c>
      <c r="K929" s="38">
        <v>11.023999999999999</v>
      </c>
      <c r="L929" s="39"/>
      <c r="M929" s="37"/>
      <c r="N929" s="40">
        <v>3.0329999999999999</v>
      </c>
      <c r="O929" s="38">
        <v>3.032813</v>
      </c>
      <c r="P929" s="39"/>
      <c r="Q929" s="39"/>
      <c r="R929" s="40">
        <v>1.66</v>
      </c>
      <c r="S929" s="38">
        <v>1.6513949999999999</v>
      </c>
      <c r="T929" s="38">
        <v>5.0559999999999997E-3</v>
      </c>
      <c r="U929" s="38">
        <v>3.6909999999999998E-3</v>
      </c>
      <c r="V929" s="8">
        <f t="shared" si="14"/>
        <v>2023</v>
      </c>
    </row>
    <row r="930" spans="1:22" s="41" customFormat="1" ht="20.399999999999999" hidden="1" x14ac:dyDescent="0.3">
      <c r="A930" s="36">
        <v>45200</v>
      </c>
      <c r="B930" s="37" t="s">
        <v>23</v>
      </c>
      <c r="C930" s="37" t="s">
        <v>123</v>
      </c>
      <c r="D930" s="37" t="s">
        <v>67</v>
      </c>
      <c r="E930" s="37" t="s">
        <v>6</v>
      </c>
      <c r="F930" s="37" t="s">
        <v>142</v>
      </c>
      <c r="G930" s="37" t="s">
        <v>143</v>
      </c>
      <c r="H930" s="37" t="s">
        <v>115</v>
      </c>
      <c r="I930" s="37" t="s">
        <v>116</v>
      </c>
      <c r="J930" s="37" t="s">
        <v>34</v>
      </c>
      <c r="K930" s="38">
        <v>10.714</v>
      </c>
      <c r="L930" s="42">
        <v>2064.0269109999999</v>
      </c>
      <c r="M930" s="37"/>
      <c r="N930" s="40">
        <v>2.948</v>
      </c>
      <c r="O930" s="38">
        <v>2.9475289999999998</v>
      </c>
      <c r="P930" s="39"/>
      <c r="Q930" s="39"/>
      <c r="R930" s="40">
        <v>1.613</v>
      </c>
      <c r="S930" s="38">
        <v>1.604957</v>
      </c>
      <c r="T930" s="38">
        <v>4.914E-3</v>
      </c>
      <c r="U930" s="38">
        <v>3.5869999999999999E-3</v>
      </c>
      <c r="V930" s="8">
        <f t="shared" si="14"/>
        <v>2023</v>
      </c>
    </row>
    <row r="931" spans="1:22" s="41" customFormat="1" ht="20.399999999999999" hidden="1" x14ac:dyDescent="0.3">
      <c r="A931" s="36">
        <v>45231</v>
      </c>
      <c r="B931" s="37" t="s">
        <v>23</v>
      </c>
      <c r="C931" s="37" t="s">
        <v>123</v>
      </c>
      <c r="D931" s="37" t="s">
        <v>67</v>
      </c>
      <c r="E931" s="37" t="s">
        <v>6</v>
      </c>
      <c r="F931" s="37" t="s">
        <v>142</v>
      </c>
      <c r="G931" s="37" t="s">
        <v>143</v>
      </c>
      <c r="H931" s="37" t="s">
        <v>115</v>
      </c>
      <c r="I931" s="37" t="s">
        <v>116</v>
      </c>
      <c r="J931" s="37" t="s">
        <v>34</v>
      </c>
      <c r="K931" s="38">
        <v>10.718</v>
      </c>
      <c r="L931" s="39"/>
      <c r="M931" s="37"/>
      <c r="N931" s="40">
        <v>2.9489999999999998</v>
      </c>
      <c r="O931" s="38">
        <v>2.9486289999999999</v>
      </c>
      <c r="P931" s="39"/>
      <c r="Q931" s="39"/>
      <c r="R931" s="40">
        <v>1.6140000000000001</v>
      </c>
      <c r="S931" s="38">
        <v>1.605556</v>
      </c>
      <c r="T931" s="38">
        <v>4.9160000000000002E-3</v>
      </c>
      <c r="U931" s="38">
        <v>3.588E-3</v>
      </c>
      <c r="V931" s="8">
        <f t="shared" si="14"/>
        <v>2023</v>
      </c>
    </row>
    <row r="932" spans="1:22" s="41" customFormat="1" ht="20.399999999999999" hidden="1" x14ac:dyDescent="0.3">
      <c r="A932" s="36">
        <v>45261</v>
      </c>
      <c r="B932" s="37" t="s">
        <v>23</v>
      </c>
      <c r="C932" s="37" t="s">
        <v>123</v>
      </c>
      <c r="D932" s="37" t="s">
        <v>67</v>
      </c>
      <c r="E932" s="37" t="s">
        <v>6</v>
      </c>
      <c r="F932" s="37" t="s">
        <v>142</v>
      </c>
      <c r="G932" s="37" t="s">
        <v>143</v>
      </c>
      <c r="H932" s="37" t="s">
        <v>115</v>
      </c>
      <c r="I932" s="37" t="s">
        <v>116</v>
      </c>
      <c r="J932" s="37" t="s">
        <v>34</v>
      </c>
      <c r="K932" s="38">
        <v>11.08</v>
      </c>
      <c r="L932" s="39"/>
      <c r="M932" s="37"/>
      <c r="N932" s="40">
        <v>3.048</v>
      </c>
      <c r="O932" s="38">
        <v>3.048219</v>
      </c>
      <c r="P932" s="39"/>
      <c r="Q932" s="39"/>
      <c r="R932" s="40">
        <v>1.669</v>
      </c>
      <c r="S932" s="38">
        <v>1.6597839999999999</v>
      </c>
      <c r="T932" s="38">
        <v>5.0819999999999997E-3</v>
      </c>
      <c r="U932" s="38">
        <v>3.7100000000000002E-3</v>
      </c>
      <c r="V932" s="8">
        <f t="shared" si="14"/>
        <v>2023</v>
      </c>
    </row>
    <row r="933" spans="1:22" s="41" customFormat="1" ht="20.399999999999999" hidden="1" x14ac:dyDescent="0.3">
      <c r="A933" s="36">
        <v>44927</v>
      </c>
      <c r="B933" s="37" t="s">
        <v>27</v>
      </c>
      <c r="C933" s="37" t="s">
        <v>123</v>
      </c>
      <c r="D933" s="37" t="s">
        <v>67</v>
      </c>
      <c r="E933" s="37" t="s">
        <v>7</v>
      </c>
      <c r="F933" s="37" t="s">
        <v>142</v>
      </c>
      <c r="G933" s="37" t="s">
        <v>143</v>
      </c>
      <c r="H933" s="37" t="s">
        <v>115</v>
      </c>
      <c r="I933" s="37" t="s">
        <v>116</v>
      </c>
      <c r="J933" s="37" t="s">
        <v>36</v>
      </c>
      <c r="K933" s="38">
        <v>1.3</v>
      </c>
      <c r="L933" s="39"/>
      <c r="M933" s="37"/>
      <c r="N933" s="40">
        <v>0.67600000000000005</v>
      </c>
      <c r="O933" s="38">
        <v>0.67643500000000001</v>
      </c>
      <c r="P933" s="39"/>
      <c r="Q933" s="39"/>
      <c r="R933" s="40">
        <v>0.67600000000000005</v>
      </c>
      <c r="S933" s="38">
        <v>0.67643500000000001</v>
      </c>
      <c r="T933" s="39"/>
      <c r="U933" s="39"/>
      <c r="V933" s="8">
        <f t="shared" si="14"/>
        <v>2023</v>
      </c>
    </row>
    <row r="934" spans="1:22" s="41" customFormat="1" ht="20.399999999999999" hidden="1" x14ac:dyDescent="0.3">
      <c r="A934" s="36">
        <v>44958</v>
      </c>
      <c r="B934" s="37" t="s">
        <v>25</v>
      </c>
      <c r="C934" s="37" t="s">
        <v>123</v>
      </c>
      <c r="D934" s="37" t="s">
        <v>67</v>
      </c>
      <c r="E934" s="37" t="s">
        <v>7</v>
      </c>
      <c r="F934" s="37" t="s">
        <v>142</v>
      </c>
      <c r="G934" s="37" t="s">
        <v>143</v>
      </c>
      <c r="H934" s="37" t="s">
        <v>115</v>
      </c>
      <c r="I934" s="37" t="s">
        <v>116</v>
      </c>
      <c r="J934" s="37" t="s">
        <v>36</v>
      </c>
      <c r="K934" s="38">
        <v>0.42</v>
      </c>
      <c r="L934" s="39"/>
      <c r="M934" s="37"/>
      <c r="N934" s="40">
        <v>0.219</v>
      </c>
      <c r="O934" s="38">
        <v>0.21854100000000001</v>
      </c>
      <c r="P934" s="39"/>
      <c r="Q934" s="39"/>
      <c r="R934" s="40">
        <v>0.219</v>
      </c>
      <c r="S934" s="38">
        <v>0.21854100000000001</v>
      </c>
      <c r="T934" s="39"/>
      <c r="U934" s="39"/>
      <c r="V934" s="8">
        <f t="shared" si="14"/>
        <v>2023</v>
      </c>
    </row>
    <row r="935" spans="1:22" s="41" customFormat="1" ht="20.399999999999999" hidden="1" x14ac:dyDescent="0.3">
      <c r="A935" s="36">
        <v>44958</v>
      </c>
      <c r="B935" s="37" t="s">
        <v>27</v>
      </c>
      <c r="C935" s="37" t="s">
        <v>123</v>
      </c>
      <c r="D935" s="37" t="s">
        <v>67</v>
      </c>
      <c r="E935" s="37" t="s">
        <v>7</v>
      </c>
      <c r="F935" s="37" t="s">
        <v>142</v>
      </c>
      <c r="G935" s="37" t="s">
        <v>143</v>
      </c>
      <c r="H935" s="37" t="s">
        <v>115</v>
      </c>
      <c r="I935" s="37" t="s">
        <v>116</v>
      </c>
      <c r="J935" s="37" t="s">
        <v>36</v>
      </c>
      <c r="K935" s="38">
        <v>32</v>
      </c>
      <c r="L935" s="39"/>
      <c r="M935" s="37"/>
      <c r="N935" s="40">
        <v>16.651</v>
      </c>
      <c r="O935" s="38">
        <v>16.65071</v>
      </c>
      <c r="P935" s="39"/>
      <c r="Q935" s="39"/>
      <c r="R935" s="40">
        <v>16.651</v>
      </c>
      <c r="S935" s="38">
        <v>16.65071</v>
      </c>
      <c r="T935" s="39"/>
      <c r="U935" s="39"/>
      <c r="V935" s="8">
        <f t="shared" si="14"/>
        <v>2023</v>
      </c>
    </row>
    <row r="936" spans="1:22" s="41" customFormat="1" ht="20.399999999999999" hidden="1" x14ac:dyDescent="0.3">
      <c r="A936" s="36">
        <v>44986</v>
      </c>
      <c r="B936" s="37" t="s">
        <v>27</v>
      </c>
      <c r="C936" s="37" t="s">
        <v>123</v>
      </c>
      <c r="D936" s="37" t="s">
        <v>67</v>
      </c>
      <c r="E936" s="37" t="s">
        <v>7</v>
      </c>
      <c r="F936" s="37" t="s">
        <v>142</v>
      </c>
      <c r="G936" s="37" t="s">
        <v>143</v>
      </c>
      <c r="H936" s="37" t="s">
        <v>115</v>
      </c>
      <c r="I936" s="37" t="s">
        <v>116</v>
      </c>
      <c r="J936" s="37" t="s">
        <v>36</v>
      </c>
      <c r="K936" s="38">
        <v>20</v>
      </c>
      <c r="L936" s="39"/>
      <c r="M936" s="37"/>
      <c r="N936" s="40">
        <v>10.407</v>
      </c>
      <c r="O936" s="38">
        <v>10.406694</v>
      </c>
      <c r="P936" s="39"/>
      <c r="Q936" s="39"/>
      <c r="R936" s="40">
        <v>10.407</v>
      </c>
      <c r="S936" s="38">
        <v>10.406694</v>
      </c>
      <c r="T936" s="39"/>
      <c r="U936" s="39"/>
      <c r="V936" s="8">
        <f t="shared" si="14"/>
        <v>2023</v>
      </c>
    </row>
    <row r="937" spans="1:22" s="41" customFormat="1" ht="20.399999999999999" hidden="1" x14ac:dyDescent="0.3">
      <c r="A937" s="36">
        <v>45017</v>
      </c>
      <c r="B937" s="37" t="s">
        <v>27</v>
      </c>
      <c r="C937" s="37" t="s">
        <v>123</v>
      </c>
      <c r="D937" s="37" t="s">
        <v>67</v>
      </c>
      <c r="E937" s="37" t="s">
        <v>7</v>
      </c>
      <c r="F937" s="37" t="s">
        <v>142</v>
      </c>
      <c r="G937" s="37" t="s">
        <v>143</v>
      </c>
      <c r="H937" s="37" t="s">
        <v>115</v>
      </c>
      <c r="I937" s="37" t="s">
        <v>116</v>
      </c>
      <c r="J937" s="37" t="s">
        <v>36</v>
      </c>
      <c r="K937" s="38">
        <v>1.3</v>
      </c>
      <c r="L937" s="39"/>
      <c r="M937" s="37"/>
      <c r="N937" s="40">
        <v>0.67600000000000005</v>
      </c>
      <c r="O937" s="38">
        <v>0.67643500000000001</v>
      </c>
      <c r="P937" s="39"/>
      <c r="Q937" s="39"/>
      <c r="R937" s="40">
        <v>0.67600000000000005</v>
      </c>
      <c r="S937" s="38">
        <v>0.67643500000000001</v>
      </c>
      <c r="T937" s="39"/>
      <c r="U937" s="39"/>
      <c r="V937" s="8">
        <f t="shared" si="14"/>
        <v>2023</v>
      </c>
    </row>
    <row r="938" spans="1:22" s="41" customFormat="1" ht="20.399999999999999" hidden="1" x14ac:dyDescent="0.3">
      <c r="A938" s="36">
        <v>45047</v>
      </c>
      <c r="B938" s="37" t="s">
        <v>27</v>
      </c>
      <c r="C938" s="37" t="s">
        <v>123</v>
      </c>
      <c r="D938" s="37" t="s">
        <v>67</v>
      </c>
      <c r="E938" s="37" t="s">
        <v>7</v>
      </c>
      <c r="F938" s="37" t="s">
        <v>142</v>
      </c>
      <c r="G938" s="37" t="s">
        <v>143</v>
      </c>
      <c r="H938" s="37" t="s">
        <v>115</v>
      </c>
      <c r="I938" s="37" t="s">
        <v>116</v>
      </c>
      <c r="J938" s="37" t="s">
        <v>36</v>
      </c>
      <c r="K938" s="38">
        <v>14.795999999999999</v>
      </c>
      <c r="L938" s="39"/>
      <c r="M938" s="37"/>
      <c r="N938" s="40">
        <v>7.6989999999999998</v>
      </c>
      <c r="O938" s="38">
        <v>7.6988719999999997</v>
      </c>
      <c r="P938" s="39"/>
      <c r="Q938" s="39"/>
      <c r="R938" s="40">
        <v>7.6989999999999998</v>
      </c>
      <c r="S938" s="38">
        <v>7.6988719999999997</v>
      </c>
      <c r="T938" s="39"/>
      <c r="U938" s="39"/>
      <c r="V938" s="8">
        <f t="shared" si="14"/>
        <v>2023</v>
      </c>
    </row>
    <row r="939" spans="1:22" s="41" customFormat="1" ht="20.399999999999999" hidden="1" x14ac:dyDescent="0.3">
      <c r="A939" s="36">
        <v>45078</v>
      </c>
      <c r="B939" s="37" t="s">
        <v>27</v>
      </c>
      <c r="C939" s="37" t="s">
        <v>123</v>
      </c>
      <c r="D939" s="37" t="s">
        <v>67</v>
      </c>
      <c r="E939" s="37" t="s">
        <v>7</v>
      </c>
      <c r="F939" s="37" t="s">
        <v>142</v>
      </c>
      <c r="G939" s="37" t="s">
        <v>143</v>
      </c>
      <c r="H939" s="37" t="s">
        <v>115</v>
      </c>
      <c r="I939" s="37" t="s">
        <v>116</v>
      </c>
      <c r="J939" s="37" t="s">
        <v>36</v>
      </c>
      <c r="K939" s="38">
        <v>1.9</v>
      </c>
      <c r="L939" s="39"/>
      <c r="M939" s="37"/>
      <c r="N939" s="40">
        <v>0.98899999999999999</v>
      </c>
      <c r="O939" s="38">
        <v>0.98863599999999996</v>
      </c>
      <c r="P939" s="39"/>
      <c r="Q939" s="39"/>
      <c r="R939" s="40">
        <v>0.98899999999999999</v>
      </c>
      <c r="S939" s="38">
        <v>0.98863599999999996</v>
      </c>
      <c r="T939" s="39"/>
      <c r="U939" s="39"/>
      <c r="V939" s="8">
        <f t="shared" si="14"/>
        <v>2023</v>
      </c>
    </row>
    <row r="940" spans="1:22" s="41" customFormat="1" ht="20.399999999999999" hidden="1" x14ac:dyDescent="0.3">
      <c r="A940" s="36">
        <v>45108</v>
      </c>
      <c r="B940" s="37" t="s">
        <v>27</v>
      </c>
      <c r="C940" s="37" t="s">
        <v>123</v>
      </c>
      <c r="D940" s="37" t="s">
        <v>67</v>
      </c>
      <c r="E940" s="37" t="s">
        <v>7</v>
      </c>
      <c r="F940" s="37" t="s">
        <v>142</v>
      </c>
      <c r="G940" s="37" t="s">
        <v>143</v>
      </c>
      <c r="H940" s="37" t="s">
        <v>115</v>
      </c>
      <c r="I940" s="37" t="s">
        <v>116</v>
      </c>
      <c r="J940" s="37" t="s">
        <v>36</v>
      </c>
      <c r="K940" s="38">
        <v>2.1960000000000002</v>
      </c>
      <c r="L940" s="39"/>
      <c r="M940" s="37"/>
      <c r="N940" s="40">
        <v>1.143</v>
      </c>
      <c r="O940" s="38">
        <v>1.142655</v>
      </c>
      <c r="P940" s="39"/>
      <c r="Q940" s="39"/>
      <c r="R940" s="40">
        <v>1.143</v>
      </c>
      <c r="S940" s="38">
        <v>1.142655</v>
      </c>
      <c r="T940" s="39"/>
      <c r="U940" s="39"/>
      <c r="V940" s="8">
        <f t="shared" si="14"/>
        <v>2023</v>
      </c>
    </row>
    <row r="941" spans="1:22" s="41" customFormat="1" ht="20.399999999999999" hidden="1" x14ac:dyDescent="0.3">
      <c r="A941" s="36">
        <v>45139</v>
      </c>
      <c r="B941" s="37" t="s">
        <v>25</v>
      </c>
      <c r="C941" s="37" t="s">
        <v>123</v>
      </c>
      <c r="D941" s="37" t="s">
        <v>67</v>
      </c>
      <c r="E941" s="37" t="s">
        <v>7</v>
      </c>
      <c r="F941" s="37" t="s">
        <v>142</v>
      </c>
      <c r="G941" s="37" t="s">
        <v>143</v>
      </c>
      <c r="H941" s="37" t="s">
        <v>115</v>
      </c>
      <c r="I941" s="37" t="s">
        <v>116</v>
      </c>
      <c r="J941" s="37" t="s">
        <v>36</v>
      </c>
      <c r="K941" s="38">
        <v>0.3</v>
      </c>
      <c r="L941" s="39"/>
      <c r="M941" s="37"/>
      <c r="N941" s="40">
        <v>0.156</v>
      </c>
      <c r="O941" s="38">
        <v>0.15609999999999999</v>
      </c>
      <c r="P941" s="39"/>
      <c r="Q941" s="39"/>
      <c r="R941" s="40">
        <v>0.156</v>
      </c>
      <c r="S941" s="38">
        <v>0.15609999999999999</v>
      </c>
      <c r="T941" s="39"/>
      <c r="U941" s="39"/>
      <c r="V941" s="8">
        <f t="shared" si="14"/>
        <v>2023</v>
      </c>
    </row>
    <row r="942" spans="1:22" s="41" customFormat="1" ht="20.399999999999999" hidden="1" x14ac:dyDescent="0.3">
      <c r="A942" s="36">
        <v>45170</v>
      </c>
      <c r="B942" s="37" t="s">
        <v>25</v>
      </c>
      <c r="C942" s="37" t="s">
        <v>123</v>
      </c>
      <c r="D942" s="37" t="s">
        <v>67</v>
      </c>
      <c r="E942" s="37" t="s">
        <v>7</v>
      </c>
      <c r="F942" s="37" t="s">
        <v>142</v>
      </c>
      <c r="G942" s="37" t="s">
        <v>143</v>
      </c>
      <c r="H942" s="37" t="s">
        <v>115</v>
      </c>
      <c r="I942" s="37" t="s">
        <v>116</v>
      </c>
      <c r="J942" s="37" t="s">
        <v>36</v>
      </c>
      <c r="K942" s="38">
        <v>14.859674</v>
      </c>
      <c r="L942" s="42">
        <v>0</v>
      </c>
      <c r="M942" s="37"/>
      <c r="N942" s="40">
        <v>7.7320000000000002</v>
      </c>
      <c r="O942" s="38">
        <v>7.732005</v>
      </c>
      <c r="P942" s="39"/>
      <c r="Q942" s="39"/>
      <c r="R942" s="40">
        <v>7.7320000000000002</v>
      </c>
      <c r="S942" s="38">
        <v>7.732005</v>
      </c>
      <c r="T942" s="39"/>
      <c r="U942" s="39"/>
      <c r="V942" s="8">
        <f t="shared" si="14"/>
        <v>2023</v>
      </c>
    </row>
    <row r="943" spans="1:22" s="41" customFormat="1" ht="20.399999999999999" hidden="1" x14ac:dyDescent="0.3">
      <c r="A943" s="36">
        <v>45170</v>
      </c>
      <c r="B943" s="37" t="s">
        <v>27</v>
      </c>
      <c r="C943" s="37" t="s">
        <v>123</v>
      </c>
      <c r="D943" s="37" t="s">
        <v>67</v>
      </c>
      <c r="E943" s="37" t="s">
        <v>7</v>
      </c>
      <c r="F943" s="37" t="s">
        <v>142</v>
      </c>
      <c r="G943" s="37" t="s">
        <v>143</v>
      </c>
      <c r="H943" s="37" t="s">
        <v>115</v>
      </c>
      <c r="I943" s="37" t="s">
        <v>116</v>
      </c>
      <c r="J943" s="37" t="s">
        <v>36</v>
      </c>
      <c r="K943" s="38">
        <v>2.1960000000000002</v>
      </c>
      <c r="L943" s="39"/>
      <c r="M943" s="37"/>
      <c r="N943" s="40">
        <v>1.143</v>
      </c>
      <c r="O943" s="38">
        <v>1.142655</v>
      </c>
      <c r="P943" s="39"/>
      <c r="Q943" s="39"/>
      <c r="R943" s="40">
        <v>1.143</v>
      </c>
      <c r="S943" s="38">
        <v>1.142655</v>
      </c>
      <c r="T943" s="39"/>
      <c r="U943" s="39"/>
      <c r="V943" s="8">
        <f t="shared" si="14"/>
        <v>2023</v>
      </c>
    </row>
    <row r="944" spans="1:22" s="41" customFormat="1" ht="20.399999999999999" hidden="1" x14ac:dyDescent="0.3">
      <c r="A944" s="36">
        <v>45200</v>
      </c>
      <c r="B944" s="37" t="s">
        <v>27</v>
      </c>
      <c r="C944" s="37" t="s">
        <v>123</v>
      </c>
      <c r="D944" s="37" t="s">
        <v>67</v>
      </c>
      <c r="E944" s="37" t="s">
        <v>7</v>
      </c>
      <c r="F944" s="37" t="s">
        <v>142</v>
      </c>
      <c r="G944" s="37" t="s">
        <v>143</v>
      </c>
      <c r="H944" s="37" t="s">
        <v>115</v>
      </c>
      <c r="I944" s="37" t="s">
        <v>116</v>
      </c>
      <c r="J944" s="37" t="s">
        <v>36</v>
      </c>
      <c r="K944" s="38">
        <v>2.6671230000000001</v>
      </c>
      <c r="L944" s="42">
        <v>0</v>
      </c>
      <c r="M944" s="37"/>
      <c r="N944" s="40">
        <v>1.3879999999999999</v>
      </c>
      <c r="O944" s="38">
        <v>1.3877969999999999</v>
      </c>
      <c r="P944" s="39"/>
      <c r="Q944" s="39"/>
      <c r="R944" s="40">
        <v>1.3879999999999999</v>
      </c>
      <c r="S944" s="38">
        <v>1.3877969999999999</v>
      </c>
      <c r="T944" s="39"/>
      <c r="U944" s="39"/>
      <c r="V944" s="8">
        <f t="shared" si="14"/>
        <v>2023</v>
      </c>
    </row>
    <row r="945" spans="1:22" s="41" customFormat="1" ht="20.399999999999999" hidden="1" x14ac:dyDescent="0.3">
      <c r="A945" s="36">
        <v>45231</v>
      </c>
      <c r="B945" s="37" t="s">
        <v>27</v>
      </c>
      <c r="C945" s="37" t="s">
        <v>123</v>
      </c>
      <c r="D945" s="37" t="s">
        <v>67</v>
      </c>
      <c r="E945" s="37" t="s">
        <v>7</v>
      </c>
      <c r="F945" s="37" t="s">
        <v>142</v>
      </c>
      <c r="G945" s="37" t="s">
        <v>143</v>
      </c>
      <c r="H945" s="37" t="s">
        <v>115</v>
      </c>
      <c r="I945" s="37" t="s">
        <v>116</v>
      </c>
      <c r="J945" s="37" t="s">
        <v>36</v>
      </c>
      <c r="K945" s="38">
        <v>5.4521800000000002</v>
      </c>
      <c r="L945" s="42">
        <v>0</v>
      </c>
      <c r="M945" s="37"/>
      <c r="N945" s="40">
        <v>2.8370000000000002</v>
      </c>
      <c r="O945" s="38">
        <v>2.8369589999999998</v>
      </c>
      <c r="P945" s="39"/>
      <c r="Q945" s="39"/>
      <c r="R945" s="40">
        <v>2.8370000000000002</v>
      </c>
      <c r="S945" s="38">
        <v>2.8369589999999998</v>
      </c>
      <c r="T945" s="39"/>
      <c r="U945" s="39"/>
      <c r="V945" s="8">
        <f t="shared" si="14"/>
        <v>2023</v>
      </c>
    </row>
    <row r="946" spans="1:22" s="41" customFormat="1" ht="20.399999999999999" hidden="1" x14ac:dyDescent="0.3">
      <c r="A946" s="36">
        <v>45261</v>
      </c>
      <c r="B946" s="37" t="s">
        <v>27</v>
      </c>
      <c r="C946" s="37" t="s">
        <v>123</v>
      </c>
      <c r="D946" s="37" t="s">
        <v>67</v>
      </c>
      <c r="E946" s="37" t="s">
        <v>7</v>
      </c>
      <c r="F946" s="37" t="s">
        <v>142</v>
      </c>
      <c r="G946" s="37" t="s">
        <v>143</v>
      </c>
      <c r="H946" s="37" t="s">
        <v>115</v>
      </c>
      <c r="I946" s="37" t="s">
        <v>116</v>
      </c>
      <c r="J946" s="37" t="s">
        <v>36</v>
      </c>
      <c r="K946" s="38">
        <v>0.34472999999999998</v>
      </c>
      <c r="L946" s="42">
        <v>0</v>
      </c>
      <c r="M946" s="37"/>
      <c r="N946" s="40">
        <v>0.17899999999999999</v>
      </c>
      <c r="O946" s="38">
        <v>0.17937500000000001</v>
      </c>
      <c r="P946" s="39"/>
      <c r="Q946" s="39"/>
      <c r="R946" s="40">
        <v>0.17899999999999999</v>
      </c>
      <c r="S946" s="38">
        <v>0.17937500000000001</v>
      </c>
      <c r="T946" s="39"/>
      <c r="U946" s="39"/>
      <c r="V946" s="8">
        <f t="shared" si="14"/>
        <v>2023</v>
      </c>
    </row>
    <row r="947" spans="1:22" s="41" customFormat="1" ht="14.4" hidden="1" x14ac:dyDescent="0.3">
      <c r="A947" s="36">
        <v>44562</v>
      </c>
      <c r="B947" s="37" t="s">
        <v>11</v>
      </c>
      <c r="C947" s="37" t="s">
        <v>123</v>
      </c>
      <c r="D947" s="37" t="s">
        <v>68</v>
      </c>
      <c r="E947" s="37" t="s">
        <v>5</v>
      </c>
      <c r="F947" s="37" t="s">
        <v>144</v>
      </c>
      <c r="G947" s="37" t="s">
        <v>68</v>
      </c>
      <c r="H947" s="37" t="s">
        <v>145</v>
      </c>
      <c r="I947" s="37" t="s">
        <v>146</v>
      </c>
      <c r="J947" s="37" t="s">
        <v>34</v>
      </c>
      <c r="K947" s="38">
        <v>8.8071260000000002</v>
      </c>
      <c r="L947" s="39"/>
      <c r="M947" s="37"/>
      <c r="N947" s="40">
        <v>2.0950000000000002</v>
      </c>
      <c r="O947" s="38">
        <v>2.067418</v>
      </c>
      <c r="P947" s="38">
        <v>2.7765999999999999E-2</v>
      </c>
      <c r="Q947" s="38">
        <v>2.4399999999999999E-4</v>
      </c>
      <c r="R947" s="40">
        <v>2.0950000000000002</v>
      </c>
      <c r="S947" s="38">
        <v>2.067418</v>
      </c>
      <c r="T947" s="38">
        <v>2.7765999999999999E-2</v>
      </c>
      <c r="U947" s="38">
        <v>2.4399999999999999E-4</v>
      </c>
      <c r="V947" s="8">
        <f t="shared" si="14"/>
        <v>2022</v>
      </c>
    </row>
    <row r="948" spans="1:22" s="41" customFormat="1" ht="14.4" hidden="1" x14ac:dyDescent="0.3">
      <c r="A948" s="36">
        <v>44562</v>
      </c>
      <c r="B948" s="37" t="s">
        <v>14</v>
      </c>
      <c r="C948" s="37" t="s">
        <v>123</v>
      </c>
      <c r="D948" s="37" t="s">
        <v>68</v>
      </c>
      <c r="E948" s="37" t="s">
        <v>5</v>
      </c>
      <c r="F948" s="37" t="s">
        <v>144</v>
      </c>
      <c r="G948" s="37" t="s">
        <v>68</v>
      </c>
      <c r="H948" s="37" t="s">
        <v>145</v>
      </c>
      <c r="I948" s="37" t="s">
        <v>146</v>
      </c>
      <c r="J948" s="37" t="s">
        <v>34</v>
      </c>
      <c r="K948" s="38">
        <v>4.3628E-2</v>
      </c>
      <c r="L948" s="39"/>
      <c r="M948" s="37"/>
      <c r="N948" s="40">
        <v>1.0999999999999999E-2</v>
      </c>
      <c r="O948" s="38">
        <v>1.0928999999999999E-2</v>
      </c>
      <c r="P948" s="38">
        <v>1.16E-4</v>
      </c>
      <c r="Q948" s="38">
        <v>1.2999999999999999E-5</v>
      </c>
      <c r="R948" s="40">
        <v>1.0999999999999999E-2</v>
      </c>
      <c r="S948" s="38">
        <v>1.0928999999999999E-2</v>
      </c>
      <c r="T948" s="38">
        <v>1.16E-4</v>
      </c>
      <c r="U948" s="38">
        <v>1.2999999999999999E-5</v>
      </c>
      <c r="V948" s="8">
        <f t="shared" ref="V948:V1011" si="15">YEAR(A948)</f>
        <v>2022</v>
      </c>
    </row>
    <row r="949" spans="1:22" s="41" customFormat="1" ht="14.4" hidden="1" x14ac:dyDescent="0.3">
      <c r="A949" s="36">
        <v>44562</v>
      </c>
      <c r="B949" s="37" t="s">
        <v>19</v>
      </c>
      <c r="C949" s="37" t="s">
        <v>123</v>
      </c>
      <c r="D949" s="37" t="s">
        <v>68</v>
      </c>
      <c r="E949" s="37" t="s">
        <v>5</v>
      </c>
      <c r="F949" s="37" t="s">
        <v>144</v>
      </c>
      <c r="G949" s="37" t="s">
        <v>68</v>
      </c>
      <c r="H949" s="37" t="s">
        <v>145</v>
      </c>
      <c r="I949" s="37" t="s">
        <v>146</v>
      </c>
      <c r="J949" s="37" t="s">
        <v>34</v>
      </c>
      <c r="K949" s="38">
        <v>2.775E-2</v>
      </c>
      <c r="L949" s="39"/>
      <c r="M949" s="37"/>
      <c r="N949" s="40">
        <v>5.0000000000000001E-3</v>
      </c>
      <c r="O949" s="38">
        <v>5.0239999999999998E-3</v>
      </c>
      <c r="P949" s="38">
        <v>3.0000000000000001E-6</v>
      </c>
      <c r="Q949" s="38">
        <v>3.0000000000000001E-6</v>
      </c>
      <c r="R949" s="40">
        <v>5.0000000000000001E-3</v>
      </c>
      <c r="S949" s="38">
        <v>5.0239999999999998E-3</v>
      </c>
      <c r="T949" s="38">
        <v>3.0000000000000001E-6</v>
      </c>
      <c r="U949" s="38">
        <v>3.0000000000000001E-6</v>
      </c>
      <c r="V949" s="8">
        <f t="shared" si="15"/>
        <v>2022</v>
      </c>
    </row>
    <row r="950" spans="1:22" s="41" customFormat="1" ht="14.4" hidden="1" x14ac:dyDescent="0.3">
      <c r="A950" s="36">
        <v>44593</v>
      </c>
      <c r="B950" s="37" t="s">
        <v>11</v>
      </c>
      <c r="C950" s="37" t="s">
        <v>123</v>
      </c>
      <c r="D950" s="37" t="s">
        <v>68</v>
      </c>
      <c r="E950" s="37" t="s">
        <v>5</v>
      </c>
      <c r="F950" s="37" t="s">
        <v>144</v>
      </c>
      <c r="G950" s="37" t="s">
        <v>68</v>
      </c>
      <c r="H950" s="37" t="s">
        <v>145</v>
      </c>
      <c r="I950" s="37" t="s">
        <v>146</v>
      </c>
      <c r="J950" s="37" t="s">
        <v>34</v>
      </c>
      <c r="K950" s="38">
        <v>8.8071260000000002</v>
      </c>
      <c r="L950" s="39"/>
      <c r="M950" s="37"/>
      <c r="N950" s="40">
        <v>2.0950000000000002</v>
      </c>
      <c r="O950" s="38">
        <v>2.067418</v>
      </c>
      <c r="P950" s="38">
        <v>2.7765999999999999E-2</v>
      </c>
      <c r="Q950" s="38">
        <v>2.4399999999999999E-4</v>
      </c>
      <c r="R950" s="40">
        <v>2.0950000000000002</v>
      </c>
      <c r="S950" s="38">
        <v>2.067418</v>
      </c>
      <c r="T950" s="38">
        <v>2.7765999999999999E-2</v>
      </c>
      <c r="U950" s="38">
        <v>2.4399999999999999E-4</v>
      </c>
      <c r="V950" s="8">
        <f t="shared" si="15"/>
        <v>2022</v>
      </c>
    </row>
    <row r="951" spans="1:22" s="41" customFormat="1" ht="14.4" hidden="1" x14ac:dyDescent="0.3">
      <c r="A951" s="36">
        <v>44593</v>
      </c>
      <c r="B951" s="37" t="s">
        <v>14</v>
      </c>
      <c r="C951" s="37" t="s">
        <v>123</v>
      </c>
      <c r="D951" s="37" t="s">
        <v>68</v>
      </c>
      <c r="E951" s="37" t="s">
        <v>5</v>
      </c>
      <c r="F951" s="37" t="s">
        <v>144</v>
      </c>
      <c r="G951" s="37" t="s">
        <v>68</v>
      </c>
      <c r="H951" s="37" t="s">
        <v>145</v>
      </c>
      <c r="I951" s="37" t="s">
        <v>146</v>
      </c>
      <c r="J951" s="37" t="s">
        <v>34</v>
      </c>
      <c r="K951" s="38">
        <v>4.3628E-2</v>
      </c>
      <c r="L951" s="39"/>
      <c r="M951" s="37"/>
      <c r="N951" s="40">
        <v>1.0999999999999999E-2</v>
      </c>
      <c r="O951" s="38">
        <v>1.0928999999999999E-2</v>
      </c>
      <c r="P951" s="38">
        <v>1.16E-4</v>
      </c>
      <c r="Q951" s="38">
        <v>1.2999999999999999E-5</v>
      </c>
      <c r="R951" s="40">
        <v>1.0999999999999999E-2</v>
      </c>
      <c r="S951" s="38">
        <v>1.0928999999999999E-2</v>
      </c>
      <c r="T951" s="38">
        <v>1.16E-4</v>
      </c>
      <c r="U951" s="38">
        <v>1.2999999999999999E-5</v>
      </c>
      <c r="V951" s="8">
        <f t="shared" si="15"/>
        <v>2022</v>
      </c>
    </row>
    <row r="952" spans="1:22" s="41" customFormat="1" ht="14.4" hidden="1" x14ac:dyDescent="0.3">
      <c r="A952" s="36">
        <v>44593</v>
      </c>
      <c r="B952" s="37" t="s">
        <v>19</v>
      </c>
      <c r="C952" s="37" t="s">
        <v>123</v>
      </c>
      <c r="D952" s="37" t="s">
        <v>68</v>
      </c>
      <c r="E952" s="37" t="s">
        <v>5</v>
      </c>
      <c r="F952" s="37" t="s">
        <v>144</v>
      </c>
      <c r="G952" s="37" t="s">
        <v>68</v>
      </c>
      <c r="H952" s="37" t="s">
        <v>145</v>
      </c>
      <c r="I952" s="37" t="s">
        <v>146</v>
      </c>
      <c r="J952" s="37" t="s">
        <v>34</v>
      </c>
      <c r="K952" s="38">
        <v>2.775E-2</v>
      </c>
      <c r="L952" s="39"/>
      <c r="M952" s="37"/>
      <c r="N952" s="40">
        <v>5.0000000000000001E-3</v>
      </c>
      <c r="O952" s="38">
        <v>5.0239999999999998E-3</v>
      </c>
      <c r="P952" s="38">
        <v>3.0000000000000001E-6</v>
      </c>
      <c r="Q952" s="38">
        <v>3.0000000000000001E-6</v>
      </c>
      <c r="R952" s="40">
        <v>5.0000000000000001E-3</v>
      </c>
      <c r="S952" s="38">
        <v>5.0239999999999998E-3</v>
      </c>
      <c r="T952" s="38">
        <v>3.0000000000000001E-6</v>
      </c>
      <c r="U952" s="38">
        <v>3.0000000000000001E-6</v>
      </c>
      <c r="V952" s="8">
        <f t="shared" si="15"/>
        <v>2022</v>
      </c>
    </row>
    <row r="953" spans="1:22" s="41" customFormat="1" ht="14.4" hidden="1" x14ac:dyDescent="0.3">
      <c r="A953" s="36">
        <v>44621</v>
      </c>
      <c r="B953" s="37" t="s">
        <v>11</v>
      </c>
      <c r="C953" s="37" t="s">
        <v>123</v>
      </c>
      <c r="D953" s="37" t="s">
        <v>68</v>
      </c>
      <c r="E953" s="37" t="s">
        <v>5</v>
      </c>
      <c r="F953" s="37" t="s">
        <v>144</v>
      </c>
      <c r="G953" s="37" t="s">
        <v>68</v>
      </c>
      <c r="H953" s="37" t="s">
        <v>145</v>
      </c>
      <c r="I953" s="37" t="s">
        <v>146</v>
      </c>
      <c r="J953" s="37" t="s">
        <v>34</v>
      </c>
      <c r="K953" s="38">
        <v>8.8071260000000002</v>
      </c>
      <c r="L953" s="39"/>
      <c r="M953" s="37"/>
      <c r="N953" s="40">
        <v>2.0950000000000002</v>
      </c>
      <c r="O953" s="38">
        <v>2.067418</v>
      </c>
      <c r="P953" s="38">
        <v>2.7765999999999999E-2</v>
      </c>
      <c r="Q953" s="38">
        <v>2.4399999999999999E-4</v>
      </c>
      <c r="R953" s="40">
        <v>2.0950000000000002</v>
      </c>
      <c r="S953" s="38">
        <v>2.067418</v>
      </c>
      <c r="T953" s="38">
        <v>2.7765999999999999E-2</v>
      </c>
      <c r="U953" s="38">
        <v>2.4399999999999999E-4</v>
      </c>
      <c r="V953" s="8">
        <f t="shared" si="15"/>
        <v>2022</v>
      </c>
    </row>
    <row r="954" spans="1:22" s="41" customFormat="1" ht="14.4" hidden="1" x14ac:dyDescent="0.3">
      <c r="A954" s="36">
        <v>44621</v>
      </c>
      <c r="B954" s="37" t="s">
        <v>14</v>
      </c>
      <c r="C954" s="37" t="s">
        <v>123</v>
      </c>
      <c r="D954" s="37" t="s">
        <v>68</v>
      </c>
      <c r="E954" s="37" t="s">
        <v>5</v>
      </c>
      <c r="F954" s="37" t="s">
        <v>144</v>
      </c>
      <c r="G954" s="37" t="s">
        <v>68</v>
      </c>
      <c r="H954" s="37" t="s">
        <v>145</v>
      </c>
      <c r="I954" s="37" t="s">
        <v>146</v>
      </c>
      <c r="J954" s="37" t="s">
        <v>34</v>
      </c>
      <c r="K954" s="38">
        <v>4.3628E-2</v>
      </c>
      <c r="L954" s="39"/>
      <c r="M954" s="37"/>
      <c r="N954" s="40">
        <v>1.0999999999999999E-2</v>
      </c>
      <c r="O954" s="38">
        <v>1.0928999999999999E-2</v>
      </c>
      <c r="P954" s="38">
        <v>1.16E-4</v>
      </c>
      <c r="Q954" s="38">
        <v>1.2999999999999999E-5</v>
      </c>
      <c r="R954" s="40">
        <v>1.0999999999999999E-2</v>
      </c>
      <c r="S954" s="38">
        <v>1.0928999999999999E-2</v>
      </c>
      <c r="T954" s="38">
        <v>1.16E-4</v>
      </c>
      <c r="U954" s="38">
        <v>1.2999999999999999E-5</v>
      </c>
      <c r="V954" s="8">
        <f t="shared" si="15"/>
        <v>2022</v>
      </c>
    </row>
    <row r="955" spans="1:22" s="41" customFormat="1" ht="14.4" hidden="1" x14ac:dyDescent="0.3">
      <c r="A955" s="36">
        <v>44621</v>
      </c>
      <c r="B955" s="37" t="s">
        <v>19</v>
      </c>
      <c r="C955" s="37" t="s">
        <v>123</v>
      </c>
      <c r="D955" s="37" t="s">
        <v>68</v>
      </c>
      <c r="E955" s="37" t="s">
        <v>5</v>
      </c>
      <c r="F955" s="37" t="s">
        <v>144</v>
      </c>
      <c r="G955" s="37" t="s">
        <v>68</v>
      </c>
      <c r="H955" s="37" t="s">
        <v>145</v>
      </c>
      <c r="I955" s="37" t="s">
        <v>146</v>
      </c>
      <c r="J955" s="37" t="s">
        <v>34</v>
      </c>
      <c r="K955" s="38">
        <v>2.775E-2</v>
      </c>
      <c r="L955" s="39"/>
      <c r="M955" s="37"/>
      <c r="N955" s="40">
        <v>5.0000000000000001E-3</v>
      </c>
      <c r="O955" s="38">
        <v>5.0239999999999998E-3</v>
      </c>
      <c r="P955" s="38">
        <v>3.0000000000000001E-6</v>
      </c>
      <c r="Q955" s="38">
        <v>3.0000000000000001E-6</v>
      </c>
      <c r="R955" s="40">
        <v>5.0000000000000001E-3</v>
      </c>
      <c r="S955" s="38">
        <v>5.0239999999999998E-3</v>
      </c>
      <c r="T955" s="38">
        <v>3.0000000000000001E-6</v>
      </c>
      <c r="U955" s="38">
        <v>3.0000000000000001E-6</v>
      </c>
      <c r="V955" s="8">
        <f t="shared" si="15"/>
        <v>2022</v>
      </c>
    </row>
    <row r="956" spans="1:22" s="41" customFormat="1" ht="14.4" hidden="1" x14ac:dyDescent="0.3">
      <c r="A956" s="36">
        <v>44652</v>
      </c>
      <c r="B956" s="37" t="s">
        <v>11</v>
      </c>
      <c r="C956" s="37" t="s">
        <v>123</v>
      </c>
      <c r="D956" s="37" t="s">
        <v>68</v>
      </c>
      <c r="E956" s="37" t="s">
        <v>5</v>
      </c>
      <c r="F956" s="37" t="s">
        <v>144</v>
      </c>
      <c r="G956" s="37" t="s">
        <v>68</v>
      </c>
      <c r="H956" s="37" t="s">
        <v>145</v>
      </c>
      <c r="I956" s="37" t="s">
        <v>146</v>
      </c>
      <c r="J956" s="37" t="s">
        <v>34</v>
      </c>
      <c r="K956" s="38">
        <v>8.8071260000000002</v>
      </c>
      <c r="L956" s="39"/>
      <c r="M956" s="37"/>
      <c r="N956" s="40">
        <v>2.0950000000000002</v>
      </c>
      <c r="O956" s="38">
        <v>2.067418</v>
      </c>
      <c r="P956" s="38">
        <v>2.7765999999999999E-2</v>
      </c>
      <c r="Q956" s="38">
        <v>2.4399999999999999E-4</v>
      </c>
      <c r="R956" s="40">
        <v>2.0950000000000002</v>
      </c>
      <c r="S956" s="38">
        <v>2.067418</v>
      </c>
      <c r="T956" s="38">
        <v>2.7765999999999999E-2</v>
      </c>
      <c r="U956" s="38">
        <v>2.4399999999999999E-4</v>
      </c>
      <c r="V956" s="8">
        <f t="shared" si="15"/>
        <v>2022</v>
      </c>
    </row>
    <row r="957" spans="1:22" s="41" customFormat="1" ht="14.4" hidden="1" x14ac:dyDescent="0.3">
      <c r="A957" s="36">
        <v>44652</v>
      </c>
      <c r="B957" s="37" t="s">
        <v>14</v>
      </c>
      <c r="C957" s="37" t="s">
        <v>123</v>
      </c>
      <c r="D957" s="37" t="s">
        <v>68</v>
      </c>
      <c r="E957" s="37" t="s">
        <v>5</v>
      </c>
      <c r="F957" s="37" t="s">
        <v>144</v>
      </c>
      <c r="G957" s="37" t="s">
        <v>68</v>
      </c>
      <c r="H957" s="37" t="s">
        <v>145</v>
      </c>
      <c r="I957" s="37" t="s">
        <v>146</v>
      </c>
      <c r="J957" s="37" t="s">
        <v>34</v>
      </c>
      <c r="K957" s="38">
        <v>4.3628E-2</v>
      </c>
      <c r="L957" s="39"/>
      <c r="M957" s="37"/>
      <c r="N957" s="40">
        <v>1.0999999999999999E-2</v>
      </c>
      <c r="O957" s="38">
        <v>1.0928999999999999E-2</v>
      </c>
      <c r="P957" s="38">
        <v>1.16E-4</v>
      </c>
      <c r="Q957" s="38">
        <v>1.2999999999999999E-5</v>
      </c>
      <c r="R957" s="40">
        <v>1.0999999999999999E-2</v>
      </c>
      <c r="S957" s="38">
        <v>1.0928999999999999E-2</v>
      </c>
      <c r="T957" s="38">
        <v>1.16E-4</v>
      </c>
      <c r="U957" s="38">
        <v>1.2999999999999999E-5</v>
      </c>
      <c r="V957" s="8">
        <f t="shared" si="15"/>
        <v>2022</v>
      </c>
    </row>
    <row r="958" spans="1:22" s="41" customFormat="1" ht="14.4" hidden="1" x14ac:dyDescent="0.3">
      <c r="A958" s="36">
        <v>44652</v>
      </c>
      <c r="B958" s="37" t="s">
        <v>19</v>
      </c>
      <c r="C958" s="37" t="s">
        <v>123</v>
      </c>
      <c r="D958" s="37" t="s">
        <v>68</v>
      </c>
      <c r="E958" s="37" t="s">
        <v>5</v>
      </c>
      <c r="F958" s="37" t="s">
        <v>144</v>
      </c>
      <c r="G958" s="37" t="s">
        <v>68</v>
      </c>
      <c r="H958" s="37" t="s">
        <v>145</v>
      </c>
      <c r="I958" s="37" t="s">
        <v>146</v>
      </c>
      <c r="J958" s="37" t="s">
        <v>34</v>
      </c>
      <c r="K958" s="38">
        <v>2.775E-2</v>
      </c>
      <c r="L958" s="39"/>
      <c r="M958" s="37"/>
      <c r="N958" s="40">
        <v>5.0000000000000001E-3</v>
      </c>
      <c r="O958" s="38">
        <v>5.0239999999999998E-3</v>
      </c>
      <c r="P958" s="38">
        <v>3.0000000000000001E-6</v>
      </c>
      <c r="Q958" s="38">
        <v>3.0000000000000001E-6</v>
      </c>
      <c r="R958" s="40">
        <v>5.0000000000000001E-3</v>
      </c>
      <c r="S958" s="38">
        <v>5.0239999999999998E-3</v>
      </c>
      <c r="T958" s="38">
        <v>3.0000000000000001E-6</v>
      </c>
      <c r="U958" s="38">
        <v>3.0000000000000001E-6</v>
      </c>
      <c r="V958" s="8">
        <f t="shared" si="15"/>
        <v>2022</v>
      </c>
    </row>
    <row r="959" spans="1:22" s="41" customFormat="1" ht="14.4" hidden="1" x14ac:dyDescent="0.3">
      <c r="A959" s="36">
        <v>44682</v>
      </c>
      <c r="B959" s="37" t="s">
        <v>11</v>
      </c>
      <c r="C959" s="37" t="s">
        <v>123</v>
      </c>
      <c r="D959" s="37" t="s">
        <v>68</v>
      </c>
      <c r="E959" s="37" t="s">
        <v>5</v>
      </c>
      <c r="F959" s="37" t="s">
        <v>144</v>
      </c>
      <c r="G959" s="37" t="s">
        <v>68</v>
      </c>
      <c r="H959" s="37" t="s">
        <v>145</v>
      </c>
      <c r="I959" s="37" t="s">
        <v>146</v>
      </c>
      <c r="J959" s="37" t="s">
        <v>34</v>
      </c>
      <c r="K959" s="38">
        <v>8.8071260000000002</v>
      </c>
      <c r="L959" s="39"/>
      <c r="M959" s="37"/>
      <c r="N959" s="40">
        <v>2.0950000000000002</v>
      </c>
      <c r="O959" s="38">
        <v>2.067418</v>
      </c>
      <c r="P959" s="38">
        <v>2.7765999999999999E-2</v>
      </c>
      <c r="Q959" s="38">
        <v>2.4399999999999999E-4</v>
      </c>
      <c r="R959" s="40">
        <v>2.0950000000000002</v>
      </c>
      <c r="S959" s="38">
        <v>2.067418</v>
      </c>
      <c r="T959" s="38">
        <v>2.7765999999999999E-2</v>
      </c>
      <c r="U959" s="38">
        <v>2.4399999999999999E-4</v>
      </c>
      <c r="V959" s="8">
        <f t="shared" si="15"/>
        <v>2022</v>
      </c>
    </row>
    <row r="960" spans="1:22" s="41" customFormat="1" ht="14.4" hidden="1" x14ac:dyDescent="0.3">
      <c r="A960" s="36">
        <v>44682</v>
      </c>
      <c r="B960" s="37" t="s">
        <v>14</v>
      </c>
      <c r="C960" s="37" t="s">
        <v>123</v>
      </c>
      <c r="D960" s="37" t="s">
        <v>68</v>
      </c>
      <c r="E960" s="37" t="s">
        <v>5</v>
      </c>
      <c r="F960" s="37" t="s">
        <v>144</v>
      </c>
      <c r="G960" s="37" t="s">
        <v>68</v>
      </c>
      <c r="H960" s="37" t="s">
        <v>145</v>
      </c>
      <c r="I960" s="37" t="s">
        <v>146</v>
      </c>
      <c r="J960" s="37" t="s">
        <v>34</v>
      </c>
      <c r="K960" s="38">
        <v>4.3628E-2</v>
      </c>
      <c r="L960" s="39"/>
      <c r="M960" s="37"/>
      <c r="N960" s="40">
        <v>1.0999999999999999E-2</v>
      </c>
      <c r="O960" s="38">
        <v>1.0928999999999999E-2</v>
      </c>
      <c r="P960" s="38">
        <v>1.16E-4</v>
      </c>
      <c r="Q960" s="38">
        <v>1.2999999999999999E-5</v>
      </c>
      <c r="R960" s="40">
        <v>1.0999999999999999E-2</v>
      </c>
      <c r="S960" s="38">
        <v>1.0928999999999999E-2</v>
      </c>
      <c r="T960" s="38">
        <v>1.16E-4</v>
      </c>
      <c r="U960" s="38">
        <v>1.2999999999999999E-5</v>
      </c>
      <c r="V960" s="8">
        <f t="shared" si="15"/>
        <v>2022</v>
      </c>
    </row>
    <row r="961" spans="1:22" s="41" customFormat="1" ht="14.4" hidden="1" x14ac:dyDescent="0.3">
      <c r="A961" s="36">
        <v>44682</v>
      </c>
      <c r="B961" s="37" t="s">
        <v>19</v>
      </c>
      <c r="C961" s="37" t="s">
        <v>123</v>
      </c>
      <c r="D961" s="37" t="s">
        <v>68</v>
      </c>
      <c r="E961" s="37" t="s">
        <v>5</v>
      </c>
      <c r="F961" s="37" t="s">
        <v>144</v>
      </c>
      <c r="G961" s="37" t="s">
        <v>68</v>
      </c>
      <c r="H961" s="37" t="s">
        <v>145</v>
      </c>
      <c r="I961" s="37" t="s">
        <v>146</v>
      </c>
      <c r="J961" s="37" t="s">
        <v>34</v>
      </c>
      <c r="K961" s="38">
        <v>2.775E-2</v>
      </c>
      <c r="L961" s="39"/>
      <c r="M961" s="37"/>
      <c r="N961" s="40">
        <v>5.0000000000000001E-3</v>
      </c>
      <c r="O961" s="38">
        <v>5.0239999999999998E-3</v>
      </c>
      <c r="P961" s="38">
        <v>3.0000000000000001E-6</v>
      </c>
      <c r="Q961" s="38">
        <v>3.0000000000000001E-6</v>
      </c>
      <c r="R961" s="40">
        <v>5.0000000000000001E-3</v>
      </c>
      <c r="S961" s="38">
        <v>5.0239999999999998E-3</v>
      </c>
      <c r="T961" s="38">
        <v>3.0000000000000001E-6</v>
      </c>
      <c r="U961" s="38">
        <v>3.0000000000000001E-6</v>
      </c>
      <c r="V961" s="8">
        <f t="shared" si="15"/>
        <v>2022</v>
      </c>
    </row>
    <row r="962" spans="1:22" s="41" customFormat="1" ht="14.4" hidden="1" x14ac:dyDescent="0.3">
      <c r="A962" s="36">
        <v>44713</v>
      </c>
      <c r="B962" s="37" t="s">
        <v>11</v>
      </c>
      <c r="C962" s="37" t="s">
        <v>123</v>
      </c>
      <c r="D962" s="37" t="s">
        <v>68</v>
      </c>
      <c r="E962" s="37" t="s">
        <v>5</v>
      </c>
      <c r="F962" s="37" t="s">
        <v>144</v>
      </c>
      <c r="G962" s="37" t="s">
        <v>68</v>
      </c>
      <c r="H962" s="37" t="s">
        <v>145</v>
      </c>
      <c r="I962" s="37" t="s">
        <v>146</v>
      </c>
      <c r="J962" s="37" t="s">
        <v>34</v>
      </c>
      <c r="K962" s="38">
        <v>8.8071260000000002</v>
      </c>
      <c r="L962" s="39"/>
      <c r="M962" s="37"/>
      <c r="N962" s="40">
        <v>2.0950000000000002</v>
      </c>
      <c r="O962" s="38">
        <v>2.067418</v>
      </c>
      <c r="P962" s="38">
        <v>2.7765999999999999E-2</v>
      </c>
      <c r="Q962" s="38">
        <v>2.4399999999999999E-4</v>
      </c>
      <c r="R962" s="40">
        <v>2.0950000000000002</v>
      </c>
      <c r="S962" s="38">
        <v>2.067418</v>
      </c>
      <c r="T962" s="38">
        <v>2.7765999999999999E-2</v>
      </c>
      <c r="U962" s="38">
        <v>2.4399999999999999E-4</v>
      </c>
      <c r="V962" s="8">
        <f t="shared" si="15"/>
        <v>2022</v>
      </c>
    </row>
    <row r="963" spans="1:22" s="41" customFormat="1" ht="14.4" hidden="1" x14ac:dyDescent="0.3">
      <c r="A963" s="36">
        <v>44713</v>
      </c>
      <c r="B963" s="37" t="s">
        <v>14</v>
      </c>
      <c r="C963" s="37" t="s">
        <v>123</v>
      </c>
      <c r="D963" s="37" t="s">
        <v>68</v>
      </c>
      <c r="E963" s="37" t="s">
        <v>5</v>
      </c>
      <c r="F963" s="37" t="s">
        <v>144</v>
      </c>
      <c r="G963" s="37" t="s">
        <v>68</v>
      </c>
      <c r="H963" s="37" t="s">
        <v>145</v>
      </c>
      <c r="I963" s="37" t="s">
        <v>146</v>
      </c>
      <c r="J963" s="37" t="s">
        <v>34</v>
      </c>
      <c r="K963" s="38">
        <v>4.3628E-2</v>
      </c>
      <c r="L963" s="39"/>
      <c r="M963" s="37"/>
      <c r="N963" s="40">
        <v>1.0999999999999999E-2</v>
      </c>
      <c r="O963" s="38">
        <v>1.0928999999999999E-2</v>
      </c>
      <c r="P963" s="38">
        <v>1.16E-4</v>
      </c>
      <c r="Q963" s="38">
        <v>1.2999999999999999E-5</v>
      </c>
      <c r="R963" s="40">
        <v>1.0999999999999999E-2</v>
      </c>
      <c r="S963" s="38">
        <v>1.0928999999999999E-2</v>
      </c>
      <c r="T963" s="38">
        <v>1.16E-4</v>
      </c>
      <c r="U963" s="38">
        <v>1.2999999999999999E-5</v>
      </c>
      <c r="V963" s="8">
        <f t="shared" si="15"/>
        <v>2022</v>
      </c>
    </row>
    <row r="964" spans="1:22" s="41" customFormat="1" ht="14.4" hidden="1" x14ac:dyDescent="0.3">
      <c r="A964" s="36">
        <v>44713</v>
      </c>
      <c r="B964" s="37" t="s">
        <v>19</v>
      </c>
      <c r="C964" s="37" t="s">
        <v>123</v>
      </c>
      <c r="D964" s="37" t="s">
        <v>68</v>
      </c>
      <c r="E964" s="37" t="s">
        <v>5</v>
      </c>
      <c r="F964" s="37" t="s">
        <v>144</v>
      </c>
      <c r="G964" s="37" t="s">
        <v>68</v>
      </c>
      <c r="H964" s="37" t="s">
        <v>145</v>
      </c>
      <c r="I964" s="37" t="s">
        <v>146</v>
      </c>
      <c r="J964" s="37" t="s">
        <v>34</v>
      </c>
      <c r="K964" s="38">
        <v>2.775E-2</v>
      </c>
      <c r="L964" s="39"/>
      <c r="M964" s="37"/>
      <c r="N964" s="40">
        <v>5.0000000000000001E-3</v>
      </c>
      <c r="O964" s="38">
        <v>5.0239999999999998E-3</v>
      </c>
      <c r="P964" s="38">
        <v>3.0000000000000001E-6</v>
      </c>
      <c r="Q964" s="38">
        <v>3.0000000000000001E-6</v>
      </c>
      <c r="R964" s="40">
        <v>5.0000000000000001E-3</v>
      </c>
      <c r="S964" s="38">
        <v>5.0239999999999998E-3</v>
      </c>
      <c r="T964" s="38">
        <v>3.0000000000000001E-6</v>
      </c>
      <c r="U964" s="38">
        <v>3.0000000000000001E-6</v>
      </c>
      <c r="V964" s="8">
        <f t="shared" si="15"/>
        <v>2022</v>
      </c>
    </row>
    <row r="965" spans="1:22" s="41" customFormat="1" ht="14.4" hidden="1" x14ac:dyDescent="0.3">
      <c r="A965" s="36">
        <v>44743</v>
      </c>
      <c r="B965" s="37" t="s">
        <v>11</v>
      </c>
      <c r="C965" s="37" t="s">
        <v>123</v>
      </c>
      <c r="D965" s="37" t="s">
        <v>68</v>
      </c>
      <c r="E965" s="37" t="s">
        <v>5</v>
      </c>
      <c r="F965" s="37" t="s">
        <v>144</v>
      </c>
      <c r="G965" s="37" t="s">
        <v>68</v>
      </c>
      <c r="H965" s="37" t="s">
        <v>145</v>
      </c>
      <c r="I965" s="37" t="s">
        <v>146</v>
      </c>
      <c r="J965" s="37" t="s">
        <v>34</v>
      </c>
      <c r="K965" s="38">
        <v>8.8071260000000002</v>
      </c>
      <c r="L965" s="39"/>
      <c r="M965" s="37"/>
      <c r="N965" s="40">
        <v>2.0950000000000002</v>
      </c>
      <c r="O965" s="38">
        <v>2.067418</v>
      </c>
      <c r="P965" s="38">
        <v>2.7765999999999999E-2</v>
      </c>
      <c r="Q965" s="38">
        <v>2.4399999999999999E-4</v>
      </c>
      <c r="R965" s="40">
        <v>2.0950000000000002</v>
      </c>
      <c r="S965" s="38">
        <v>2.067418</v>
      </c>
      <c r="T965" s="38">
        <v>2.7765999999999999E-2</v>
      </c>
      <c r="U965" s="38">
        <v>2.4399999999999999E-4</v>
      </c>
      <c r="V965" s="8">
        <f t="shared" si="15"/>
        <v>2022</v>
      </c>
    </row>
    <row r="966" spans="1:22" s="41" customFormat="1" ht="14.4" hidden="1" x14ac:dyDescent="0.3">
      <c r="A966" s="36">
        <v>44743</v>
      </c>
      <c r="B966" s="37" t="s">
        <v>14</v>
      </c>
      <c r="C966" s="37" t="s">
        <v>123</v>
      </c>
      <c r="D966" s="37" t="s">
        <v>68</v>
      </c>
      <c r="E966" s="37" t="s">
        <v>5</v>
      </c>
      <c r="F966" s="37" t="s">
        <v>144</v>
      </c>
      <c r="G966" s="37" t="s">
        <v>68</v>
      </c>
      <c r="H966" s="37" t="s">
        <v>145</v>
      </c>
      <c r="I966" s="37" t="s">
        <v>146</v>
      </c>
      <c r="J966" s="37" t="s">
        <v>34</v>
      </c>
      <c r="K966" s="38">
        <v>4.3628E-2</v>
      </c>
      <c r="L966" s="39"/>
      <c r="M966" s="37"/>
      <c r="N966" s="40">
        <v>1.0999999999999999E-2</v>
      </c>
      <c r="O966" s="38">
        <v>1.0928999999999999E-2</v>
      </c>
      <c r="P966" s="38">
        <v>1.16E-4</v>
      </c>
      <c r="Q966" s="38">
        <v>1.2999999999999999E-5</v>
      </c>
      <c r="R966" s="40">
        <v>1.0999999999999999E-2</v>
      </c>
      <c r="S966" s="38">
        <v>1.0928999999999999E-2</v>
      </c>
      <c r="T966" s="38">
        <v>1.16E-4</v>
      </c>
      <c r="U966" s="38">
        <v>1.2999999999999999E-5</v>
      </c>
      <c r="V966" s="8">
        <f t="shared" si="15"/>
        <v>2022</v>
      </c>
    </row>
    <row r="967" spans="1:22" s="41" customFormat="1" ht="14.4" hidden="1" x14ac:dyDescent="0.3">
      <c r="A967" s="36">
        <v>44743</v>
      </c>
      <c r="B967" s="37" t="s">
        <v>19</v>
      </c>
      <c r="C967" s="37" t="s">
        <v>123</v>
      </c>
      <c r="D967" s="37" t="s">
        <v>68</v>
      </c>
      <c r="E967" s="37" t="s">
        <v>5</v>
      </c>
      <c r="F967" s="37" t="s">
        <v>144</v>
      </c>
      <c r="G967" s="37" t="s">
        <v>68</v>
      </c>
      <c r="H967" s="37" t="s">
        <v>145</v>
      </c>
      <c r="I967" s="37" t="s">
        <v>146</v>
      </c>
      <c r="J967" s="37" t="s">
        <v>34</v>
      </c>
      <c r="K967" s="38">
        <v>2.775E-2</v>
      </c>
      <c r="L967" s="39"/>
      <c r="M967" s="37"/>
      <c r="N967" s="40">
        <v>5.0000000000000001E-3</v>
      </c>
      <c r="O967" s="38">
        <v>5.0239999999999998E-3</v>
      </c>
      <c r="P967" s="38">
        <v>3.0000000000000001E-6</v>
      </c>
      <c r="Q967" s="38">
        <v>3.0000000000000001E-6</v>
      </c>
      <c r="R967" s="40">
        <v>5.0000000000000001E-3</v>
      </c>
      <c r="S967" s="38">
        <v>5.0239999999999998E-3</v>
      </c>
      <c r="T967" s="38">
        <v>3.0000000000000001E-6</v>
      </c>
      <c r="U967" s="38">
        <v>3.0000000000000001E-6</v>
      </c>
      <c r="V967" s="8">
        <f t="shared" si="15"/>
        <v>2022</v>
      </c>
    </row>
    <row r="968" spans="1:22" s="41" customFormat="1" ht="14.4" hidden="1" x14ac:dyDescent="0.3">
      <c r="A968" s="36">
        <v>44774</v>
      </c>
      <c r="B968" s="37" t="s">
        <v>11</v>
      </c>
      <c r="C968" s="37" t="s">
        <v>123</v>
      </c>
      <c r="D968" s="37" t="s">
        <v>68</v>
      </c>
      <c r="E968" s="37" t="s">
        <v>5</v>
      </c>
      <c r="F968" s="37" t="s">
        <v>144</v>
      </c>
      <c r="G968" s="37" t="s">
        <v>68</v>
      </c>
      <c r="H968" s="37" t="s">
        <v>145</v>
      </c>
      <c r="I968" s="37" t="s">
        <v>146</v>
      </c>
      <c r="J968" s="37" t="s">
        <v>34</v>
      </c>
      <c r="K968" s="38">
        <v>8.8071260000000002</v>
      </c>
      <c r="L968" s="39"/>
      <c r="M968" s="37"/>
      <c r="N968" s="40">
        <v>2.0950000000000002</v>
      </c>
      <c r="O968" s="38">
        <v>2.067418</v>
      </c>
      <c r="P968" s="38">
        <v>2.7765999999999999E-2</v>
      </c>
      <c r="Q968" s="38">
        <v>2.4399999999999999E-4</v>
      </c>
      <c r="R968" s="40">
        <v>2.0950000000000002</v>
      </c>
      <c r="S968" s="38">
        <v>2.067418</v>
      </c>
      <c r="T968" s="38">
        <v>2.7765999999999999E-2</v>
      </c>
      <c r="U968" s="38">
        <v>2.4399999999999999E-4</v>
      </c>
      <c r="V968" s="8">
        <f t="shared" si="15"/>
        <v>2022</v>
      </c>
    </row>
    <row r="969" spans="1:22" s="41" customFormat="1" ht="14.4" hidden="1" x14ac:dyDescent="0.3">
      <c r="A969" s="36">
        <v>44774</v>
      </c>
      <c r="B969" s="37" t="s">
        <v>14</v>
      </c>
      <c r="C969" s="37" t="s">
        <v>123</v>
      </c>
      <c r="D969" s="37" t="s">
        <v>68</v>
      </c>
      <c r="E969" s="37" t="s">
        <v>5</v>
      </c>
      <c r="F969" s="37" t="s">
        <v>144</v>
      </c>
      <c r="G969" s="37" t="s">
        <v>68</v>
      </c>
      <c r="H969" s="37" t="s">
        <v>145</v>
      </c>
      <c r="I969" s="37" t="s">
        <v>146</v>
      </c>
      <c r="J969" s="37" t="s">
        <v>34</v>
      </c>
      <c r="K969" s="38">
        <v>4.3628E-2</v>
      </c>
      <c r="L969" s="39"/>
      <c r="M969" s="37"/>
      <c r="N969" s="40">
        <v>1.0999999999999999E-2</v>
      </c>
      <c r="O969" s="38">
        <v>1.0928999999999999E-2</v>
      </c>
      <c r="P969" s="38">
        <v>1.16E-4</v>
      </c>
      <c r="Q969" s="38">
        <v>1.2999999999999999E-5</v>
      </c>
      <c r="R969" s="40">
        <v>1.0999999999999999E-2</v>
      </c>
      <c r="S969" s="38">
        <v>1.0928999999999999E-2</v>
      </c>
      <c r="T969" s="38">
        <v>1.16E-4</v>
      </c>
      <c r="U969" s="38">
        <v>1.2999999999999999E-5</v>
      </c>
      <c r="V969" s="8">
        <f t="shared" si="15"/>
        <v>2022</v>
      </c>
    </row>
    <row r="970" spans="1:22" s="41" customFormat="1" ht="14.4" hidden="1" x14ac:dyDescent="0.3">
      <c r="A970" s="36">
        <v>44774</v>
      </c>
      <c r="B970" s="37" t="s">
        <v>19</v>
      </c>
      <c r="C970" s="37" t="s">
        <v>123</v>
      </c>
      <c r="D970" s="37" t="s">
        <v>68</v>
      </c>
      <c r="E970" s="37" t="s">
        <v>5</v>
      </c>
      <c r="F970" s="37" t="s">
        <v>144</v>
      </c>
      <c r="G970" s="37" t="s">
        <v>68</v>
      </c>
      <c r="H970" s="37" t="s">
        <v>145</v>
      </c>
      <c r="I970" s="37" t="s">
        <v>146</v>
      </c>
      <c r="J970" s="37" t="s">
        <v>34</v>
      </c>
      <c r="K970" s="38">
        <v>2.775E-2</v>
      </c>
      <c r="L970" s="39"/>
      <c r="M970" s="37"/>
      <c r="N970" s="40">
        <v>5.0000000000000001E-3</v>
      </c>
      <c r="O970" s="38">
        <v>5.0239999999999998E-3</v>
      </c>
      <c r="P970" s="38">
        <v>3.0000000000000001E-6</v>
      </c>
      <c r="Q970" s="38">
        <v>3.0000000000000001E-6</v>
      </c>
      <c r="R970" s="40">
        <v>5.0000000000000001E-3</v>
      </c>
      <c r="S970" s="38">
        <v>5.0239999999999998E-3</v>
      </c>
      <c r="T970" s="38">
        <v>3.0000000000000001E-6</v>
      </c>
      <c r="U970" s="38">
        <v>3.0000000000000001E-6</v>
      </c>
      <c r="V970" s="8">
        <f t="shared" si="15"/>
        <v>2022</v>
      </c>
    </row>
    <row r="971" spans="1:22" s="41" customFormat="1" ht="14.4" hidden="1" x14ac:dyDescent="0.3">
      <c r="A971" s="36">
        <v>44805</v>
      </c>
      <c r="B971" s="37" t="s">
        <v>11</v>
      </c>
      <c r="C971" s="37" t="s">
        <v>123</v>
      </c>
      <c r="D971" s="37" t="s">
        <v>68</v>
      </c>
      <c r="E971" s="37" t="s">
        <v>5</v>
      </c>
      <c r="F971" s="37" t="s">
        <v>144</v>
      </c>
      <c r="G971" s="37" t="s">
        <v>68</v>
      </c>
      <c r="H971" s="37" t="s">
        <v>145</v>
      </c>
      <c r="I971" s="37" t="s">
        <v>146</v>
      </c>
      <c r="J971" s="37" t="s">
        <v>34</v>
      </c>
      <c r="K971" s="38">
        <v>8.8071260000000002</v>
      </c>
      <c r="L971" s="39"/>
      <c r="M971" s="37"/>
      <c r="N971" s="40">
        <v>2.0950000000000002</v>
      </c>
      <c r="O971" s="38">
        <v>2.067418</v>
      </c>
      <c r="P971" s="38">
        <v>2.7765999999999999E-2</v>
      </c>
      <c r="Q971" s="38">
        <v>2.4399999999999999E-4</v>
      </c>
      <c r="R971" s="40">
        <v>2.0950000000000002</v>
      </c>
      <c r="S971" s="38">
        <v>2.067418</v>
      </c>
      <c r="T971" s="38">
        <v>2.7765999999999999E-2</v>
      </c>
      <c r="U971" s="38">
        <v>2.4399999999999999E-4</v>
      </c>
      <c r="V971" s="8">
        <f t="shared" si="15"/>
        <v>2022</v>
      </c>
    </row>
    <row r="972" spans="1:22" s="41" customFormat="1" ht="14.4" hidden="1" x14ac:dyDescent="0.3">
      <c r="A972" s="36">
        <v>44805</v>
      </c>
      <c r="B972" s="37" t="s">
        <v>14</v>
      </c>
      <c r="C972" s="37" t="s">
        <v>123</v>
      </c>
      <c r="D972" s="37" t="s">
        <v>68</v>
      </c>
      <c r="E972" s="37" t="s">
        <v>5</v>
      </c>
      <c r="F972" s="37" t="s">
        <v>144</v>
      </c>
      <c r="G972" s="37" t="s">
        <v>68</v>
      </c>
      <c r="H972" s="37" t="s">
        <v>145</v>
      </c>
      <c r="I972" s="37" t="s">
        <v>146</v>
      </c>
      <c r="J972" s="37" t="s">
        <v>34</v>
      </c>
      <c r="K972" s="38">
        <v>4.3628E-2</v>
      </c>
      <c r="L972" s="39"/>
      <c r="M972" s="37"/>
      <c r="N972" s="40">
        <v>1.0999999999999999E-2</v>
      </c>
      <c r="O972" s="38">
        <v>1.0928999999999999E-2</v>
      </c>
      <c r="P972" s="38">
        <v>1.16E-4</v>
      </c>
      <c r="Q972" s="38">
        <v>1.2999999999999999E-5</v>
      </c>
      <c r="R972" s="40">
        <v>1.0999999999999999E-2</v>
      </c>
      <c r="S972" s="38">
        <v>1.0928999999999999E-2</v>
      </c>
      <c r="T972" s="38">
        <v>1.16E-4</v>
      </c>
      <c r="U972" s="38">
        <v>1.2999999999999999E-5</v>
      </c>
      <c r="V972" s="8">
        <f t="shared" si="15"/>
        <v>2022</v>
      </c>
    </row>
    <row r="973" spans="1:22" s="41" customFormat="1" ht="14.4" hidden="1" x14ac:dyDescent="0.3">
      <c r="A973" s="36">
        <v>44805</v>
      </c>
      <c r="B973" s="37" t="s">
        <v>19</v>
      </c>
      <c r="C973" s="37" t="s">
        <v>123</v>
      </c>
      <c r="D973" s="37" t="s">
        <v>68</v>
      </c>
      <c r="E973" s="37" t="s">
        <v>5</v>
      </c>
      <c r="F973" s="37" t="s">
        <v>144</v>
      </c>
      <c r="G973" s="37" t="s">
        <v>68</v>
      </c>
      <c r="H973" s="37" t="s">
        <v>145</v>
      </c>
      <c r="I973" s="37" t="s">
        <v>146</v>
      </c>
      <c r="J973" s="37" t="s">
        <v>34</v>
      </c>
      <c r="K973" s="38">
        <v>2.775E-2</v>
      </c>
      <c r="L973" s="39"/>
      <c r="M973" s="37"/>
      <c r="N973" s="40">
        <v>5.0000000000000001E-3</v>
      </c>
      <c r="O973" s="38">
        <v>5.0239999999999998E-3</v>
      </c>
      <c r="P973" s="38">
        <v>3.0000000000000001E-6</v>
      </c>
      <c r="Q973" s="38">
        <v>3.0000000000000001E-6</v>
      </c>
      <c r="R973" s="40">
        <v>5.0000000000000001E-3</v>
      </c>
      <c r="S973" s="38">
        <v>5.0239999999999998E-3</v>
      </c>
      <c r="T973" s="38">
        <v>3.0000000000000001E-6</v>
      </c>
      <c r="U973" s="38">
        <v>3.0000000000000001E-6</v>
      </c>
      <c r="V973" s="8">
        <f t="shared" si="15"/>
        <v>2022</v>
      </c>
    </row>
    <row r="974" spans="1:22" s="41" customFormat="1" ht="14.4" hidden="1" x14ac:dyDescent="0.3">
      <c r="A974" s="36">
        <v>44835</v>
      </c>
      <c r="B974" s="37" t="s">
        <v>11</v>
      </c>
      <c r="C974" s="37" t="s">
        <v>123</v>
      </c>
      <c r="D974" s="37" t="s">
        <v>68</v>
      </c>
      <c r="E974" s="37" t="s">
        <v>5</v>
      </c>
      <c r="F974" s="37" t="s">
        <v>144</v>
      </c>
      <c r="G974" s="37" t="s">
        <v>68</v>
      </c>
      <c r="H974" s="37" t="s">
        <v>145</v>
      </c>
      <c r="I974" s="37" t="s">
        <v>146</v>
      </c>
      <c r="J974" s="37" t="s">
        <v>34</v>
      </c>
      <c r="K974" s="38">
        <v>8.8071260000000002</v>
      </c>
      <c r="L974" s="39"/>
      <c r="M974" s="37"/>
      <c r="N974" s="40">
        <v>2.0950000000000002</v>
      </c>
      <c r="O974" s="38">
        <v>2.067418</v>
      </c>
      <c r="P974" s="38">
        <v>2.7765999999999999E-2</v>
      </c>
      <c r="Q974" s="38">
        <v>2.4399999999999999E-4</v>
      </c>
      <c r="R974" s="40">
        <v>2.0950000000000002</v>
      </c>
      <c r="S974" s="38">
        <v>2.067418</v>
      </c>
      <c r="T974" s="38">
        <v>2.7765999999999999E-2</v>
      </c>
      <c r="U974" s="38">
        <v>2.4399999999999999E-4</v>
      </c>
      <c r="V974" s="8">
        <f t="shared" si="15"/>
        <v>2022</v>
      </c>
    </row>
    <row r="975" spans="1:22" s="41" customFormat="1" ht="14.4" hidden="1" x14ac:dyDescent="0.3">
      <c r="A975" s="36">
        <v>44835</v>
      </c>
      <c r="B975" s="37" t="s">
        <v>14</v>
      </c>
      <c r="C975" s="37" t="s">
        <v>123</v>
      </c>
      <c r="D975" s="37" t="s">
        <v>68</v>
      </c>
      <c r="E975" s="37" t="s">
        <v>5</v>
      </c>
      <c r="F975" s="37" t="s">
        <v>144</v>
      </c>
      <c r="G975" s="37" t="s">
        <v>68</v>
      </c>
      <c r="H975" s="37" t="s">
        <v>145</v>
      </c>
      <c r="I975" s="37" t="s">
        <v>146</v>
      </c>
      <c r="J975" s="37" t="s">
        <v>34</v>
      </c>
      <c r="K975" s="38">
        <v>4.3628E-2</v>
      </c>
      <c r="L975" s="39"/>
      <c r="M975" s="37"/>
      <c r="N975" s="40">
        <v>1.0999999999999999E-2</v>
      </c>
      <c r="O975" s="38">
        <v>1.0928999999999999E-2</v>
      </c>
      <c r="P975" s="38">
        <v>1.16E-4</v>
      </c>
      <c r="Q975" s="38">
        <v>1.2999999999999999E-5</v>
      </c>
      <c r="R975" s="40">
        <v>1.0999999999999999E-2</v>
      </c>
      <c r="S975" s="38">
        <v>1.0928999999999999E-2</v>
      </c>
      <c r="T975" s="38">
        <v>1.16E-4</v>
      </c>
      <c r="U975" s="38">
        <v>1.2999999999999999E-5</v>
      </c>
      <c r="V975" s="8">
        <f t="shared" si="15"/>
        <v>2022</v>
      </c>
    </row>
    <row r="976" spans="1:22" s="41" customFormat="1" ht="14.4" hidden="1" x14ac:dyDescent="0.3">
      <c r="A976" s="36">
        <v>44835</v>
      </c>
      <c r="B976" s="37" t="s">
        <v>19</v>
      </c>
      <c r="C976" s="37" t="s">
        <v>123</v>
      </c>
      <c r="D976" s="37" t="s">
        <v>68</v>
      </c>
      <c r="E976" s="37" t="s">
        <v>5</v>
      </c>
      <c r="F976" s="37" t="s">
        <v>144</v>
      </c>
      <c r="G976" s="37" t="s">
        <v>68</v>
      </c>
      <c r="H976" s="37" t="s">
        <v>145</v>
      </c>
      <c r="I976" s="37" t="s">
        <v>146</v>
      </c>
      <c r="J976" s="37" t="s">
        <v>34</v>
      </c>
      <c r="K976" s="38">
        <v>2.775E-2</v>
      </c>
      <c r="L976" s="39"/>
      <c r="M976" s="37"/>
      <c r="N976" s="40">
        <v>5.0000000000000001E-3</v>
      </c>
      <c r="O976" s="38">
        <v>5.0239999999999998E-3</v>
      </c>
      <c r="P976" s="38">
        <v>3.0000000000000001E-6</v>
      </c>
      <c r="Q976" s="38">
        <v>3.0000000000000001E-6</v>
      </c>
      <c r="R976" s="40">
        <v>5.0000000000000001E-3</v>
      </c>
      <c r="S976" s="38">
        <v>5.0239999999999998E-3</v>
      </c>
      <c r="T976" s="38">
        <v>3.0000000000000001E-6</v>
      </c>
      <c r="U976" s="38">
        <v>3.0000000000000001E-6</v>
      </c>
      <c r="V976" s="8">
        <f t="shared" si="15"/>
        <v>2022</v>
      </c>
    </row>
    <row r="977" spans="1:22" s="41" customFormat="1" ht="14.4" hidden="1" x14ac:dyDescent="0.3">
      <c r="A977" s="36">
        <v>44866</v>
      </c>
      <c r="B977" s="37" t="s">
        <v>11</v>
      </c>
      <c r="C977" s="37" t="s">
        <v>123</v>
      </c>
      <c r="D977" s="37" t="s">
        <v>68</v>
      </c>
      <c r="E977" s="37" t="s">
        <v>5</v>
      </c>
      <c r="F977" s="37" t="s">
        <v>144</v>
      </c>
      <c r="G977" s="37" t="s">
        <v>68</v>
      </c>
      <c r="H977" s="37" t="s">
        <v>145</v>
      </c>
      <c r="I977" s="37" t="s">
        <v>146</v>
      </c>
      <c r="J977" s="37" t="s">
        <v>34</v>
      </c>
      <c r="K977" s="38">
        <v>8.8071260000000002</v>
      </c>
      <c r="L977" s="39"/>
      <c r="M977" s="37"/>
      <c r="N977" s="40">
        <v>2.0950000000000002</v>
      </c>
      <c r="O977" s="38">
        <v>2.067418</v>
      </c>
      <c r="P977" s="38">
        <v>2.7765999999999999E-2</v>
      </c>
      <c r="Q977" s="38">
        <v>2.4399999999999999E-4</v>
      </c>
      <c r="R977" s="40">
        <v>2.0950000000000002</v>
      </c>
      <c r="S977" s="38">
        <v>2.067418</v>
      </c>
      <c r="T977" s="38">
        <v>2.7765999999999999E-2</v>
      </c>
      <c r="U977" s="38">
        <v>2.4399999999999999E-4</v>
      </c>
      <c r="V977" s="8">
        <f t="shared" si="15"/>
        <v>2022</v>
      </c>
    </row>
    <row r="978" spans="1:22" s="41" customFormat="1" ht="14.4" hidden="1" x14ac:dyDescent="0.3">
      <c r="A978" s="36">
        <v>44866</v>
      </c>
      <c r="B978" s="37" t="s">
        <v>14</v>
      </c>
      <c r="C978" s="37" t="s">
        <v>123</v>
      </c>
      <c r="D978" s="37" t="s">
        <v>68</v>
      </c>
      <c r="E978" s="37" t="s">
        <v>5</v>
      </c>
      <c r="F978" s="37" t="s">
        <v>144</v>
      </c>
      <c r="G978" s="37" t="s">
        <v>68</v>
      </c>
      <c r="H978" s="37" t="s">
        <v>145</v>
      </c>
      <c r="I978" s="37" t="s">
        <v>146</v>
      </c>
      <c r="J978" s="37" t="s">
        <v>34</v>
      </c>
      <c r="K978" s="38">
        <v>4.3628E-2</v>
      </c>
      <c r="L978" s="39"/>
      <c r="M978" s="37"/>
      <c r="N978" s="40">
        <v>1.0999999999999999E-2</v>
      </c>
      <c r="O978" s="38">
        <v>1.0928999999999999E-2</v>
      </c>
      <c r="P978" s="38">
        <v>1.16E-4</v>
      </c>
      <c r="Q978" s="38">
        <v>1.2999999999999999E-5</v>
      </c>
      <c r="R978" s="40">
        <v>1.0999999999999999E-2</v>
      </c>
      <c r="S978" s="38">
        <v>1.0928999999999999E-2</v>
      </c>
      <c r="T978" s="38">
        <v>1.16E-4</v>
      </c>
      <c r="U978" s="38">
        <v>1.2999999999999999E-5</v>
      </c>
      <c r="V978" s="8">
        <f t="shared" si="15"/>
        <v>2022</v>
      </c>
    </row>
    <row r="979" spans="1:22" s="41" customFormat="1" ht="14.4" hidden="1" x14ac:dyDescent="0.3">
      <c r="A979" s="36">
        <v>44866</v>
      </c>
      <c r="B979" s="37" t="s">
        <v>19</v>
      </c>
      <c r="C979" s="37" t="s">
        <v>123</v>
      </c>
      <c r="D979" s="37" t="s">
        <v>68</v>
      </c>
      <c r="E979" s="37" t="s">
        <v>5</v>
      </c>
      <c r="F979" s="37" t="s">
        <v>144</v>
      </c>
      <c r="G979" s="37" t="s">
        <v>68</v>
      </c>
      <c r="H979" s="37" t="s">
        <v>145</v>
      </c>
      <c r="I979" s="37" t="s">
        <v>146</v>
      </c>
      <c r="J979" s="37" t="s">
        <v>34</v>
      </c>
      <c r="K979" s="38">
        <v>2.775E-2</v>
      </c>
      <c r="L979" s="39"/>
      <c r="M979" s="37"/>
      <c r="N979" s="40">
        <v>5.0000000000000001E-3</v>
      </c>
      <c r="O979" s="38">
        <v>5.0239999999999998E-3</v>
      </c>
      <c r="P979" s="38">
        <v>3.0000000000000001E-6</v>
      </c>
      <c r="Q979" s="38">
        <v>3.0000000000000001E-6</v>
      </c>
      <c r="R979" s="40">
        <v>5.0000000000000001E-3</v>
      </c>
      <c r="S979" s="38">
        <v>5.0239999999999998E-3</v>
      </c>
      <c r="T979" s="38">
        <v>3.0000000000000001E-6</v>
      </c>
      <c r="U979" s="38">
        <v>3.0000000000000001E-6</v>
      </c>
      <c r="V979" s="8">
        <f t="shared" si="15"/>
        <v>2022</v>
      </c>
    </row>
    <row r="980" spans="1:22" s="41" customFormat="1" ht="14.4" hidden="1" x14ac:dyDescent="0.3">
      <c r="A980" s="36">
        <v>44896</v>
      </c>
      <c r="B980" s="37" t="s">
        <v>11</v>
      </c>
      <c r="C980" s="37" t="s">
        <v>123</v>
      </c>
      <c r="D980" s="37" t="s">
        <v>68</v>
      </c>
      <c r="E980" s="37" t="s">
        <v>5</v>
      </c>
      <c r="F980" s="37" t="s">
        <v>144</v>
      </c>
      <c r="G980" s="37" t="s">
        <v>68</v>
      </c>
      <c r="H980" s="37" t="s">
        <v>145</v>
      </c>
      <c r="I980" s="37" t="s">
        <v>146</v>
      </c>
      <c r="J980" s="37" t="s">
        <v>34</v>
      </c>
      <c r="K980" s="38">
        <v>8.8071260000000002</v>
      </c>
      <c r="L980" s="39"/>
      <c r="M980" s="37"/>
      <c r="N980" s="40">
        <v>2.0950000000000002</v>
      </c>
      <c r="O980" s="38">
        <v>2.067418</v>
      </c>
      <c r="P980" s="38">
        <v>2.7765999999999999E-2</v>
      </c>
      <c r="Q980" s="38">
        <v>2.4399999999999999E-4</v>
      </c>
      <c r="R980" s="40">
        <v>2.0950000000000002</v>
      </c>
      <c r="S980" s="38">
        <v>2.067418</v>
      </c>
      <c r="T980" s="38">
        <v>2.7765999999999999E-2</v>
      </c>
      <c r="U980" s="38">
        <v>2.4399999999999999E-4</v>
      </c>
      <c r="V980" s="8">
        <f t="shared" si="15"/>
        <v>2022</v>
      </c>
    </row>
    <row r="981" spans="1:22" s="41" customFormat="1" ht="14.4" hidden="1" x14ac:dyDescent="0.3">
      <c r="A981" s="36">
        <v>44896</v>
      </c>
      <c r="B981" s="37" t="s">
        <v>14</v>
      </c>
      <c r="C981" s="37" t="s">
        <v>123</v>
      </c>
      <c r="D981" s="37" t="s">
        <v>68</v>
      </c>
      <c r="E981" s="37" t="s">
        <v>5</v>
      </c>
      <c r="F981" s="37" t="s">
        <v>144</v>
      </c>
      <c r="G981" s="37" t="s">
        <v>68</v>
      </c>
      <c r="H981" s="37" t="s">
        <v>145</v>
      </c>
      <c r="I981" s="37" t="s">
        <v>146</v>
      </c>
      <c r="J981" s="37" t="s">
        <v>34</v>
      </c>
      <c r="K981" s="38">
        <v>4.3628E-2</v>
      </c>
      <c r="L981" s="39"/>
      <c r="M981" s="37"/>
      <c r="N981" s="40">
        <v>1.0999999999999999E-2</v>
      </c>
      <c r="O981" s="38">
        <v>1.0928999999999999E-2</v>
      </c>
      <c r="P981" s="38">
        <v>1.16E-4</v>
      </c>
      <c r="Q981" s="38">
        <v>1.2999999999999999E-5</v>
      </c>
      <c r="R981" s="40">
        <v>1.0999999999999999E-2</v>
      </c>
      <c r="S981" s="38">
        <v>1.0928999999999999E-2</v>
      </c>
      <c r="T981" s="38">
        <v>1.16E-4</v>
      </c>
      <c r="U981" s="38">
        <v>1.2999999999999999E-5</v>
      </c>
      <c r="V981" s="8">
        <f t="shared" si="15"/>
        <v>2022</v>
      </c>
    </row>
    <row r="982" spans="1:22" s="41" customFormat="1" ht="14.4" hidden="1" x14ac:dyDescent="0.3">
      <c r="A982" s="36">
        <v>44896</v>
      </c>
      <c r="B982" s="37" t="s">
        <v>19</v>
      </c>
      <c r="C982" s="37" t="s">
        <v>123</v>
      </c>
      <c r="D982" s="37" t="s">
        <v>68</v>
      </c>
      <c r="E982" s="37" t="s">
        <v>5</v>
      </c>
      <c r="F982" s="37" t="s">
        <v>144</v>
      </c>
      <c r="G982" s="37" t="s">
        <v>68</v>
      </c>
      <c r="H982" s="37" t="s">
        <v>145</v>
      </c>
      <c r="I982" s="37" t="s">
        <v>146</v>
      </c>
      <c r="J982" s="37" t="s">
        <v>34</v>
      </c>
      <c r="K982" s="38">
        <v>2.775E-2</v>
      </c>
      <c r="L982" s="39"/>
      <c r="M982" s="37"/>
      <c r="N982" s="40">
        <v>5.0000000000000001E-3</v>
      </c>
      <c r="O982" s="38">
        <v>5.0239999999999998E-3</v>
      </c>
      <c r="P982" s="38">
        <v>3.0000000000000001E-6</v>
      </c>
      <c r="Q982" s="38">
        <v>3.0000000000000001E-6</v>
      </c>
      <c r="R982" s="40">
        <v>5.0000000000000001E-3</v>
      </c>
      <c r="S982" s="38">
        <v>5.0239999999999998E-3</v>
      </c>
      <c r="T982" s="38">
        <v>3.0000000000000001E-6</v>
      </c>
      <c r="U982" s="38">
        <v>3.0000000000000001E-6</v>
      </c>
      <c r="V982" s="8">
        <f t="shared" si="15"/>
        <v>2022</v>
      </c>
    </row>
    <row r="983" spans="1:22" s="41" customFormat="1" ht="14.4" hidden="1" x14ac:dyDescent="0.3">
      <c r="A983" s="36">
        <v>44927</v>
      </c>
      <c r="B983" s="37" t="s">
        <v>11</v>
      </c>
      <c r="C983" s="37" t="s">
        <v>123</v>
      </c>
      <c r="D983" s="37" t="s">
        <v>68</v>
      </c>
      <c r="E983" s="37" t="s">
        <v>5</v>
      </c>
      <c r="F983" s="37" t="s">
        <v>144</v>
      </c>
      <c r="G983" s="37" t="s">
        <v>68</v>
      </c>
      <c r="H983" s="37" t="s">
        <v>145</v>
      </c>
      <c r="I983" s="37" t="s">
        <v>146</v>
      </c>
      <c r="J983" s="37" t="s">
        <v>34</v>
      </c>
      <c r="K983" s="38">
        <v>4.1706919999999998</v>
      </c>
      <c r="L983" s="39"/>
      <c r="M983" s="37"/>
      <c r="N983" s="40">
        <v>0.97599999999999998</v>
      </c>
      <c r="O983" s="38">
        <v>0.962843</v>
      </c>
      <c r="P983" s="38">
        <v>1.3166000000000001E-2</v>
      </c>
      <c r="Q983" s="38">
        <v>1.2E-4</v>
      </c>
      <c r="R983" s="40">
        <v>0.97599999999999998</v>
      </c>
      <c r="S983" s="38">
        <v>0.962843</v>
      </c>
      <c r="T983" s="38">
        <v>1.3166000000000001E-2</v>
      </c>
      <c r="U983" s="38">
        <v>1.2E-4</v>
      </c>
      <c r="V983" s="8">
        <f t="shared" si="15"/>
        <v>2023</v>
      </c>
    </row>
    <row r="984" spans="1:22" s="41" customFormat="1" ht="14.4" hidden="1" x14ac:dyDescent="0.3">
      <c r="A984" s="36">
        <v>44927</v>
      </c>
      <c r="B984" s="37" t="s">
        <v>17</v>
      </c>
      <c r="C984" s="37" t="s">
        <v>123</v>
      </c>
      <c r="D984" s="37" t="s">
        <v>68</v>
      </c>
      <c r="E984" s="37" t="s">
        <v>5</v>
      </c>
      <c r="F984" s="37" t="s">
        <v>144</v>
      </c>
      <c r="G984" s="37" t="s">
        <v>68</v>
      </c>
      <c r="H984" s="37" t="s">
        <v>145</v>
      </c>
      <c r="I984" s="37" t="s">
        <v>146</v>
      </c>
      <c r="J984" s="37" t="s">
        <v>35</v>
      </c>
      <c r="K984" s="38">
        <v>705.6</v>
      </c>
      <c r="L984" s="39"/>
      <c r="M984" s="37"/>
      <c r="N984" s="40">
        <v>5.6040000000000001</v>
      </c>
      <c r="O984" s="38">
        <v>5.5651070000000002</v>
      </c>
      <c r="P984" s="38">
        <v>1.6150999999999999E-2</v>
      </c>
      <c r="Q984" s="38">
        <v>2.2922999999999999E-2</v>
      </c>
      <c r="R984" s="40">
        <v>5.6040000000000001</v>
      </c>
      <c r="S984" s="38">
        <v>5.5651070000000002</v>
      </c>
      <c r="T984" s="38">
        <v>1.6150999999999999E-2</v>
      </c>
      <c r="U984" s="38">
        <v>2.2922999999999999E-2</v>
      </c>
      <c r="V984" s="8">
        <f t="shared" si="15"/>
        <v>2023</v>
      </c>
    </row>
    <row r="985" spans="1:22" s="41" customFormat="1" ht="14.4" hidden="1" x14ac:dyDescent="0.3">
      <c r="A985" s="36">
        <v>44927</v>
      </c>
      <c r="B985" s="37" t="s">
        <v>19</v>
      </c>
      <c r="C985" s="37" t="s">
        <v>123</v>
      </c>
      <c r="D985" s="37" t="s">
        <v>68</v>
      </c>
      <c r="E985" s="37" t="s">
        <v>5</v>
      </c>
      <c r="F985" s="37" t="s">
        <v>144</v>
      </c>
      <c r="G985" s="37" t="s">
        <v>68</v>
      </c>
      <c r="H985" s="37" t="s">
        <v>145</v>
      </c>
      <c r="I985" s="37" t="s">
        <v>146</v>
      </c>
      <c r="J985" s="37" t="s">
        <v>34</v>
      </c>
      <c r="K985" s="38">
        <v>9.8000000000000004E-2</v>
      </c>
      <c r="L985" s="39"/>
      <c r="M985" s="37"/>
      <c r="N985" s="40">
        <v>1.7999999999999999E-2</v>
      </c>
      <c r="O985" s="38">
        <v>1.7742999999999998E-2</v>
      </c>
      <c r="P985" s="38">
        <v>9.0000000000000002E-6</v>
      </c>
      <c r="Q985" s="38">
        <v>1.0000000000000001E-5</v>
      </c>
      <c r="R985" s="40">
        <v>1.7999999999999999E-2</v>
      </c>
      <c r="S985" s="38">
        <v>1.7742999999999998E-2</v>
      </c>
      <c r="T985" s="38">
        <v>9.0000000000000002E-6</v>
      </c>
      <c r="U985" s="38">
        <v>1.0000000000000001E-5</v>
      </c>
      <c r="V985" s="8">
        <f t="shared" si="15"/>
        <v>2023</v>
      </c>
    </row>
    <row r="986" spans="1:22" s="41" customFormat="1" ht="14.4" hidden="1" x14ac:dyDescent="0.3">
      <c r="A986" s="36">
        <v>44958</v>
      </c>
      <c r="B986" s="37" t="s">
        <v>11</v>
      </c>
      <c r="C986" s="37" t="s">
        <v>123</v>
      </c>
      <c r="D986" s="37" t="s">
        <v>68</v>
      </c>
      <c r="E986" s="37" t="s">
        <v>5</v>
      </c>
      <c r="F986" s="37" t="s">
        <v>144</v>
      </c>
      <c r="G986" s="37" t="s">
        <v>68</v>
      </c>
      <c r="H986" s="37" t="s">
        <v>145</v>
      </c>
      <c r="I986" s="37" t="s">
        <v>146</v>
      </c>
      <c r="J986" s="37" t="s">
        <v>34</v>
      </c>
      <c r="K986" s="38">
        <v>3.4511660000000002</v>
      </c>
      <c r="L986" s="39"/>
      <c r="M986" s="37"/>
      <c r="N986" s="40">
        <v>0.80800000000000005</v>
      </c>
      <c r="O986" s="38">
        <v>0.79673400000000005</v>
      </c>
      <c r="P986" s="38">
        <v>1.0893999999999999E-2</v>
      </c>
      <c r="Q986" s="38">
        <v>1E-4</v>
      </c>
      <c r="R986" s="40">
        <v>0.80800000000000005</v>
      </c>
      <c r="S986" s="38">
        <v>0.79673400000000005</v>
      </c>
      <c r="T986" s="38">
        <v>1.0893999999999999E-2</v>
      </c>
      <c r="U986" s="38">
        <v>1E-4</v>
      </c>
      <c r="V986" s="8">
        <f t="shared" si="15"/>
        <v>2023</v>
      </c>
    </row>
    <row r="987" spans="1:22" s="41" customFormat="1" ht="14.4" hidden="1" x14ac:dyDescent="0.3">
      <c r="A987" s="36">
        <v>44958</v>
      </c>
      <c r="B987" s="37" t="s">
        <v>17</v>
      </c>
      <c r="C987" s="37" t="s">
        <v>123</v>
      </c>
      <c r="D987" s="37" t="s">
        <v>68</v>
      </c>
      <c r="E987" s="37" t="s">
        <v>5</v>
      </c>
      <c r="F987" s="37" t="s">
        <v>144</v>
      </c>
      <c r="G987" s="37" t="s">
        <v>68</v>
      </c>
      <c r="H987" s="37" t="s">
        <v>145</v>
      </c>
      <c r="I987" s="37" t="s">
        <v>146</v>
      </c>
      <c r="J987" s="37" t="s">
        <v>35</v>
      </c>
      <c r="K987" s="38">
        <v>564.38</v>
      </c>
      <c r="L987" s="39"/>
      <c r="M987" s="37"/>
      <c r="N987" s="40">
        <v>4.4829999999999997</v>
      </c>
      <c r="O987" s="38">
        <v>4.4512970000000003</v>
      </c>
      <c r="P987" s="38">
        <v>1.2919E-2</v>
      </c>
      <c r="Q987" s="38">
        <v>1.8336000000000002E-2</v>
      </c>
      <c r="R987" s="40">
        <v>4.4829999999999997</v>
      </c>
      <c r="S987" s="38">
        <v>4.4512970000000003</v>
      </c>
      <c r="T987" s="38">
        <v>1.2919E-2</v>
      </c>
      <c r="U987" s="38">
        <v>1.8336000000000002E-2</v>
      </c>
      <c r="V987" s="8">
        <f t="shared" si="15"/>
        <v>2023</v>
      </c>
    </row>
    <row r="988" spans="1:22" s="41" customFormat="1" ht="14.4" hidden="1" x14ac:dyDescent="0.3">
      <c r="A988" s="36">
        <v>44958</v>
      </c>
      <c r="B988" s="37" t="s">
        <v>19</v>
      </c>
      <c r="C988" s="37" t="s">
        <v>123</v>
      </c>
      <c r="D988" s="37" t="s">
        <v>68</v>
      </c>
      <c r="E988" s="37" t="s">
        <v>5</v>
      </c>
      <c r="F988" s="37" t="s">
        <v>144</v>
      </c>
      <c r="G988" s="37" t="s">
        <v>68</v>
      </c>
      <c r="H988" s="37" t="s">
        <v>145</v>
      </c>
      <c r="I988" s="37" t="s">
        <v>146</v>
      </c>
      <c r="J988" s="37" t="s">
        <v>34</v>
      </c>
      <c r="K988" s="38">
        <v>2.5000000000000001E-2</v>
      </c>
      <c r="L988" s="39"/>
      <c r="M988" s="37"/>
      <c r="N988" s="40">
        <v>5.0000000000000001E-3</v>
      </c>
      <c r="O988" s="38">
        <v>4.5259999999999996E-3</v>
      </c>
      <c r="P988" s="38">
        <v>1.9999999999999999E-6</v>
      </c>
      <c r="Q988" s="38">
        <v>3.0000000000000001E-6</v>
      </c>
      <c r="R988" s="40">
        <v>5.0000000000000001E-3</v>
      </c>
      <c r="S988" s="38">
        <v>4.5259999999999996E-3</v>
      </c>
      <c r="T988" s="38">
        <v>1.9999999999999999E-6</v>
      </c>
      <c r="U988" s="38">
        <v>3.0000000000000001E-6</v>
      </c>
      <c r="V988" s="8">
        <f t="shared" si="15"/>
        <v>2023</v>
      </c>
    </row>
    <row r="989" spans="1:22" s="41" customFormat="1" ht="14.4" hidden="1" x14ac:dyDescent="0.3">
      <c r="A989" s="36">
        <v>44986</v>
      </c>
      <c r="B989" s="37" t="s">
        <v>11</v>
      </c>
      <c r="C989" s="37" t="s">
        <v>123</v>
      </c>
      <c r="D989" s="37" t="s">
        <v>68</v>
      </c>
      <c r="E989" s="37" t="s">
        <v>5</v>
      </c>
      <c r="F989" s="37" t="s">
        <v>144</v>
      </c>
      <c r="G989" s="37" t="s">
        <v>68</v>
      </c>
      <c r="H989" s="37" t="s">
        <v>145</v>
      </c>
      <c r="I989" s="37" t="s">
        <v>146</v>
      </c>
      <c r="J989" s="37" t="s">
        <v>34</v>
      </c>
      <c r="K989" s="38">
        <v>11.176748999999999</v>
      </c>
      <c r="L989" s="39"/>
      <c r="M989" s="37"/>
      <c r="N989" s="40">
        <v>2.6160000000000001</v>
      </c>
      <c r="O989" s="38">
        <v>2.5802559999999999</v>
      </c>
      <c r="P989" s="38">
        <v>3.5282000000000001E-2</v>
      </c>
      <c r="Q989" s="38">
        <v>3.2299999999999999E-4</v>
      </c>
      <c r="R989" s="40">
        <v>2.6160000000000001</v>
      </c>
      <c r="S989" s="38">
        <v>2.5802559999999999</v>
      </c>
      <c r="T989" s="38">
        <v>3.5282000000000001E-2</v>
      </c>
      <c r="U989" s="38">
        <v>3.2299999999999999E-4</v>
      </c>
      <c r="V989" s="8">
        <f t="shared" si="15"/>
        <v>2023</v>
      </c>
    </row>
    <row r="990" spans="1:22" s="41" customFormat="1" ht="14.4" hidden="1" x14ac:dyDescent="0.3">
      <c r="A990" s="36">
        <v>44986</v>
      </c>
      <c r="B990" s="37" t="s">
        <v>17</v>
      </c>
      <c r="C990" s="37" t="s">
        <v>123</v>
      </c>
      <c r="D990" s="37" t="s">
        <v>68</v>
      </c>
      <c r="E990" s="37" t="s">
        <v>5</v>
      </c>
      <c r="F990" s="37" t="s">
        <v>144</v>
      </c>
      <c r="G990" s="37" t="s">
        <v>68</v>
      </c>
      <c r="H990" s="37" t="s">
        <v>145</v>
      </c>
      <c r="I990" s="37" t="s">
        <v>146</v>
      </c>
      <c r="J990" s="37" t="s">
        <v>35</v>
      </c>
      <c r="K990" s="38">
        <v>871.71</v>
      </c>
      <c r="L990" s="39"/>
      <c r="M990" s="37"/>
      <c r="N990" s="40">
        <v>6.9240000000000004</v>
      </c>
      <c r="O990" s="38">
        <v>6.8752259999999996</v>
      </c>
      <c r="P990" s="38">
        <v>1.9954E-2</v>
      </c>
      <c r="Q990" s="38">
        <v>2.8320000000000001E-2</v>
      </c>
      <c r="R990" s="40">
        <v>6.9240000000000004</v>
      </c>
      <c r="S990" s="38">
        <v>6.8752259999999996</v>
      </c>
      <c r="T990" s="38">
        <v>1.9954E-2</v>
      </c>
      <c r="U990" s="38">
        <v>2.8320000000000001E-2</v>
      </c>
      <c r="V990" s="8">
        <f t="shared" si="15"/>
        <v>2023</v>
      </c>
    </row>
    <row r="991" spans="1:22" s="41" customFormat="1" ht="14.4" hidden="1" x14ac:dyDescent="0.3">
      <c r="A991" s="36">
        <v>44986</v>
      </c>
      <c r="B991" s="37" t="s">
        <v>19</v>
      </c>
      <c r="C991" s="37" t="s">
        <v>123</v>
      </c>
      <c r="D991" s="37" t="s">
        <v>68</v>
      </c>
      <c r="E991" s="37" t="s">
        <v>5</v>
      </c>
      <c r="F991" s="37" t="s">
        <v>144</v>
      </c>
      <c r="G991" s="37" t="s">
        <v>68</v>
      </c>
      <c r="H991" s="37" t="s">
        <v>145</v>
      </c>
      <c r="I991" s="37" t="s">
        <v>146</v>
      </c>
      <c r="J991" s="37" t="s">
        <v>34</v>
      </c>
      <c r="K991" s="38">
        <v>0</v>
      </c>
      <c r="L991" s="39"/>
      <c r="M991" s="37"/>
      <c r="N991" s="40">
        <v>0</v>
      </c>
      <c r="O991" s="38">
        <v>0</v>
      </c>
      <c r="P991" s="38">
        <v>0</v>
      </c>
      <c r="Q991" s="38">
        <v>0</v>
      </c>
      <c r="R991" s="40">
        <v>0</v>
      </c>
      <c r="S991" s="38">
        <v>0</v>
      </c>
      <c r="T991" s="38">
        <v>0</v>
      </c>
      <c r="U991" s="38">
        <v>0</v>
      </c>
      <c r="V991" s="8">
        <f t="shared" si="15"/>
        <v>2023</v>
      </c>
    </row>
    <row r="992" spans="1:22" s="41" customFormat="1" ht="14.4" hidden="1" x14ac:dyDescent="0.3">
      <c r="A992" s="36">
        <v>45017</v>
      </c>
      <c r="B992" s="37" t="s">
        <v>11</v>
      </c>
      <c r="C992" s="37" t="s">
        <v>123</v>
      </c>
      <c r="D992" s="37" t="s">
        <v>68</v>
      </c>
      <c r="E992" s="37" t="s">
        <v>5</v>
      </c>
      <c r="F992" s="37" t="s">
        <v>144</v>
      </c>
      <c r="G992" s="37" t="s">
        <v>68</v>
      </c>
      <c r="H992" s="37" t="s">
        <v>145</v>
      </c>
      <c r="I992" s="37" t="s">
        <v>146</v>
      </c>
      <c r="J992" s="37" t="s">
        <v>34</v>
      </c>
      <c r="K992" s="38">
        <v>0</v>
      </c>
      <c r="L992" s="39"/>
      <c r="M992" s="37"/>
      <c r="N992" s="40">
        <v>0</v>
      </c>
      <c r="O992" s="38">
        <v>0</v>
      </c>
      <c r="P992" s="38">
        <v>0</v>
      </c>
      <c r="Q992" s="38">
        <v>0</v>
      </c>
      <c r="R992" s="40">
        <v>0</v>
      </c>
      <c r="S992" s="38">
        <v>0</v>
      </c>
      <c r="T992" s="38">
        <v>0</v>
      </c>
      <c r="U992" s="38">
        <v>0</v>
      </c>
      <c r="V992" s="8">
        <f t="shared" si="15"/>
        <v>2023</v>
      </c>
    </row>
    <row r="993" spans="1:22" s="41" customFormat="1" ht="14.4" hidden="1" x14ac:dyDescent="0.3">
      <c r="A993" s="36">
        <v>45017</v>
      </c>
      <c r="B993" s="37" t="s">
        <v>17</v>
      </c>
      <c r="C993" s="37" t="s">
        <v>123</v>
      </c>
      <c r="D993" s="37" t="s">
        <v>68</v>
      </c>
      <c r="E993" s="37" t="s">
        <v>5</v>
      </c>
      <c r="F993" s="37" t="s">
        <v>144</v>
      </c>
      <c r="G993" s="37" t="s">
        <v>68</v>
      </c>
      <c r="H993" s="37" t="s">
        <v>145</v>
      </c>
      <c r="I993" s="37" t="s">
        <v>146</v>
      </c>
      <c r="J993" s="37" t="s">
        <v>35</v>
      </c>
      <c r="K993" s="38">
        <v>556.98</v>
      </c>
      <c r="L993" s="39"/>
      <c r="M993" s="37"/>
      <c r="N993" s="40">
        <v>4.4240000000000004</v>
      </c>
      <c r="O993" s="38">
        <v>4.3929330000000002</v>
      </c>
      <c r="P993" s="38">
        <v>1.2749E-2</v>
      </c>
      <c r="Q993" s="38">
        <v>1.8095E-2</v>
      </c>
      <c r="R993" s="40">
        <v>4.4240000000000004</v>
      </c>
      <c r="S993" s="38">
        <v>4.3929330000000002</v>
      </c>
      <c r="T993" s="38">
        <v>1.2749E-2</v>
      </c>
      <c r="U993" s="38">
        <v>1.8095E-2</v>
      </c>
      <c r="V993" s="8">
        <f t="shared" si="15"/>
        <v>2023</v>
      </c>
    </row>
    <row r="994" spans="1:22" s="41" customFormat="1" ht="14.4" hidden="1" x14ac:dyDescent="0.3">
      <c r="A994" s="36">
        <v>45017</v>
      </c>
      <c r="B994" s="37" t="s">
        <v>19</v>
      </c>
      <c r="C994" s="37" t="s">
        <v>123</v>
      </c>
      <c r="D994" s="37" t="s">
        <v>68</v>
      </c>
      <c r="E994" s="37" t="s">
        <v>5</v>
      </c>
      <c r="F994" s="37" t="s">
        <v>144</v>
      </c>
      <c r="G994" s="37" t="s">
        <v>68</v>
      </c>
      <c r="H994" s="37" t="s">
        <v>145</v>
      </c>
      <c r="I994" s="37" t="s">
        <v>146</v>
      </c>
      <c r="J994" s="37" t="s">
        <v>34</v>
      </c>
      <c r="K994" s="38">
        <v>0</v>
      </c>
      <c r="L994" s="39"/>
      <c r="M994" s="37"/>
      <c r="N994" s="40">
        <v>0</v>
      </c>
      <c r="O994" s="38">
        <v>0</v>
      </c>
      <c r="P994" s="38">
        <v>0</v>
      </c>
      <c r="Q994" s="38">
        <v>0</v>
      </c>
      <c r="R994" s="40">
        <v>0</v>
      </c>
      <c r="S994" s="38">
        <v>0</v>
      </c>
      <c r="T994" s="38">
        <v>0</v>
      </c>
      <c r="U994" s="38">
        <v>0</v>
      </c>
      <c r="V994" s="8">
        <f t="shared" si="15"/>
        <v>2023</v>
      </c>
    </row>
    <row r="995" spans="1:22" s="41" customFormat="1" ht="14.4" hidden="1" x14ac:dyDescent="0.3">
      <c r="A995" s="36">
        <v>45047</v>
      </c>
      <c r="B995" s="37" t="s">
        <v>11</v>
      </c>
      <c r="C995" s="37" t="s">
        <v>123</v>
      </c>
      <c r="D995" s="37" t="s">
        <v>68</v>
      </c>
      <c r="E995" s="37" t="s">
        <v>5</v>
      </c>
      <c r="F995" s="37" t="s">
        <v>144</v>
      </c>
      <c r="G995" s="37" t="s">
        <v>68</v>
      </c>
      <c r="H995" s="37" t="s">
        <v>145</v>
      </c>
      <c r="I995" s="37" t="s">
        <v>146</v>
      </c>
      <c r="J995" s="37" t="s">
        <v>34</v>
      </c>
      <c r="K995" s="38">
        <v>1.7740629999999999</v>
      </c>
      <c r="L995" s="39"/>
      <c r="M995" s="37"/>
      <c r="N995" s="40">
        <v>0.41499999999999998</v>
      </c>
      <c r="O995" s="38">
        <v>0.40955900000000001</v>
      </c>
      <c r="P995" s="38">
        <v>5.5999999999999999E-3</v>
      </c>
      <c r="Q995" s="38">
        <v>5.1E-5</v>
      </c>
      <c r="R995" s="40">
        <v>0.41499999999999998</v>
      </c>
      <c r="S995" s="38">
        <v>0.40955900000000001</v>
      </c>
      <c r="T995" s="38">
        <v>5.5999999999999999E-3</v>
      </c>
      <c r="U995" s="38">
        <v>5.1E-5</v>
      </c>
      <c r="V995" s="8">
        <f t="shared" si="15"/>
        <v>2023</v>
      </c>
    </row>
    <row r="996" spans="1:22" s="41" customFormat="1" ht="14.4" hidden="1" x14ac:dyDescent="0.3">
      <c r="A996" s="36">
        <v>45047</v>
      </c>
      <c r="B996" s="37" t="s">
        <v>17</v>
      </c>
      <c r="C996" s="37" t="s">
        <v>123</v>
      </c>
      <c r="D996" s="37" t="s">
        <v>68</v>
      </c>
      <c r="E996" s="37" t="s">
        <v>5</v>
      </c>
      <c r="F996" s="37" t="s">
        <v>144</v>
      </c>
      <c r="G996" s="37" t="s">
        <v>68</v>
      </c>
      <c r="H996" s="37" t="s">
        <v>145</v>
      </c>
      <c r="I996" s="37" t="s">
        <v>146</v>
      </c>
      <c r="J996" s="37" t="s">
        <v>35</v>
      </c>
      <c r="K996" s="38">
        <v>703.48</v>
      </c>
      <c r="L996" s="39"/>
      <c r="M996" s="37"/>
      <c r="N996" s="40">
        <v>5.5869999999999997</v>
      </c>
      <c r="O996" s="38">
        <v>5.548387</v>
      </c>
      <c r="P996" s="38">
        <v>1.6102999999999999E-2</v>
      </c>
      <c r="Q996" s="38">
        <v>2.2855E-2</v>
      </c>
      <c r="R996" s="40">
        <v>5.5869999999999997</v>
      </c>
      <c r="S996" s="38">
        <v>5.548387</v>
      </c>
      <c r="T996" s="38">
        <v>1.6102999999999999E-2</v>
      </c>
      <c r="U996" s="38">
        <v>2.2855E-2</v>
      </c>
      <c r="V996" s="8">
        <f t="shared" si="15"/>
        <v>2023</v>
      </c>
    </row>
    <row r="997" spans="1:22" s="41" customFormat="1" ht="14.4" hidden="1" x14ac:dyDescent="0.3">
      <c r="A997" s="36">
        <v>45047</v>
      </c>
      <c r="B997" s="37" t="s">
        <v>19</v>
      </c>
      <c r="C997" s="37" t="s">
        <v>123</v>
      </c>
      <c r="D997" s="37" t="s">
        <v>68</v>
      </c>
      <c r="E997" s="37" t="s">
        <v>5</v>
      </c>
      <c r="F997" s="37" t="s">
        <v>144</v>
      </c>
      <c r="G997" s="37" t="s">
        <v>68</v>
      </c>
      <c r="H997" s="37" t="s">
        <v>145</v>
      </c>
      <c r="I997" s="37" t="s">
        <v>146</v>
      </c>
      <c r="J997" s="37" t="s">
        <v>34</v>
      </c>
      <c r="K997" s="38">
        <v>0</v>
      </c>
      <c r="L997" s="39"/>
      <c r="M997" s="37"/>
      <c r="N997" s="40">
        <v>0</v>
      </c>
      <c r="O997" s="38">
        <v>0</v>
      </c>
      <c r="P997" s="38">
        <v>0</v>
      </c>
      <c r="Q997" s="38">
        <v>0</v>
      </c>
      <c r="R997" s="40">
        <v>0</v>
      </c>
      <c r="S997" s="38">
        <v>0</v>
      </c>
      <c r="T997" s="38">
        <v>0</v>
      </c>
      <c r="U997" s="38">
        <v>0</v>
      </c>
      <c r="V997" s="8">
        <f t="shared" si="15"/>
        <v>2023</v>
      </c>
    </row>
    <row r="998" spans="1:22" s="41" customFormat="1" ht="14.4" hidden="1" x14ac:dyDescent="0.3">
      <c r="A998" s="36">
        <v>45078</v>
      </c>
      <c r="B998" s="37" t="s">
        <v>11</v>
      </c>
      <c r="C998" s="37" t="s">
        <v>123</v>
      </c>
      <c r="D998" s="37" t="s">
        <v>68</v>
      </c>
      <c r="E998" s="37" t="s">
        <v>5</v>
      </c>
      <c r="F998" s="37" t="s">
        <v>144</v>
      </c>
      <c r="G998" s="37" t="s">
        <v>68</v>
      </c>
      <c r="H998" s="37" t="s">
        <v>145</v>
      </c>
      <c r="I998" s="37" t="s">
        <v>146</v>
      </c>
      <c r="J998" s="37" t="s">
        <v>34</v>
      </c>
      <c r="K998" s="38">
        <v>9.8980110000000003</v>
      </c>
      <c r="L998" s="39"/>
      <c r="M998" s="37"/>
      <c r="N998" s="40">
        <v>2.3170000000000002</v>
      </c>
      <c r="O998" s="38">
        <v>2.2850470000000001</v>
      </c>
      <c r="P998" s="38">
        <v>3.1244999999999998E-2</v>
      </c>
      <c r="Q998" s="38">
        <v>2.8600000000000001E-4</v>
      </c>
      <c r="R998" s="40">
        <v>2.3170000000000002</v>
      </c>
      <c r="S998" s="38">
        <v>2.2850470000000001</v>
      </c>
      <c r="T998" s="38">
        <v>3.1244999999999998E-2</v>
      </c>
      <c r="U998" s="38">
        <v>2.8600000000000001E-4</v>
      </c>
      <c r="V998" s="8">
        <f t="shared" si="15"/>
        <v>2023</v>
      </c>
    </row>
    <row r="999" spans="1:22" s="41" customFormat="1" ht="14.4" hidden="1" x14ac:dyDescent="0.3">
      <c r="A999" s="36">
        <v>45078</v>
      </c>
      <c r="B999" s="37" t="s">
        <v>17</v>
      </c>
      <c r="C999" s="37" t="s">
        <v>123</v>
      </c>
      <c r="D999" s="37" t="s">
        <v>68</v>
      </c>
      <c r="E999" s="37" t="s">
        <v>5</v>
      </c>
      <c r="F999" s="37" t="s">
        <v>144</v>
      </c>
      <c r="G999" s="37" t="s">
        <v>68</v>
      </c>
      <c r="H999" s="37" t="s">
        <v>145</v>
      </c>
      <c r="I999" s="37" t="s">
        <v>146</v>
      </c>
      <c r="J999" s="37" t="s">
        <v>35</v>
      </c>
      <c r="K999" s="38">
        <v>414.48</v>
      </c>
      <c r="L999" s="39"/>
      <c r="M999" s="37"/>
      <c r="N999" s="40">
        <v>3.2919999999999998</v>
      </c>
      <c r="O999" s="38">
        <v>3.2690269999999999</v>
      </c>
      <c r="P999" s="38">
        <v>9.4879999999999999E-3</v>
      </c>
      <c r="Q999" s="38">
        <v>1.3466000000000001E-2</v>
      </c>
      <c r="R999" s="40">
        <v>3.2919999999999998</v>
      </c>
      <c r="S999" s="38">
        <v>3.2690269999999999</v>
      </c>
      <c r="T999" s="38">
        <v>9.4879999999999999E-3</v>
      </c>
      <c r="U999" s="38">
        <v>1.3466000000000001E-2</v>
      </c>
      <c r="V999" s="8">
        <f t="shared" si="15"/>
        <v>2023</v>
      </c>
    </row>
    <row r="1000" spans="1:22" s="41" customFormat="1" ht="14.4" hidden="1" x14ac:dyDescent="0.3">
      <c r="A1000" s="36">
        <v>45078</v>
      </c>
      <c r="B1000" s="37" t="s">
        <v>19</v>
      </c>
      <c r="C1000" s="37" t="s">
        <v>123</v>
      </c>
      <c r="D1000" s="37" t="s">
        <v>68</v>
      </c>
      <c r="E1000" s="37" t="s">
        <v>5</v>
      </c>
      <c r="F1000" s="37" t="s">
        <v>144</v>
      </c>
      <c r="G1000" s="37" t="s">
        <v>68</v>
      </c>
      <c r="H1000" s="37" t="s">
        <v>145</v>
      </c>
      <c r="I1000" s="37" t="s">
        <v>146</v>
      </c>
      <c r="J1000" s="37" t="s">
        <v>34</v>
      </c>
      <c r="K1000" s="38">
        <v>0</v>
      </c>
      <c r="L1000" s="39"/>
      <c r="M1000" s="37"/>
      <c r="N1000" s="40">
        <v>0</v>
      </c>
      <c r="O1000" s="38">
        <v>0</v>
      </c>
      <c r="P1000" s="38">
        <v>0</v>
      </c>
      <c r="Q1000" s="38">
        <v>0</v>
      </c>
      <c r="R1000" s="40">
        <v>0</v>
      </c>
      <c r="S1000" s="38">
        <v>0</v>
      </c>
      <c r="T1000" s="38">
        <v>0</v>
      </c>
      <c r="U1000" s="38">
        <v>0</v>
      </c>
      <c r="V1000" s="8">
        <f t="shared" si="15"/>
        <v>2023</v>
      </c>
    </row>
    <row r="1001" spans="1:22" s="41" customFormat="1" ht="14.4" hidden="1" x14ac:dyDescent="0.3">
      <c r="A1001" s="36">
        <v>45108</v>
      </c>
      <c r="B1001" s="37" t="s">
        <v>11</v>
      </c>
      <c r="C1001" s="37" t="s">
        <v>123</v>
      </c>
      <c r="D1001" s="37" t="s">
        <v>68</v>
      </c>
      <c r="E1001" s="37" t="s">
        <v>5</v>
      </c>
      <c r="F1001" s="37" t="s">
        <v>144</v>
      </c>
      <c r="G1001" s="37" t="s">
        <v>68</v>
      </c>
      <c r="H1001" s="37" t="s">
        <v>145</v>
      </c>
      <c r="I1001" s="37" t="s">
        <v>146</v>
      </c>
      <c r="J1001" s="37" t="s">
        <v>34</v>
      </c>
      <c r="K1001" s="38">
        <v>0.56447499999999995</v>
      </c>
      <c r="L1001" s="39"/>
      <c r="M1001" s="37"/>
      <c r="N1001" s="40">
        <v>0.13200000000000001</v>
      </c>
      <c r="O1001" s="38">
        <v>0.13031400000000001</v>
      </c>
      <c r="P1001" s="38">
        <v>1.7819999999999999E-3</v>
      </c>
      <c r="Q1001" s="38">
        <v>1.5999999999999999E-5</v>
      </c>
      <c r="R1001" s="40">
        <v>0.13200000000000001</v>
      </c>
      <c r="S1001" s="38">
        <v>0.13031400000000001</v>
      </c>
      <c r="T1001" s="38">
        <v>1.7819999999999999E-3</v>
      </c>
      <c r="U1001" s="38">
        <v>1.5999999999999999E-5</v>
      </c>
      <c r="V1001" s="8">
        <f t="shared" si="15"/>
        <v>2023</v>
      </c>
    </row>
    <row r="1002" spans="1:22" s="41" customFormat="1" ht="14.4" hidden="1" x14ac:dyDescent="0.3">
      <c r="A1002" s="36">
        <v>45108</v>
      </c>
      <c r="B1002" s="37" t="s">
        <v>17</v>
      </c>
      <c r="C1002" s="37" t="s">
        <v>123</v>
      </c>
      <c r="D1002" s="37" t="s">
        <v>68</v>
      </c>
      <c r="E1002" s="37" t="s">
        <v>5</v>
      </c>
      <c r="F1002" s="37" t="s">
        <v>144</v>
      </c>
      <c r="G1002" s="37" t="s">
        <v>68</v>
      </c>
      <c r="H1002" s="37" t="s">
        <v>145</v>
      </c>
      <c r="I1002" s="37" t="s">
        <v>146</v>
      </c>
      <c r="J1002" s="37" t="s">
        <v>35</v>
      </c>
      <c r="K1002" s="38">
        <v>624.54999999999995</v>
      </c>
      <c r="L1002" s="39"/>
      <c r="M1002" s="37"/>
      <c r="N1002" s="40">
        <v>4.96</v>
      </c>
      <c r="O1002" s="38">
        <v>4.9258610000000003</v>
      </c>
      <c r="P1002" s="38">
        <v>1.4296E-2</v>
      </c>
      <c r="Q1002" s="38">
        <v>2.0289999999999999E-2</v>
      </c>
      <c r="R1002" s="40">
        <v>4.96</v>
      </c>
      <c r="S1002" s="38">
        <v>4.9258610000000003</v>
      </c>
      <c r="T1002" s="38">
        <v>1.4296E-2</v>
      </c>
      <c r="U1002" s="38">
        <v>2.0289999999999999E-2</v>
      </c>
      <c r="V1002" s="8">
        <f t="shared" si="15"/>
        <v>2023</v>
      </c>
    </row>
    <row r="1003" spans="1:22" s="41" customFormat="1" ht="14.4" hidden="1" x14ac:dyDescent="0.3">
      <c r="A1003" s="36">
        <v>45108</v>
      </c>
      <c r="B1003" s="37" t="s">
        <v>19</v>
      </c>
      <c r="C1003" s="37" t="s">
        <v>123</v>
      </c>
      <c r="D1003" s="37" t="s">
        <v>68</v>
      </c>
      <c r="E1003" s="37" t="s">
        <v>5</v>
      </c>
      <c r="F1003" s="37" t="s">
        <v>144</v>
      </c>
      <c r="G1003" s="37" t="s">
        <v>68</v>
      </c>
      <c r="H1003" s="37" t="s">
        <v>145</v>
      </c>
      <c r="I1003" s="37" t="s">
        <v>146</v>
      </c>
      <c r="J1003" s="37" t="s">
        <v>34</v>
      </c>
      <c r="K1003" s="38">
        <v>0</v>
      </c>
      <c r="L1003" s="39"/>
      <c r="M1003" s="37"/>
      <c r="N1003" s="40">
        <v>0</v>
      </c>
      <c r="O1003" s="38">
        <v>0</v>
      </c>
      <c r="P1003" s="38">
        <v>0</v>
      </c>
      <c r="Q1003" s="38">
        <v>0</v>
      </c>
      <c r="R1003" s="40">
        <v>0</v>
      </c>
      <c r="S1003" s="38">
        <v>0</v>
      </c>
      <c r="T1003" s="38">
        <v>0</v>
      </c>
      <c r="U1003" s="38">
        <v>0</v>
      </c>
      <c r="V1003" s="8">
        <f t="shared" si="15"/>
        <v>2023</v>
      </c>
    </row>
    <row r="1004" spans="1:22" s="41" customFormat="1" ht="14.4" hidden="1" x14ac:dyDescent="0.3">
      <c r="A1004" s="36">
        <v>45139</v>
      </c>
      <c r="B1004" s="37" t="s">
        <v>11</v>
      </c>
      <c r="C1004" s="37" t="s">
        <v>123</v>
      </c>
      <c r="D1004" s="37" t="s">
        <v>68</v>
      </c>
      <c r="E1004" s="37" t="s">
        <v>5</v>
      </c>
      <c r="F1004" s="37" t="s">
        <v>144</v>
      </c>
      <c r="G1004" s="37" t="s">
        <v>68</v>
      </c>
      <c r="H1004" s="37" t="s">
        <v>145</v>
      </c>
      <c r="I1004" s="37" t="s">
        <v>146</v>
      </c>
      <c r="J1004" s="37" t="s">
        <v>34</v>
      </c>
      <c r="K1004" s="38">
        <v>1.0821339999999999</v>
      </c>
      <c r="L1004" s="39"/>
      <c r="M1004" s="37"/>
      <c r="N1004" s="40">
        <v>0.253</v>
      </c>
      <c r="O1004" s="38">
        <v>0.24982099999999999</v>
      </c>
      <c r="P1004" s="38">
        <v>3.4160000000000002E-3</v>
      </c>
      <c r="Q1004" s="38">
        <v>3.1000000000000001E-5</v>
      </c>
      <c r="R1004" s="40">
        <v>0.253</v>
      </c>
      <c r="S1004" s="38">
        <v>0.24982099999999999</v>
      </c>
      <c r="T1004" s="38">
        <v>3.4160000000000002E-3</v>
      </c>
      <c r="U1004" s="38">
        <v>3.1000000000000001E-5</v>
      </c>
      <c r="V1004" s="8">
        <f t="shared" si="15"/>
        <v>2023</v>
      </c>
    </row>
    <row r="1005" spans="1:22" s="41" customFormat="1" ht="14.4" hidden="1" x14ac:dyDescent="0.3">
      <c r="A1005" s="36">
        <v>45139</v>
      </c>
      <c r="B1005" s="37" t="s">
        <v>17</v>
      </c>
      <c r="C1005" s="37" t="s">
        <v>123</v>
      </c>
      <c r="D1005" s="37" t="s">
        <v>68</v>
      </c>
      <c r="E1005" s="37" t="s">
        <v>5</v>
      </c>
      <c r="F1005" s="37" t="s">
        <v>144</v>
      </c>
      <c r="G1005" s="37" t="s">
        <v>68</v>
      </c>
      <c r="H1005" s="37" t="s">
        <v>145</v>
      </c>
      <c r="I1005" s="37" t="s">
        <v>146</v>
      </c>
      <c r="J1005" s="37" t="s">
        <v>35</v>
      </c>
      <c r="K1005" s="38">
        <v>566.34</v>
      </c>
      <c r="L1005" s="39"/>
      <c r="M1005" s="37"/>
      <c r="N1005" s="40">
        <v>4.4980000000000002</v>
      </c>
      <c r="O1005" s="38">
        <v>4.4667560000000002</v>
      </c>
      <c r="P1005" s="38">
        <v>1.2964E-2</v>
      </c>
      <c r="Q1005" s="38">
        <v>1.8398999999999999E-2</v>
      </c>
      <c r="R1005" s="40">
        <v>4.4980000000000002</v>
      </c>
      <c r="S1005" s="38">
        <v>4.4667560000000002</v>
      </c>
      <c r="T1005" s="38">
        <v>1.2964E-2</v>
      </c>
      <c r="U1005" s="38">
        <v>1.8398999999999999E-2</v>
      </c>
      <c r="V1005" s="8">
        <f t="shared" si="15"/>
        <v>2023</v>
      </c>
    </row>
    <row r="1006" spans="1:22" s="41" customFormat="1" ht="14.4" hidden="1" x14ac:dyDescent="0.3">
      <c r="A1006" s="36">
        <v>45139</v>
      </c>
      <c r="B1006" s="37" t="s">
        <v>19</v>
      </c>
      <c r="C1006" s="37" t="s">
        <v>123</v>
      </c>
      <c r="D1006" s="37" t="s">
        <v>68</v>
      </c>
      <c r="E1006" s="37" t="s">
        <v>5</v>
      </c>
      <c r="F1006" s="37" t="s">
        <v>144</v>
      </c>
      <c r="G1006" s="37" t="s">
        <v>68</v>
      </c>
      <c r="H1006" s="37" t="s">
        <v>145</v>
      </c>
      <c r="I1006" s="37" t="s">
        <v>146</v>
      </c>
      <c r="J1006" s="37" t="s">
        <v>34</v>
      </c>
      <c r="K1006" s="38">
        <v>0</v>
      </c>
      <c r="L1006" s="39"/>
      <c r="M1006" s="37"/>
      <c r="N1006" s="40">
        <v>0</v>
      </c>
      <c r="O1006" s="38">
        <v>0</v>
      </c>
      <c r="P1006" s="38">
        <v>0</v>
      </c>
      <c r="Q1006" s="38">
        <v>0</v>
      </c>
      <c r="R1006" s="40">
        <v>0</v>
      </c>
      <c r="S1006" s="38">
        <v>0</v>
      </c>
      <c r="T1006" s="38">
        <v>0</v>
      </c>
      <c r="U1006" s="38">
        <v>0</v>
      </c>
      <c r="V1006" s="8">
        <f t="shared" si="15"/>
        <v>2023</v>
      </c>
    </row>
    <row r="1007" spans="1:22" s="41" customFormat="1" ht="14.4" hidden="1" x14ac:dyDescent="0.3">
      <c r="A1007" s="36">
        <v>45170</v>
      </c>
      <c r="B1007" s="37" t="s">
        <v>11</v>
      </c>
      <c r="C1007" s="37" t="s">
        <v>123</v>
      </c>
      <c r="D1007" s="37" t="s">
        <v>68</v>
      </c>
      <c r="E1007" s="37" t="s">
        <v>5</v>
      </c>
      <c r="F1007" s="37" t="s">
        <v>144</v>
      </c>
      <c r="G1007" s="37" t="s">
        <v>68</v>
      </c>
      <c r="H1007" s="37" t="s">
        <v>145</v>
      </c>
      <c r="I1007" s="37" t="s">
        <v>146</v>
      </c>
      <c r="J1007" s="37" t="s">
        <v>34</v>
      </c>
      <c r="K1007" s="38">
        <v>9.6606030000000001</v>
      </c>
      <c r="L1007" s="39"/>
      <c r="M1007" s="37"/>
      <c r="N1007" s="40">
        <v>2.2610000000000001</v>
      </c>
      <c r="O1007" s="38">
        <v>2.2302390000000001</v>
      </c>
      <c r="P1007" s="38">
        <v>3.0495999999999999E-2</v>
      </c>
      <c r="Q1007" s="38">
        <v>2.7900000000000001E-4</v>
      </c>
      <c r="R1007" s="40">
        <v>2.2610000000000001</v>
      </c>
      <c r="S1007" s="38">
        <v>2.2302390000000001</v>
      </c>
      <c r="T1007" s="38">
        <v>3.0495999999999999E-2</v>
      </c>
      <c r="U1007" s="38">
        <v>2.7900000000000001E-4</v>
      </c>
      <c r="V1007" s="8">
        <f t="shared" si="15"/>
        <v>2023</v>
      </c>
    </row>
    <row r="1008" spans="1:22" s="41" customFormat="1" ht="14.4" hidden="1" x14ac:dyDescent="0.3">
      <c r="A1008" s="36">
        <v>45170</v>
      </c>
      <c r="B1008" s="37" t="s">
        <v>17</v>
      </c>
      <c r="C1008" s="37" t="s">
        <v>123</v>
      </c>
      <c r="D1008" s="37" t="s">
        <v>68</v>
      </c>
      <c r="E1008" s="37" t="s">
        <v>5</v>
      </c>
      <c r="F1008" s="37" t="s">
        <v>144</v>
      </c>
      <c r="G1008" s="37" t="s">
        <v>68</v>
      </c>
      <c r="H1008" s="37" t="s">
        <v>145</v>
      </c>
      <c r="I1008" s="37" t="s">
        <v>146</v>
      </c>
      <c r="J1008" s="37" t="s">
        <v>35</v>
      </c>
      <c r="K1008" s="38">
        <v>513.79</v>
      </c>
      <c r="L1008" s="39"/>
      <c r="M1008" s="37"/>
      <c r="N1008" s="40">
        <v>4.0810000000000004</v>
      </c>
      <c r="O1008" s="38">
        <v>4.0522910000000003</v>
      </c>
      <c r="P1008" s="38">
        <v>1.1761000000000001E-2</v>
      </c>
      <c r="Q1008" s="38">
        <v>1.6691999999999999E-2</v>
      </c>
      <c r="R1008" s="40">
        <v>4.0810000000000004</v>
      </c>
      <c r="S1008" s="38">
        <v>4.0522910000000003</v>
      </c>
      <c r="T1008" s="38">
        <v>1.1761000000000001E-2</v>
      </c>
      <c r="U1008" s="38">
        <v>1.6691999999999999E-2</v>
      </c>
      <c r="V1008" s="8">
        <f t="shared" si="15"/>
        <v>2023</v>
      </c>
    </row>
    <row r="1009" spans="1:22" s="41" customFormat="1" ht="14.4" hidden="1" x14ac:dyDescent="0.3">
      <c r="A1009" s="36">
        <v>45170</v>
      </c>
      <c r="B1009" s="37" t="s">
        <v>19</v>
      </c>
      <c r="C1009" s="37" t="s">
        <v>123</v>
      </c>
      <c r="D1009" s="37" t="s">
        <v>68</v>
      </c>
      <c r="E1009" s="37" t="s">
        <v>5</v>
      </c>
      <c r="F1009" s="37" t="s">
        <v>144</v>
      </c>
      <c r="G1009" s="37" t="s">
        <v>68</v>
      </c>
      <c r="H1009" s="37" t="s">
        <v>145</v>
      </c>
      <c r="I1009" s="37" t="s">
        <v>146</v>
      </c>
      <c r="J1009" s="37" t="s">
        <v>34</v>
      </c>
      <c r="K1009" s="38">
        <v>9.5000000000000001E-2</v>
      </c>
      <c r="L1009" s="39"/>
      <c r="M1009" s="37"/>
      <c r="N1009" s="40">
        <v>1.7000000000000001E-2</v>
      </c>
      <c r="O1009" s="38">
        <v>1.72E-2</v>
      </c>
      <c r="P1009" s="38">
        <v>9.0000000000000002E-6</v>
      </c>
      <c r="Q1009" s="38">
        <v>1.0000000000000001E-5</v>
      </c>
      <c r="R1009" s="40">
        <v>1.7000000000000001E-2</v>
      </c>
      <c r="S1009" s="38">
        <v>1.72E-2</v>
      </c>
      <c r="T1009" s="38">
        <v>9.0000000000000002E-6</v>
      </c>
      <c r="U1009" s="38">
        <v>1.0000000000000001E-5</v>
      </c>
      <c r="V1009" s="8">
        <f t="shared" si="15"/>
        <v>2023</v>
      </c>
    </row>
    <row r="1010" spans="1:22" s="41" customFormat="1" ht="14.4" hidden="1" x14ac:dyDescent="0.3">
      <c r="A1010" s="36">
        <v>45200</v>
      </c>
      <c r="B1010" s="37" t="s">
        <v>11</v>
      </c>
      <c r="C1010" s="37" t="s">
        <v>123</v>
      </c>
      <c r="D1010" s="37" t="s">
        <v>68</v>
      </c>
      <c r="E1010" s="37" t="s">
        <v>5</v>
      </c>
      <c r="F1010" s="37" t="s">
        <v>144</v>
      </c>
      <c r="G1010" s="37" t="s">
        <v>68</v>
      </c>
      <c r="H1010" s="37" t="s">
        <v>145</v>
      </c>
      <c r="I1010" s="37" t="s">
        <v>146</v>
      </c>
      <c r="J1010" s="37" t="s">
        <v>34</v>
      </c>
      <c r="K1010" s="38">
        <v>2.161368</v>
      </c>
      <c r="L1010" s="39"/>
      <c r="M1010" s="37"/>
      <c r="N1010" s="40">
        <v>0.50600000000000001</v>
      </c>
      <c r="O1010" s="38">
        <v>0.49897200000000003</v>
      </c>
      <c r="P1010" s="38">
        <v>6.8230000000000001E-3</v>
      </c>
      <c r="Q1010" s="38">
        <v>6.2000000000000003E-5</v>
      </c>
      <c r="R1010" s="40">
        <v>0.50600000000000001</v>
      </c>
      <c r="S1010" s="38">
        <v>0.49897200000000003</v>
      </c>
      <c r="T1010" s="38">
        <v>6.8230000000000001E-3</v>
      </c>
      <c r="U1010" s="38">
        <v>6.2000000000000003E-5</v>
      </c>
      <c r="V1010" s="8">
        <f t="shared" si="15"/>
        <v>2023</v>
      </c>
    </row>
    <row r="1011" spans="1:22" s="41" customFormat="1" ht="14.4" hidden="1" x14ac:dyDescent="0.3">
      <c r="A1011" s="36">
        <v>45200</v>
      </c>
      <c r="B1011" s="37" t="s">
        <v>17</v>
      </c>
      <c r="C1011" s="37" t="s">
        <v>123</v>
      </c>
      <c r="D1011" s="37" t="s">
        <v>68</v>
      </c>
      <c r="E1011" s="37" t="s">
        <v>5</v>
      </c>
      <c r="F1011" s="37" t="s">
        <v>144</v>
      </c>
      <c r="G1011" s="37" t="s">
        <v>68</v>
      </c>
      <c r="H1011" s="37" t="s">
        <v>145</v>
      </c>
      <c r="I1011" s="37" t="s">
        <v>146</v>
      </c>
      <c r="J1011" s="37" t="s">
        <v>35</v>
      </c>
      <c r="K1011" s="38">
        <v>533.89</v>
      </c>
      <c r="L1011" s="39"/>
      <c r="M1011" s="37"/>
      <c r="N1011" s="40">
        <v>4.24</v>
      </c>
      <c r="O1011" s="38">
        <v>4.2108210000000001</v>
      </c>
      <c r="P1011" s="38">
        <v>1.2220999999999999E-2</v>
      </c>
      <c r="Q1011" s="38">
        <v>1.7344999999999999E-2</v>
      </c>
      <c r="R1011" s="40">
        <v>4.24</v>
      </c>
      <c r="S1011" s="38">
        <v>4.2108210000000001</v>
      </c>
      <c r="T1011" s="38">
        <v>1.2220999999999999E-2</v>
      </c>
      <c r="U1011" s="38">
        <v>1.7344999999999999E-2</v>
      </c>
      <c r="V1011" s="8">
        <f t="shared" si="15"/>
        <v>2023</v>
      </c>
    </row>
    <row r="1012" spans="1:22" s="41" customFormat="1" ht="14.4" hidden="1" x14ac:dyDescent="0.3">
      <c r="A1012" s="36">
        <v>45200</v>
      </c>
      <c r="B1012" s="37" t="s">
        <v>19</v>
      </c>
      <c r="C1012" s="37" t="s">
        <v>123</v>
      </c>
      <c r="D1012" s="37" t="s">
        <v>68</v>
      </c>
      <c r="E1012" s="37" t="s">
        <v>5</v>
      </c>
      <c r="F1012" s="37" t="s">
        <v>144</v>
      </c>
      <c r="G1012" s="37" t="s">
        <v>68</v>
      </c>
      <c r="H1012" s="37" t="s">
        <v>145</v>
      </c>
      <c r="I1012" s="37" t="s">
        <v>146</v>
      </c>
      <c r="J1012" s="37" t="s">
        <v>34</v>
      </c>
      <c r="K1012" s="38">
        <v>2.4E-2</v>
      </c>
      <c r="L1012" s="39"/>
      <c r="M1012" s="37"/>
      <c r="N1012" s="40">
        <v>4.0000000000000001E-3</v>
      </c>
      <c r="O1012" s="38">
        <v>4.3449999999999999E-3</v>
      </c>
      <c r="P1012" s="38">
        <v>1.9999999999999999E-6</v>
      </c>
      <c r="Q1012" s="38">
        <v>1.9999999999999999E-6</v>
      </c>
      <c r="R1012" s="40">
        <v>4.0000000000000001E-3</v>
      </c>
      <c r="S1012" s="38">
        <v>4.3449999999999999E-3</v>
      </c>
      <c r="T1012" s="38">
        <v>1.9999999999999999E-6</v>
      </c>
      <c r="U1012" s="38">
        <v>1.9999999999999999E-6</v>
      </c>
      <c r="V1012" s="8">
        <f t="shared" ref="V1012:V1075" si="16">YEAR(A1012)</f>
        <v>2023</v>
      </c>
    </row>
    <row r="1013" spans="1:22" s="41" customFormat="1" ht="14.4" hidden="1" x14ac:dyDescent="0.3">
      <c r="A1013" s="36">
        <v>45231</v>
      </c>
      <c r="B1013" s="37" t="s">
        <v>11</v>
      </c>
      <c r="C1013" s="37" t="s">
        <v>123</v>
      </c>
      <c r="D1013" s="37" t="s">
        <v>68</v>
      </c>
      <c r="E1013" s="37" t="s">
        <v>5</v>
      </c>
      <c r="F1013" s="37" t="s">
        <v>144</v>
      </c>
      <c r="G1013" s="37" t="s">
        <v>68</v>
      </c>
      <c r="H1013" s="37" t="s">
        <v>145</v>
      </c>
      <c r="I1013" s="37" t="s">
        <v>146</v>
      </c>
      <c r="J1013" s="37" t="s">
        <v>34</v>
      </c>
      <c r="K1013" s="38">
        <v>0.57821900000000004</v>
      </c>
      <c r="L1013" s="39"/>
      <c r="M1013" s="37"/>
      <c r="N1013" s="40">
        <v>0.13500000000000001</v>
      </c>
      <c r="O1013" s="38">
        <v>0.13348699999999999</v>
      </c>
      <c r="P1013" s="38">
        <v>1.825E-3</v>
      </c>
      <c r="Q1013" s="38">
        <v>1.7E-5</v>
      </c>
      <c r="R1013" s="40">
        <v>0.13500000000000001</v>
      </c>
      <c r="S1013" s="38">
        <v>0.13348699999999999</v>
      </c>
      <c r="T1013" s="38">
        <v>1.825E-3</v>
      </c>
      <c r="U1013" s="38">
        <v>1.7E-5</v>
      </c>
      <c r="V1013" s="8">
        <f t="shared" si="16"/>
        <v>2023</v>
      </c>
    </row>
    <row r="1014" spans="1:22" s="41" customFormat="1" ht="14.4" hidden="1" x14ac:dyDescent="0.3">
      <c r="A1014" s="36">
        <v>45231</v>
      </c>
      <c r="B1014" s="37" t="s">
        <v>17</v>
      </c>
      <c r="C1014" s="37" t="s">
        <v>123</v>
      </c>
      <c r="D1014" s="37" t="s">
        <v>68</v>
      </c>
      <c r="E1014" s="37" t="s">
        <v>5</v>
      </c>
      <c r="F1014" s="37" t="s">
        <v>144</v>
      </c>
      <c r="G1014" s="37" t="s">
        <v>68</v>
      </c>
      <c r="H1014" s="37" t="s">
        <v>145</v>
      </c>
      <c r="I1014" s="37" t="s">
        <v>146</v>
      </c>
      <c r="J1014" s="37" t="s">
        <v>35</v>
      </c>
      <c r="K1014" s="38">
        <v>548.66</v>
      </c>
      <c r="L1014" s="39"/>
      <c r="M1014" s="37"/>
      <c r="N1014" s="40">
        <v>4.3579999999999997</v>
      </c>
      <c r="O1014" s="38">
        <v>4.3273130000000002</v>
      </c>
      <c r="P1014" s="38">
        <v>1.2559000000000001E-2</v>
      </c>
      <c r="Q1014" s="38">
        <v>1.7825000000000001E-2</v>
      </c>
      <c r="R1014" s="40">
        <v>4.3579999999999997</v>
      </c>
      <c r="S1014" s="38">
        <v>4.3273130000000002</v>
      </c>
      <c r="T1014" s="38">
        <v>1.2559000000000001E-2</v>
      </c>
      <c r="U1014" s="38">
        <v>1.7825000000000001E-2</v>
      </c>
      <c r="V1014" s="8">
        <f t="shared" si="16"/>
        <v>2023</v>
      </c>
    </row>
    <row r="1015" spans="1:22" s="41" customFormat="1" ht="14.4" hidden="1" x14ac:dyDescent="0.3">
      <c r="A1015" s="36">
        <v>45231</v>
      </c>
      <c r="B1015" s="37" t="s">
        <v>19</v>
      </c>
      <c r="C1015" s="37" t="s">
        <v>123</v>
      </c>
      <c r="D1015" s="37" t="s">
        <v>68</v>
      </c>
      <c r="E1015" s="37" t="s">
        <v>5</v>
      </c>
      <c r="F1015" s="37" t="s">
        <v>144</v>
      </c>
      <c r="G1015" s="37" t="s">
        <v>68</v>
      </c>
      <c r="H1015" s="37" t="s">
        <v>145</v>
      </c>
      <c r="I1015" s="37" t="s">
        <v>146</v>
      </c>
      <c r="J1015" s="37" t="s">
        <v>34</v>
      </c>
      <c r="K1015" s="38">
        <v>0</v>
      </c>
      <c r="L1015" s="39"/>
      <c r="M1015" s="37"/>
      <c r="N1015" s="40">
        <v>0</v>
      </c>
      <c r="O1015" s="38">
        <v>0</v>
      </c>
      <c r="P1015" s="38">
        <v>0</v>
      </c>
      <c r="Q1015" s="38">
        <v>0</v>
      </c>
      <c r="R1015" s="40">
        <v>0</v>
      </c>
      <c r="S1015" s="38">
        <v>0</v>
      </c>
      <c r="T1015" s="38">
        <v>0</v>
      </c>
      <c r="U1015" s="38">
        <v>0</v>
      </c>
      <c r="V1015" s="8">
        <f t="shared" si="16"/>
        <v>2023</v>
      </c>
    </row>
    <row r="1016" spans="1:22" s="41" customFormat="1" ht="14.4" hidden="1" x14ac:dyDescent="0.3">
      <c r="A1016" s="36">
        <v>45261</v>
      </c>
      <c r="B1016" s="37" t="s">
        <v>11</v>
      </c>
      <c r="C1016" s="37" t="s">
        <v>123</v>
      </c>
      <c r="D1016" s="37" t="s">
        <v>68</v>
      </c>
      <c r="E1016" s="37" t="s">
        <v>5</v>
      </c>
      <c r="F1016" s="37" t="s">
        <v>144</v>
      </c>
      <c r="G1016" s="37" t="s">
        <v>68</v>
      </c>
      <c r="H1016" s="37" t="s">
        <v>145</v>
      </c>
      <c r="I1016" s="37" t="s">
        <v>146</v>
      </c>
      <c r="J1016" s="37" t="s">
        <v>34</v>
      </c>
      <c r="K1016" s="38">
        <v>9.9088560000000001</v>
      </c>
      <c r="L1016" s="39"/>
      <c r="M1016" s="37"/>
      <c r="N1016" s="40">
        <v>2.319</v>
      </c>
      <c r="O1016" s="38">
        <v>2.2875510000000001</v>
      </c>
      <c r="P1016" s="38">
        <v>3.1280000000000002E-2</v>
      </c>
      <c r="Q1016" s="38">
        <v>2.8600000000000001E-4</v>
      </c>
      <c r="R1016" s="40">
        <v>2.319</v>
      </c>
      <c r="S1016" s="38">
        <v>2.2875510000000001</v>
      </c>
      <c r="T1016" s="38">
        <v>3.1280000000000002E-2</v>
      </c>
      <c r="U1016" s="38">
        <v>2.8600000000000001E-4</v>
      </c>
      <c r="V1016" s="8">
        <f t="shared" si="16"/>
        <v>2023</v>
      </c>
    </row>
    <row r="1017" spans="1:22" s="41" customFormat="1" ht="14.4" hidden="1" x14ac:dyDescent="0.3">
      <c r="A1017" s="36">
        <v>45261</v>
      </c>
      <c r="B1017" s="37" t="s">
        <v>17</v>
      </c>
      <c r="C1017" s="37" t="s">
        <v>123</v>
      </c>
      <c r="D1017" s="37" t="s">
        <v>68</v>
      </c>
      <c r="E1017" s="37" t="s">
        <v>5</v>
      </c>
      <c r="F1017" s="37" t="s">
        <v>144</v>
      </c>
      <c r="G1017" s="37" t="s">
        <v>68</v>
      </c>
      <c r="H1017" s="37" t="s">
        <v>145</v>
      </c>
      <c r="I1017" s="37" t="s">
        <v>146</v>
      </c>
      <c r="J1017" s="37" t="s">
        <v>35</v>
      </c>
      <c r="K1017" s="38">
        <v>531.02</v>
      </c>
      <c r="L1017" s="39"/>
      <c r="M1017" s="37"/>
      <c r="N1017" s="40">
        <v>4.218</v>
      </c>
      <c r="O1017" s="38">
        <v>4.1881849999999998</v>
      </c>
      <c r="P1017" s="38">
        <v>1.2154999999999999E-2</v>
      </c>
      <c r="Q1017" s="38">
        <v>1.7252E-2</v>
      </c>
      <c r="R1017" s="40">
        <v>4.218</v>
      </c>
      <c r="S1017" s="38">
        <v>4.1881849999999998</v>
      </c>
      <c r="T1017" s="38">
        <v>1.2154999999999999E-2</v>
      </c>
      <c r="U1017" s="38">
        <v>1.7252E-2</v>
      </c>
      <c r="V1017" s="8">
        <f t="shared" si="16"/>
        <v>2023</v>
      </c>
    </row>
    <row r="1018" spans="1:22" s="41" customFormat="1" ht="14.4" hidden="1" x14ac:dyDescent="0.3">
      <c r="A1018" s="36">
        <v>45261</v>
      </c>
      <c r="B1018" s="37" t="s">
        <v>19</v>
      </c>
      <c r="C1018" s="37" t="s">
        <v>123</v>
      </c>
      <c r="D1018" s="37" t="s">
        <v>68</v>
      </c>
      <c r="E1018" s="37" t="s">
        <v>5</v>
      </c>
      <c r="F1018" s="37" t="s">
        <v>144</v>
      </c>
      <c r="G1018" s="37" t="s">
        <v>68</v>
      </c>
      <c r="H1018" s="37" t="s">
        <v>145</v>
      </c>
      <c r="I1018" s="37" t="s">
        <v>146</v>
      </c>
      <c r="J1018" s="37" t="s">
        <v>34</v>
      </c>
      <c r="K1018" s="38">
        <v>0</v>
      </c>
      <c r="L1018" s="39"/>
      <c r="M1018" s="37"/>
      <c r="N1018" s="40">
        <v>0</v>
      </c>
      <c r="O1018" s="38">
        <v>0</v>
      </c>
      <c r="P1018" s="38">
        <v>0</v>
      </c>
      <c r="Q1018" s="38">
        <v>0</v>
      </c>
      <c r="R1018" s="40">
        <v>0</v>
      </c>
      <c r="S1018" s="38">
        <v>0</v>
      </c>
      <c r="T1018" s="38">
        <v>0</v>
      </c>
      <c r="U1018" s="38">
        <v>0</v>
      </c>
      <c r="V1018" s="8">
        <f t="shared" si="16"/>
        <v>2023</v>
      </c>
    </row>
    <row r="1019" spans="1:22" s="41" customFormat="1" ht="14.4" hidden="1" x14ac:dyDescent="0.3">
      <c r="A1019" s="36">
        <v>44562</v>
      </c>
      <c r="B1019" s="37" t="s">
        <v>23</v>
      </c>
      <c r="C1019" s="37" t="s">
        <v>123</v>
      </c>
      <c r="D1019" s="37" t="s">
        <v>68</v>
      </c>
      <c r="E1019" s="37" t="s">
        <v>6</v>
      </c>
      <c r="F1019" s="37" t="s">
        <v>144</v>
      </c>
      <c r="G1019" s="37" t="s">
        <v>68</v>
      </c>
      <c r="H1019" s="37" t="s">
        <v>145</v>
      </c>
      <c r="I1019" s="37" t="s">
        <v>146</v>
      </c>
      <c r="J1019" s="37" t="s">
        <v>34</v>
      </c>
      <c r="K1019" s="38">
        <v>1269.817333</v>
      </c>
      <c r="L1019" s="39"/>
      <c r="M1019" s="37"/>
      <c r="N1019" s="40">
        <v>939.03</v>
      </c>
      <c r="O1019" s="38">
        <v>939.02991799999995</v>
      </c>
      <c r="P1019" s="39"/>
      <c r="Q1019" s="39"/>
      <c r="R1019" s="40">
        <v>443.04899999999998</v>
      </c>
      <c r="S1019" s="38">
        <v>440.88057800000001</v>
      </c>
      <c r="T1019" s="38">
        <v>1.7437</v>
      </c>
      <c r="U1019" s="38">
        <v>0.42513499999999999</v>
      </c>
      <c r="V1019" s="8">
        <f t="shared" si="16"/>
        <v>2022</v>
      </c>
    </row>
    <row r="1020" spans="1:22" s="41" customFormat="1" ht="14.4" hidden="1" x14ac:dyDescent="0.3">
      <c r="A1020" s="36">
        <v>44593</v>
      </c>
      <c r="B1020" s="37" t="s">
        <v>23</v>
      </c>
      <c r="C1020" s="37" t="s">
        <v>123</v>
      </c>
      <c r="D1020" s="37" t="s">
        <v>68</v>
      </c>
      <c r="E1020" s="37" t="s">
        <v>6</v>
      </c>
      <c r="F1020" s="37" t="s">
        <v>144</v>
      </c>
      <c r="G1020" s="37" t="s">
        <v>68</v>
      </c>
      <c r="H1020" s="37" t="s">
        <v>145</v>
      </c>
      <c r="I1020" s="37" t="s">
        <v>146</v>
      </c>
      <c r="J1020" s="37" t="s">
        <v>34</v>
      </c>
      <c r="K1020" s="38">
        <v>1269.817333</v>
      </c>
      <c r="L1020" s="39"/>
      <c r="M1020" s="37"/>
      <c r="N1020" s="40">
        <v>939.03</v>
      </c>
      <c r="O1020" s="38">
        <v>939.02991799999995</v>
      </c>
      <c r="P1020" s="39"/>
      <c r="Q1020" s="39"/>
      <c r="R1020" s="40">
        <v>443.04899999999998</v>
      </c>
      <c r="S1020" s="38">
        <v>440.88057800000001</v>
      </c>
      <c r="T1020" s="38">
        <v>1.7437</v>
      </c>
      <c r="U1020" s="38">
        <v>0.42513499999999999</v>
      </c>
      <c r="V1020" s="8">
        <f t="shared" si="16"/>
        <v>2022</v>
      </c>
    </row>
    <row r="1021" spans="1:22" s="41" customFormat="1" ht="14.4" hidden="1" x14ac:dyDescent="0.3">
      <c r="A1021" s="36">
        <v>44621</v>
      </c>
      <c r="B1021" s="37" t="s">
        <v>23</v>
      </c>
      <c r="C1021" s="37" t="s">
        <v>123</v>
      </c>
      <c r="D1021" s="37" t="s">
        <v>68</v>
      </c>
      <c r="E1021" s="37" t="s">
        <v>6</v>
      </c>
      <c r="F1021" s="37" t="s">
        <v>144</v>
      </c>
      <c r="G1021" s="37" t="s">
        <v>68</v>
      </c>
      <c r="H1021" s="37" t="s">
        <v>145</v>
      </c>
      <c r="I1021" s="37" t="s">
        <v>146</v>
      </c>
      <c r="J1021" s="37" t="s">
        <v>34</v>
      </c>
      <c r="K1021" s="38">
        <v>1269.817333</v>
      </c>
      <c r="L1021" s="39"/>
      <c r="M1021" s="37"/>
      <c r="N1021" s="40">
        <v>939.03</v>
      </c>
      <c r="O1021" s="38">
        <v>939.02991799999995</v>
      </c>
      <c r="P1021" s="39"/>
      <c r="Q1021" s="39"/>
      <c r="R1021" s="40">
        <v>443.04899999999998</v>
      </c>
      <c r="S1021" s="38">
        <v>440.88057800000001</v>
      </c>
      <c r="T1021" s="38">
        <v>1.7437</v>
      </c>
      <c r="U1021" s="38">
        <v>0.42513499999999999</v>
      </c>
      <c r="V1021" s="8">
        <f t="shared" si="16"/>
        <v>2022</v>
      </c>
    </row>
    <row r="1022" spans="1:22" s="41" customFormat="1" ht="14.4" hidden="1" x14ac:dyDescent="0.3">
      <c r="A1022" s="36">
        <v>44652</v>
      </c>
      <c r="B1022" s="37" t="s">
        <v>23</v>
      </c>
      <c r="C1022" s="37" t="s">
        <v>123</v>
      </c>
      <c r="D1022" s="37" t="s">
        <v>68</v>
      </c>
      <c r="E1022" s="37" t="s">
        <v>6</v>
      </c>
      <c r="F1022" s="37" t="s">
        <v>144</v>
      </c>
      <c r="G1022" s="37" t="s">
        <v>68</v>
      </c>
      <c r="H1022" s="37" t="s">
        <v>145</v>
      </c>
      <c r="I1022" s="37" t="s">
        <v>146</v>
      </c>
      <c r="J1022" s="37" t="s">
        <v>34</v>
      </c>
      <c r="K1022" s="38">
        <v>1269.817333</v>
      </c>
      <c r="L1022" s="39"/>
      <c r="M1022" s="37"/>
      <c r="N1022" s="40">
        <v>939.03</v>
      </c>
      <c r="O1022" s="38">
        <v>939.02991799999995</v>
      </c>
      <c r="P1022" s="39"/>
      <c r="Q1022" s="39"/>
      <c r="R1022" s="40">
        <v>443.04899999999998</v>
      </c>
      <c r="S1022" s="38">
        <v>440.88057800000001</v>
      </c>
      <c r="T1022" s="38">
        <v>1.7437</v>
      </c>
      <c r="U1022" s="38">
        <v>0.42513499999999999</v>
      </c>
      <c r="V1022" s="8">
        <f t="shared" si="16"/>
        <v>2022</v>
      </c>
    </row>
    <row r="1023" spans="1:22" s="41" customFormat="1" ht="14.4" hidden="1" x14ac:dyDescent="0.3">
      <c r="A1023" s="36">
        <v>44682</v>
      </c>
      <c r="B1023" s="37" t="s">
        <v>23</v>
      </c>
      <c r="C1023" s="37" t="s">
        <v>123</v>
      </c>
      <c r="D1023" s="37" t="s">
        <v>68</v>
      </c>
      <c r="E1023" s="37" t="s">
        <v>6</v>
      </c>
      <c r="F1023" s="37" t="s">
        <v>144</v>
      </c>
      <c r="G1023" s="37" t="s">
        <v>68</v>
      </c>
      <c r="H1023" s="37" t="s">
        <v>145</v>
      </c>
      <c r="I1023" s="37" t="s">
        <v>146</v>
      </c>
      <c r="J1023" s="37" t="s">
        <v>34</v>
      </c>
      <c r="K1023" s="38">
        <v>1269.817333</v>
      </c>
      <c r="L1023" s="39"/>
      <c r="M1023" s="37"/>
      <c r="N1023" s="40">
        <v>939.03</v>
      </c>
      <c r="O1023" s="38">
        <v>939.02991799999995</v>
      </c>
      <c r="P1023" s="39"/>
      <c r="Q1023" s="39"/>
      <c r="R1023" s="40">
        <v>443.04899999999998</v>
      </c>
      <c r="S1023" s="38">
        <v>440.88057800000001</v>
      </c>
      <c r="T1023" s="38">
        <v>1.7437</v>
      </c>
      <c r="U1023" s="38">
        <v>0.42513499999999999</v>
      </c>
      <c r="V1023" s="8">
        <f t="shared" si="16"/>
        <v>2022</v>
      </c>
    </row>
    <row r="1024" spans="1:22" s="41" customFormat="1" ht="14.4" hidden="1" x14ac:dyDescent="0.3">
      <c r="A1024" s="36">
        <v>44713</v>
      </c>
      <c r="B1024" s="37" t="s">
        <v>23</v>
      </c>
      <c r="C1024" s="37" t="s">
        <v>123</v>
      </c>
      <c r="D1024" s="37" t="s">
        <v>68</v>
      </c>
      <c r="E1024" s="37" t="s">
        <v>6</v>
      </c>
      <c r="F1024" s="37" t="s">
        <v>144</v>
      </c>
      <c r="G1024" s="37" t="s">
        <v>68</v>
      </c>
      <c r="H1024" s="37" t="s">
        <v>145</v>
      </c>
      <c r="I1024" s="37" t="s">
        <v>146</v>
      </c>
      <c r="J1024" s="37" t="s">
        <v>34</v>
      </c>
      <c r="K1024" s="38">
        <v>1269.817333</v>
      </c>
      <c r="L1024" s="39"/>
      <c r="M1024" s="37"/>
      <c r="N1024" s="40">
        <v>939.03</v>
      </c>
      <c r="O1024" s="38">
        <v>939.02991799999995</v>
      </c>
      <c r="P1024" s="39"/>
      <c r="Q1024" s="39"/>
      <c r="R1024" s="40">
        <v>443.04899999999998</v>
      </c>
      <c r="S1024" s="38">
        <v>440.88057800000001</v>
      </c>
      <c r="T1024" s="38">
        <v>1.7437</v>
      </c>
      <c r="U1024" s="38">
        <v>0.42513499999999999</v>
      </c>
      <c r="V1024" s="8">
        <f t="shared" si="16"/>
        <v>2022</v>
      </c>
    </row>
    <row r="1025" spans="1:22" s="41" customFormat="1" ht="14.4" hidden="1" x14ac:dyDescent="0.3">
      <c r="A1025" s="36">
        <v>44743</v>
      </c>
      <c r="B1025" s="37" t="s">
        <v>23</v>
      </c>
      <c r="C1025" s="37" t="s">
        <v>123</v>
      </c>
      <c r="D1025" s="37" t="s">
        <v>68</v>
      </c>
      <c r="E1025" s="37" t="s">
        <v>6</v>
      </c>
      <c r="F1025" s="37" t="s">
        <v>144</v>
      </c>
      <c r="G1025" s="37" t="s">
        <v>68</v>
      </c>
      <c r="H1025" s="37" t="s">
        <v>145</v>
      </c>
      <c r="I1025" s="37" t="s">
        <v>146</v>
      </c>
      <c r="J1025" s="37" t="s">
        <v>34</v>
      </c>
      <c r="K1025" s="38">
        <v>1269.817333</v>
      </c>
      <c r="L1025" s="39"/>
      <c r="M1025" s="37"/>
      <c r="N1025" s="40">
        <v>939.03</v>
      </c>
      <c r="O1025" s="38">
        <v>939.02991799999995</v>
      </c>
      <c r="P1025" s="39"/>
      <c r="Q1025" s="39"/>
      <c r="R1025" s="40">
        <v>443.04899999999998</v>
      </c>
      <c r="S1025" s="38">
        <v>440.88057800000001</v>
      </c>
      <c r="T1025" s="38">
        <v>1.7437</v>
      </c>
      <c r="U1025" s="38">
        <v>0.42513499999999999</v>
      </c>
      <c r="V1025" s="8">
        <f t="shared" si="16"/>
        <v>2022</v>
      </c>
    </row>
    <row r="1026" spans="1:22" s="41" customFormat="1" ht="14.4" hidden="1" x14ac:dyDescent="0.3">
      <c r="A1026" s="36">
        <v>44774</v>
      </c>
      <c r="B1026" s="37" t="s">
        <v>23</v>
      </c>
      <c r="C1026" s="37" t="s">
        <v>123</v>
      </c>
      <c r="D1026" s="37" t="s">
        <v>68</v>
      </c>
      <c r="E1026" s="37" t="s">
        <v>6</v>
      </c>
      <c r="F1026" s="37" t="s">
        <v>144</v>
      </c>
      <c r="G1026" s="37" t="s">
        <v>68</v>
      </c>
      <c r="H1026" s="37" t="s">
        <v>145</v>
      </c>
      <c r="I1026" s="37" t="s">
        <v>146</v>
      </c>
      <c r="J1026" s="37" t="s">
        <v>34</v>
      </c>
      <c r="K1026" s="38">
        <v>1269.817333</v>
      </c>
      <c r="L1026" s="39"/>
      <c r="M1026" s="37"/>
      <c r="N1026" s="40">
        <v>939.03</v>
      </c>
      <c r="O1026" s="38">
        <v>939.02991799999995</v>
      </c>
      <c r="P1026" s="39"/>
      <c r="Q1026" s="39"/>
      <c r="R1026" s="40">
        <v>443.04899999999998</v>
      </c>
      <c r="S1026" s="38">
        <v>440.88057800000001</v>
      </c>
      <c r="T1026" s="38">
        <v>1.7437</v>
      </c>
      <c r="U1026" s="38">
        <v>0.42513499999999999</v>
      </c>
      <c r="V1026" s="8">
        <f t="shared" si="16"/>
        <v>2022</v>
      </c>
    </row>
    <row r="1027" spans="1:22" s="41" customFormat="1" ht="14.4" hidden="1" x14ac:dyDescent="0.3">
      <c r="A1027" s="36">
        <v>44805</v>
      </c>
      <c r="B1027" s="37" t="s">
        <v>23</v>
      </c>
      <c r="C1027" s="37" t="s">
        <v>123</v>
      </c>
      <c r="D1027" s="37" t="s">
        <v>68</v>
      </c>
      <c r="E1027" s="37" t="s">
        <v>6</v>
      </c>
      <c r="F1027" s="37" t="s">
        <v>144</v>
      </c>
      <c r="G1027" s="37" t="s">
        <v>68</v>
      </c>
      <c r="H1027" s="37" t="s">
        <v>145</v>
      </c>
      <c r="I1027" s="37" t="s">
        <v>146</v>
      </c>
      <c r="J1027" s="37" t="s">
        <v>34</v>
      </c>
      <c r="K1027" s="38">
        <v>1269.817333</v>
      </c>
      <c r="L1027" s="39"/>
      <c r="M1027" s="37"/>
      <c r="N1027" s="40">
        <v>939.03</v>
      </c>
      <c r="O1027" s="38">
        <v>939.02991799999995</v>
      </c>
      <c r="P1027" s="39"/>
      <c r="Q1027" s="39"/>
      <c r="R1027" s="40">
        <v>443.04899999999998</v>
      </c>
      <c r="S1027" s="38">
        <v>440.88057800000001</v>
      </c>
      <c r="T1027" s="38">
        <v>1.7437</v>
      </c>
      <c r="U1027" s="38">
        <v>0.42513499999999999</v>
      </c>
      <c r="V1027" s="8">
        <f t="shared" si="16"/>
        <v>2022</v>
      </c>
    </row>
    <row r="1028" spans="1:22" s="41" customFormat="1" ht="14.4" hidden="1" x14ac:dyDescent="0.3">
      <c r="A1028" s="36">
        <v>44835</v>
      </c>
      <c r="B1028" s="37" t="s">
        <v>23</v>
      </c>
      <c r="C1028" s="37" t="s">
        <v>123</v>
      </c>
      <c r="D1028" s="37" t="s">
        <v>68</v>
      </c>
      <c r="E1028" s="37" t="s">
        <v>6</v>
      </c>
      <c r="F1028" s="37" t="s">
        <v>144</v>
      </c>
      <c r="G1028" s="37" t="s">
        <v>68</v>
      </c>
      <c r="H1028" s="37" t="s">
        <v>145</v>
      </c>
      <c r="I1028" s="37" t="s">
        <v>146</v>
      </c>
      <c r="J1028" s="37" t="s">
        <v>34</v>
      </c>
      <c r="K1028" s="38">
        <v>1269.817333</v>
      </c>
      <c r="L1028" s="39"/>
      <c r="M1028" s="37"/>
      <c r="N1028" s="40">
        <v>939.03</v>
      </c>
      <c r="O1028" s="38">
        <v>939.02991799999995</v>
      </c>
      <c r="P1028" s="39"/>
      <c r="Q1028" s="39"/>
      <c r="R1028" s="40">
        <v>443.04899999999998</v>
      </c>
      <c r="S1028" s="38">
        <v>440.88057800000001</v>
      </c>
      <c r="T1028" s="38">
        <v>1.7437</v>
      </c>
      <c r="U1028" s="38">
        <v>0.42513499999999999</v>
      </c>
      <c r="V1028" s="8">
        <f t="shared" si="16"/>
        <v>2022</v>
      </c>
    </row>
    <row r="1029" spans="1:22" s="41" customFormat="1" ht="14.4" hidden="1" x14ac:dyDescent="0.3">
      <c r="A1029" s="36">
        <v>44866</v>
      </c>
      <c r="B1029" s="37" t="s">
        <v>23</v>
      </c>
      <c r="C1029" s="37" t="s">
        <v>123</v>
      </c>
      <c r="D1029" s="37" t="s">
        <v>68</v>
      </c>
      <c r="E1029" s="37" t="s">
        <v>6</v>
      </c>
      <c r="F1029" s="37" t="s">
        <v>144</v>
      </c>
      <c r="G1029" s="37" t="s">
        <v>68</v>
      </c>
      <c r="H1029" s="37" t="s">
        <v>145</v>
      </c>
      <c r="I1029" s="37" t="s">
        <v>146</v>
      </c>
      <c r="J1029" s="37" t="s">
        <v>34</v>
      </c>
      <c r="K1029" s="38">
        <v>1269.817333</v>
      </c>
      <c r="L1029" s="39"/>
      <c r="M1029" s="37"/>
      <c r="N1029" s="40">
        <v>939.03</v>
      </c>
      <c r="O1029" s="38">
        <v>939.02991799999995</v>
      </c>
      <c r="P1029" s="39"/>
      <c r="Q1029" s="39"/>
      <c r="R1029" s="40">
        <v>443.04899999999998</v>
      </c>
      <c r="S1029" s="38">
        <v>440.88057800000001</v>
      </c>
      <c r="T1029" s="38">
        <v>1.7437</v>
      </c>
      <c r="U1029" s="38">
        <v>0.42513499999999999</v>
      </c>
      <c r="V1029" s="8">
        <f t="shared" si="16"/>
        <v>2022</v>
      </c>
    </row>
    <row r="1030" spans="1:22" s="41" customFormat="1" ht="14.4" hidden="1" x14ac:dyDescent="0.3">
      <c r="A1030" s="36">
        <v>44896</v>
      </c>
      <c r="B1030" s="37" t="s">
        <v>23</v>
      </c>
      <c r="C1030" s="37" t="s">
        <v>123</v>
      </c>
      <c r="D1030" s="37" t="s">
        <v>68</v>
      </c>
      <c r="E1030" s="37" t="s">
        <v>6</v>
      </c>
      <c r="F1030" s="37" t="s">
        <v>144</v>
      </c>
      <c r="G1030" s="37" t="s">
        <v>68</v>
      </c>
      <c r="H1030" s="37" t="s">
        <v>145</v>
      </c>
      <c r="I1030" s="37" t="s">
        <v>146</v>
      </c>
      <c r="J1030" s="37" t="s">
        <v>34</v>
      </c>
      <c r="K1030" s="38">
        <v>1269.817333</v>
      </c>
      <c r="L1030" s="39"/>
      <c r="M1030" s="37"/>
      <c r="N1030" s="40">
        <v>939.03</v>
      </c>
      <c r="O1030" s="38">
        <v>939.02991799999995</v>
      </c>
      <c r="P1030" s="39"/>
      <c r="Q1030" s="39"/>
      <c r="R1030" s="40">
        <v>443.04899999999998</v>
      </c>
      <c r="S1030" s="38">
        <v>440.88057800000001</v>
      </c>
      <c r="T1030" s="38">
        <v>1.7437</v>
      </c>
      <c r="U1030" s="38">
        <v>0.42513499999999999</v>
      </c>
      <c r="V1030" s="8">
        <f t="shared" si="16"/>
        <v>2022</v>
      </c>
    </row>
    <row r="1031" spans="1:22" s="41" customFormat="1" ht="14.4" hidden="1" x14ac:dyDescent="0.3">
      <c r="A1031" s="36">
        <v>44927</v>
      </c>
      <c r="B1031" s="37" t="s">
        <v>23</v>
      </c>
      <c r="C1031" s="37" t="s">
        <v>123</v>
      </c>
      <c r="D1031" s="37" t="s">
        <v>68</v>
      </c>
      <c r="E1031" s="37" t="s">
        <v>6</v>
      </c>
      <c r="F1031" s="37" t="s">
        <v>144</v>
      </c>
      <c r="G1031" s="37" t="s">
        <v>68</v>
      </c>
      <c r="H1031" s="37" t="s">
        <v>145</v>
      </c>
      <c r="I1031" s="37" t="s">
        <v>146</v>
      </c>
      <c r="J1031" s="37" t="s">
        <v>34</v>
      </c>
      <c r="K1031" s="38">
        <v>1251.98</v>
      </c>
      <c r="L1031" s="39"/>
      <c r="M1031" s="37"/>
      <c r="N1031" s="40">
        <v>856.39200000000005</v>
      </c>
      <c r="O1031" s="38">
        <v>856.39187900000002</v>
      </c>
      <c r="P1031" s="39"/>
      <c r="Q1031" s="39"/>
      <c r="R1031" s="40">
        <v>436.82600000000002</v>
      </c>
      <c r="S1031" s="38">
        <v>434.687456</v>
      </c>
      <c r="T1031" s="38">
        <v>1.719206</v>
      </c>
      <c r="U1031" s="38">
        <v>0.41916300000000001</v>
      </c>
      <c r="V1031" s="8">
        <f t="shared" si="16"/>
        <v>2023</v>
      </c>
    </row>
    <row r="1032" spans="1:22" s="41" customFormat="1" ht="14.4" hidden="1" x14ac:dyDescent="0.3">
      <c r="A1032" s="36">
        <v>44958</v>
      </c>
      <c r="B1032" s="37" t="s">
        <v>23</v>
      </c>
      <c r="C1032" s="37" t="s">
        <v>123</v>
      </c>
      <c r="D1032" s="37" t="s">
        <v>68</v>
      </c>
      <c r="E1032" s="37" t="s">
        <v>6</v>
      </c>
      <c r="F1032" s="37" t="s">
        <v>144</v>
      </c>
      <c r="G1032" s="37" t="s">
        <v>68</v>
      </c>
      <c r="H1032" s="37" t="s">
        <v>145</v>
      </c>
      <c r="I1032" s="37" t="s">
        <v>146</v>
      </c>
      <c r="J1032" s="37" t="s">
        <v>34</v>
      </c>
      <c r="K1032" s="38">
        <v>1118.7829999999999</v>
      </c>
      <c r="L1032" s="39"/>
      <c r="M1032" s="37"/>
      <c r="N1032" s="40">
        <v>765.28099999999995</v>
      </c>
      <c r="O1032" s="38">
        <v>765.28113499999995</v>
      </c>
      <c r="P1032" s="39"/>
      <c r="Q1032" s="39"/>
      <c r="R1032" s="40">
        <v>390.35199999999998</v>
      </c>
      <c r="S1032" s="38">
        <v>388.44145800000001</v>
      </c>
      <c r="T1032" s="38">
        <v>1.5363020000000001</v>
      </c>
      <c r="U1032" s="38">
        <v>0.37456899999999999</v>
      </c>
      <c r="V1032" s="8">
        <f t="shared" si="16"/>
        <v>2023</v>
      </c>
    </row>
    <row r="1033" spans="1:22" s="41" customFormat="1" ht="14.4" hidden="1" x14ac:dyDescent="0.3">
      <c r="A1033" s="36">
        <v>44986</v>
      </c>
      <c r="B1033" s="37" t="s">
        <v>23</v>
      </c>
      <c r="C1033" s="37" t="s">
        <v>123</v>
      </c>
      <c r="D1033" s="37" t="s">
        <v>68</v>
      </c>
      <c r="E1033" s="37" t="s">
        <v>6</v>
      </c>
      <c r="F1033" s="37" t="s">
        <v>144</v>
      </c>
      <c r="G1033" s="37" t="s">
        <v>68</v>
      </c>
      <c r="H1033" s="37" t="s">
        <v>145</v>
      </c>
      <c r="I1033" s="37" t="s">
        <v>146</v>
      </c>
      <c r="J1033" s="37" t="s">
        <v>34</v>
      </c>
      <c r="K1033" s="38">
        <v>1277.6400000000001</v>
      </c>
      <c r="L1033" s="39"/>
      <c r="M1033" s="37"/>
      <c r="N1033" s="40">
        <v>873.94399999999996</v>
      </c>
      <c r="O1033" s="38">
        <v>873.94408899999996</v>
      </c>
      <c r="P1033" s="39"/>
      <c r="Q1033" s="39"/>
      <c r="R1033" s="40">
        <v>445.779</v>
      </c>
      <c r="S1033" s="38">
        <v>443.596608</v>
      </c>
      <c r="T1033" s="38">
        <v>1.7544420000000001</v>
      </c>
      <c r="U1033" s="38">
        <v>0.42775400000000002</v>
      </c>
      <c r="V1033" s="8">
        <f t="shared" si="16"/>
        <v>2023</v>
      </c>
    </row>
    <row r="1034" spans="1:22" s="41" customFormat="1" ht="14.4" hidden="1" x14ac:dyDescent="0.3">
      <c r="A1034" s="36">
        <v>45017</v>
      </c>
      <c r="B1034" s="37" t="s">
        <v>23</v>
      </c>
      <c r="C1034" s="37" t="s">
        <v>123</v>
      </c>
      <c r="D1034" s="37" t="s">
        <v>68</v>
      </c>
      <c r="E1034" s="37" t="s">
        <v>6</v>
      </c>
      <c r="F1034" s="37" t="s">
        <v>144</v>
      </c>
      <c r="G1034" s="37" t="s">
        <v>68</v>
      </c>
      <c r="H1034" s="37" t="s">
        <v>145</v>
      </c>
      <c r="I1034" s="37" t="s">
        <v>146</v>
      </c>
      <c r="J1034" s="37" t="s">
        <v>34</v>
      </c>
      <c r="K1034" s="38">
        <v>1216.952</v>
      </c>
      <c r="L1034" s="39"/>
      <c r="M1034" s="37"/>
      <c r="N1034" s="40">
        <v>832.43200000000002</v>
      </c>
      <c r="O1034" s="38">
        <v>832.43167700000004</v>
      </c>
      <c r="P1034" s="39"/>
      <c r="Q1034" s="39"/>
      <c r="R1034" s="40">
        <v>424.60399999999998</v>
      </c>
      <c r="S1034" s="38">
        <v>422.525734</v>
      </c>
      <c r="T1034" s="38">
        <v>1.671106</v>
      </c>
      <c r="U1034" s="38">
        <v>0.40743600000000002</v>
      </c>
      <c r="V1034" s="8">
        <f t="shared" si="16"/>
        <v>2023</v>
      </c>
    </row>
    <row r="1035" spans="1:22" s="41" customFormat="1" ht="14.4" hidden="1" x14ac:dyDescent="0.3">
      <c r="A1035" s="36">
        <v>45047</v>
      </c>
      <c r="B1035" s="37" t="s">
        <v>23</v>
      </c>
      <c r="C1035" s="37" t="s">
        <v>123</v>
      </c>
      <c r="D1035" s="37" t="s">
        <v>68</v>
      </c>
      <c r="E1035" s="37" t="s">
        <v>6</v>
      </c>
      <c r="F1035" s="37" t="s">
        <v>144</v>
      </c>
      <c r="G1035" s="37" t="s">
        <v>68</v>
      </c>
      <c r="H1035" s="37" t="s">
        <v>145</v>
      </c>
      <c r="I1035" s="37" t="s">
        <v>146</v>
      </c>
      <c r="J1035" s="37" t="s">
        <v>34</v>
      </c>
      <c r="K1035" s="38">
        <v>1129.105</v>
      </c>
      <c r="L1035" s="39"/>
      <c r="M1035" s="37"/>
      <c r="N1035" s="40">
        <v>772.34199999999998</v>
      </c>
      <c r="O1035" s="38">
        <v>772.34169299999996</v>
      </c>
      <c r="P1035" s="39"/>
      <c r="Q1035" s="39"/>
      <c r="R1035" s="40">
        <v>393.95400000000001</v>
      </c>
      <c r="S1035" s="38">
        <v>392.02525600000001</v>
      </c>
      <c r="T1035" s="38">
        <v>1.550476</v>
      </c>
      <c r="U1035" s="38">
        <v>0.37802400000000003</v>
      </c>
      <c r="V1035" s="8">
        <f t="shared" si="16"/>
        <v>2023</v>
      </c>
    </row>
    <row r="1036" spans="1:22" s="41" customFormat="1" ht="14.4" hidden="1" x14ac:dyDescent="0.3">
      <c r="A1036" s="36">
        <v>45078</v>
      </c>
      <c r="B1036" s="37" t="s">
        <v>23</v>
      </c>
      <c r="C1036" s="37" t="s">
        <v>123</v>
      </c>
      <c r="D1036" s="37" t="s">
        <v>68</v>
      </c>
      <c r="E1036" s="37" t="s">
        <v>6</v>
      </c>
      <c r="F1036" s="37" t="s">
        <v>144</v>
      </c>
      <c r="G1036" s="37" t="s">
        <v>68</v>
      </c>
      <c r="H1036" s="37" t="s">
        <v>145</v>
      </c>
      <c r="I1036" s="37" t="s">
        <v>146</v>
      </c>
      <c r="J1036" s="37" t="s">
        <v>34</v>
      </c>
      <c r="K1036" s="38">
        <v>991.22500000000002</v>
      </c>
      <c r="L1036" s="39"/>
      <c r="M1036" s="37"/>
      <c r="N1036" s="40">
        <v>678.02800000000002</v>
      </c>
      <c r="O1036" s="38">
        <v>678.02763700000003</v>
      </c>
      <c r="P1036" s="39"/>
      <c r="Q1036" s="39"/>
      <c r="R1036" s="40">
        <v>345.846</v>
      </c>
      <c r="S1036" s="38">
        <v>344.15332000000001</v>
      </c>
      <c r="T1036" s="38">
        <v>1.36114</v>
      </c>
      <c r="U1036" s="38">
        <v>0.33186199999999999</v>
      </c>
      <c r="V1036" s="8">
        <f t="shared" si="16"/>
        <v>2023</v>
      </c>
    </row>
    <row r="1037" spans="1:22" s="41" customFormat="1" ht="14.4" hidden="1" x14ac:dyDescent="0.3">
      <c r="A1037" s="36">
        <v>45108</v>
      </c>
      <c r="B1037" s="37" t="s">
        <v>23</v>
      </c>
      <c r="C1037" s="37" t="s">
        <v>123</v>
      </c>
      <c r="D1037" s="37" t="s">
        <v>68</v>
      </c>
      <c r="E1037" s="37" t="s">
        <v>6</v>
      </c>
      <c r="F1037" s="37" t="s">
        <v>144</v>
      </c>
      <c r="G1037" s="37" t="s">
        <v>68</v>
      </c>
      <c r="H1037" s="37" t="s">
        <v>145</v>
      </c>
      <c r="I1037" s="37" t="s">
        <v>146</v>
      </c>
      <c r="J1037" s="37" t="s">
        <v>34</v>
      </c>
      <c r="K1037" s="38">
        <v>744.97900000000004</v>
      </c>
      <c r="L1037" s="39"/>
      <c r="M1037" s="37"/>
      <c r="N1037" s="40">
        <v>509.58800000000002</v>
      </c>
      <c r="O1037" s="38">
        <v>509.587985</v>
      </c>
      <c r="P1037" s="39"/>
      <c r="Q1037" s="39"/>
      <c r="R1037" s="40">
        <v>259.92899999999997</v>
      </c>
      <c r="S1037" s="38">
        <v>258.65670899999998</v>
      </c>
      <c r="T1037" s="38">
        <v>1.0229980000000001</v>
      </c>
      <c r="U1037" s="38">
        <v>0.249419</v>
      </c>
      <c r="V1037" s="8">
        <f t="shared" si="16"/>
        <v>2023</v>
      </c>
    </row>
    <row r="1038" spans="1:22" s="41" customFormat="1" ht="14.4" hidden="1" x14ac:dyDescent="0.3">
      <c r="A1038" s="36">
        <v>45139</v>
      </c>
      <c r="B1038" s="37" t="s">
        <v>23</v>
      </c>
      <c r="C1038" s="37" t="s">
        <v>123</v>
      </c>
      <c r="D1038" s="37" t="s">
        <v>68</v>
      </c>
      <c r="E1038" s="37" t="s">
        <v>6</v>
      </c>
      <c r="F1038" s="37" t="s">
        <v>144</v>
      </c>
      <c r="G1038" s="37" t="s">
        <v>68</v>
      </c>
      <c r="H1038" s="37" t="s">
        <v>145</v>
      </c>
      <c r="I1038" s="37" t="s">
        <v>146</v>
      </c>
      <c r="J1038" s="37" t="s">
        <v>34</v>
      </c>
      <c r="K1038" s="38">
        <v>622.61</v>
      </c>
      <c r="L1038" s="39"/>
      <c r="M1038" s="37"/>
      <c r="N1038" s="40">
        <v>425.88400000000001</v>
      </c>
      <c r="O1038" s="38">
        <v>425.88391799999999</v>
      </c>
      <c r="P1038" s="39"/>
      <c r="Q1038" s="39"/>
      <c r="R1038" s="40">
        <v>217.23400000000001</v>
      </c>
      <c r="S1038" s="38">
        <v>216.17019199999999</v>
      </c>
      <c r="T1038" s="38">
        <v>0.854962</v>
      </c>
      <c r="U1038" s="38">
        <v>0.20845</v>
      </c>
      <c r="V1038" s="8">
        <f t="shared" si="16"/>
        <v>2023</v>
      </c>
    </row>
    <row r="1039" spans="1:22" s="41" customFormat="1" ht="14.4" hidden="1" x14ac:dyDescent="0.3">
      <c r="A1039" s="36">
        <v>45170</v>
      </c>
      <c r="B1039" s="37" t="s">
        <v>23</v>
      </c>
      <c r="C1039" s="37" t="s">
        <v>123</v>
      </c>
      <c r="D1039" s="37" t="s">
        <v>68</v>
      </c>
      <c r="E1039" s="37" t="s">
        <v>6</v>
      </c>
      <c r="F1039" s="37" t="s">
        <v>144</v>
      </c>
      <c r="G1039" s="37" t="s">
        <v>68</v>
      </c>
      <c r="H1039" s="37" t="s">
        <v>145</v>
      </c>
      <c r="I1039" s="37" t="s">
        <v>146</v>
      </c>
      <c r="J1039" s="37" t="s">
        <v>34</v>
      </c>
      <c r="K1039" s="38">
        <v>779.37199999999996</v>
      </c>
      <c r="L1039" s="39"/>
      <c r="M1039" s="37"/>
      <c r="N1039" s="40">
        <v>533.11400000000003</v>
      </c>
      <c r="O1039" s="38">
        <v>533.11382900000001</v>
      </c>
      <c r="P1039" s="39"/>
      <c r="Q1039" s="39"/>
      <c r="R1039" s="40">
        <v>271.92899999999997</v>
      </c>
      <c r="S1039" s="38">
        <v>270.59795800000001</v>
      </c>
      <c r="T1039" s="38">
        <v>1.0702259999999999</v>
      </c>
      <c r="U1039" s="38">
        <v>0.260934</v>
      </c>
      <c r="V1039" s="8">
        <f t="shared" si="16"/>
        <v>2023</v>
      </c>
    </row>
    <row r="1040" spans="1:22" s="41" customFormat="1" ht="14.4" hidden="1" x14ac:dyDescent="0.3">
      <c r="A1040" s="36">
        <v>45200</v>
      </c>
      <c r="B1040" s="37" t="s">
        <v>23</v>
      </c>
      <c r="C1040" s="37" t="s">
        <v>123</v>
      </c>
      <c r="D1040" s="37" t="s">
        <v>68</v>
      </c>
      <c r="E1040" s="37" t="s">
        <v>6</v>
      </c>
      <c r="F1040" s="37" t="s">
        <v>144</v>
      </c>
      <c r="G1040" s="37" t="s">
        <v>68</v>
      </c>
      <c r="H1040" s="37" t="s">
        <v>145</v>
      </c>
      <c r="I1040" s="37" t="s">
        <v>146</v>
      </c>
      <c r="J1040" s="37" t="s">
        <v>34</v>
      </c>
      <c r="K1040" s="38">
        <v>914.93100000000004</v>
      </c>
      <c r="L1040" s="39"/>
      <c r="M1040" s="37"/>
      <c r="N1040" s="40">
        <v>625.84</v>
      </c>
      <c r="O1040" s="38">
        <v>625.84025199999996</v>
      </c>
      <c r="P1040" s="39"/>
      <c r="Q1040" s="39"/>
      <c r="R1040" s="40">
        <v>319.22699999999998</v>
      </c>
      <c r="S1040" s="38">
        <v>317.66404299999999</v>
      </c>
      <c r="T1040" s="38">
        <v>1.2563740000000001</v>
      </c>
      <c r="U1040" s="38">
        <v>0.30631900000000001</v>
      </c>
      <c r="V1040" s="8">
        <f t="shared" si="16"/>
        <v>2023</v>
      </c>
    </row>
    <row r="1041" spans="1:22" s="41" customFormat="1" ht="14.4" hidden="1" x14ac:dyDescent="0.3">
      <c r="A1041" s="36">
        <v>45231</v>
      </c>
      <c r="B1041" s="37" t="s">
        <v>23</v>
      </c>
      <c r="C1041" s="37" t="s">
        <v>123</v>
      </c>
      <c r="D1041" s="37" t="s">
        <v>68</v>
      </c>
      <c r="E1041" s="37" t="s">
        <v>6</v>
      </c>
      <c r="F1041" s="37" t="s">
        <v>144</v>
      </c>
      <c r="G1041" s="37" t="s">
        <v>68</v>
      </c>
      <c r="H1041" s="37" t="s">
        <v>145</v>
      </c>
      <c r="I1041" s="37" t="s">
        <v>146</v>
      </c>
      <c r="J1041" s="37" t="s">
        <v>34</v>
      </c>
      <c r="K1041" s="38">
        <v>1077.4159999999999</v>
      </c>
      <c r="L1041" s="39"/>
      <c r="M1041" s="37"/>
      <c r="N1041" s="40">
        <v>736.98500000000001</v>
      </c>
      <c r="O1041" s="38">
        <v>736.98486600000001</v>
      </c>
      <c r="P1041" s="39"/>
      <c r="Q1041" s="39"/>
      <c r="R1041" s="40">
        <v>375.91899999999998</v>
      </c>
      <c r="S1041" s="38">
        <v>374.07883500000003</v>
      </c>
      <c r="T1041" s="38">
        <v>1.4794970000000001</v>
      </c>
      <c r="U1041" s="38">
        <v>0.36071900000000001</v>
      </c>
      <c r="V1041" s="8">
        <f t="shared" si="16"/>
        <v>2023</v>
      </c>
    </row>
    <row r="1042" spans="1:22" s="41" customFormat="1" ht="14.4" hidden="1" x14ac:dyDescent="0.3">
      <c r="A1042" s="36">
        <v>45261</v>
      </c>
      <c r="B1042" s="37" t="s">
        <v>23</v>
      </c>
      <c r="C1042" s="37" t="s">
        <v>123</v>
      </c>
      <c r="D1042" s="37" t="s">
        <v>68</v>
      </c>
      <c r="E1042" s="37" t="s">
        <v>6</v>
      </c>
      <c r="F1042" s="37" t="s">
        <v>144</v>
      </c>
      <c r="G1042" s="37" t="s">
        <v>68</v>
      </c>
      <c r="H1042" s="37" t="s">
        <v>145</v>
      </c>
      <c r="I1042" s="37" t="s">
        <v>146</v>
      </c>
      <c r="J1042" s="37" t="s">
        <v>34</v>
      </c>
      <c r="K1042" s="38">
        <v>1128.8900000000001</v>
      </c>
      <c r="L1042" s="42">
        <v>291654.64613100002</v>
      </c>
      <c r="M1042" s="37"/>
      <c r="N1042" s="40">
        <v>772.19500000000005</v>
      </c>
      <c r="O1042" s="38">
        <v>772.19462699999997</v>
      </c>
      <c r="P1042" s="39"/>
      <c r="Q1042" s="39"/>
      <c r="R1042" s="40">
        <v>393.87900000000002</v>
      </c>
      <c r="S1042" s="38">
        <v>391.95060799999999</v>
      </c>
      <c r="T1042" s="38">
        <v>1.5501799999999999</v>
      </c>
      <c r="U1042" s="38">
        <v>0.37795200000000001</v>
      </c>
      <c r="V1042" s="8">
        <f t="shared" si="16"/>
        <v>2023</v>
      </c>
    </row>
    <row r="1043" spans="1:22" s="41" customFormat="1" ht="14.4" hidden="1" x14ac:dyDescent="0.3">
      <c r="A1043" s="36">
        <v>45261</v>
      </c>
      <c r="B1043" s="37" t="s">
        <v>25</v>
      </c>
      <c r="C1043" s="37" t="s">
        <v>123</v>
      </c>
      <c r="D1043" s="37" t="s">
        <v>68</v>
      </c>
      <c r="E1043" s="37" t="s">
        <v>7</v>
      </c>
      <c r="F1043" s="37" t="s">
        <v>144</v>
      </c>
      <c r="G1043" s="37" t="s">
        <v>68</v>
      </c>
      <c r="H1043" s="37" t="s">
        <v>145</v>
      </c>
      <c r="I1043" s="37" t="s">
        <v>146</v>
      </c>
      <c r="J1043" s="37" t="s">
        <v>36</v>
      </c>
      <c r="K1043" s="38">
        <v>140.59</v>
      </c>
      <c r="L1043" s="39"/>
      <c r="M1043" s="37"/>
      <c r="N1043" s="40">
        <v>73.153999999999996</v>
      </c>
      <c r="O1043" s="38">
        <v>73.153861000000006</v>
      </c>
      <c r="P1043" s="39"/>
      <c r="Q1043" s="39"/>
      <c r="R1043" s="40">
        <v>73.153999999999996</v>
      </c>
      <c r="S1043" s="38">
        <v>73.153861000000006</v>
      </c>
      <c r="T1043" s="39"/>
      <c r="U1043" s="39"/>
      <c r="V1043" s="8">
        <f t="shared" si="16"/>
        <v>2023</v>
      </c>
    </row>
    <row r="1044" spans="1:22" s="41" customFormat="1" ht="14.4" hidden="1" x14ac:dyDescent="0.3">
      <c r="A1044" s="36">
        <v>45261</v>
      </c>
      <c r="B1044" s="37" t="s">
        <v>27</v>
      </c>
      <c r="C1044" s="37" t="s">
        <v>123</v>
      </c>
      <c r="D1044" s="37" t="s">
        <v>68</v>
      </c>
      <c r="E1044" s="37" t="s">
        <v>7</v>
      </c>
      <c r="F1044" s="37" t="s">
        <v>144</v>
      </c>
      <c r="G1044" s="37" t="s">
        <v>68</v>
      </c>
      <c r="H1044" s="37" t="s">
        <v>145</v>
      </c>
      <c r="I1044" s="37" t="s">
        <v>146</v>
      </c>
      <c r="J1044" s="37" t="s">
        <v>36</v>
      </c>
      <c r="K1044" s="38">
        <v>293.91000000000003</v>
      </c>
      <c r="L1044" s="39"/>
      <c r="M1044" s="37"/>
      <c r="N1044" s="40">
        <v>152.93199999999999</v>
      </c>
      <c r="O1044" s="38">
        <v>152.93157199999999</v>
      </c>
      <c r="P1044" s="39"/>
      <c r="Q1044" s="39"/>
      <c r="R1044" s="40">
        <v>152.93199999999999</v>
      </c>
      <c r="S1044" s="38">
        <v>152.93157199999999</v>
      </c>
      <c r="T1044" s="39"/>
      <c r="U1044" s="39"/>
      <c r="V1044" s="8">
        <f t="shared" si="16"/>
        <v>2023</v>
      </c>
    </row>
    <row r="1045" spans="1:22" s="41" customFormat="1" ht="14.4" hidden="1" x14ac:dyDescent="0.3">
      <c r="A1045" s="36">
        <v>44562</v>
      </c>
      <c r="B1045" s="37" t="s">
        <v>19</v>
      </c>
      <c r="C1045" s="37" t="s">
        <v>118</v>
      </c>
      <c r="D1045" s="37" t="s">
        <v>69</v>
      </c>
      <c r="E1045" s="37" t="s">
        <v>5</v>
      </c>
      <c r="F1045" s="37" t="s">
        <v>147</v>
      </c>
      <c r="G1045" s="37" t="s">
        <v>148</v>
      </c>
      <c r="H1045" s="37" t="s">
        <v>138</v>
      </c>
      <c r="I1045" s="37" t="s">
        <v>127</v>
      </c>
      <c r="J1045" s="37" t="s">
        <v>34</v>
      </c>
      <c r="K1045" s="38">
        <v>14.744111999999999</v>
      </c>
      <c r="L1045" s="42">
        <v>708.02</v>
      </c>
      <c r="M1045" s="37" t="s">
        <v>117</v>
      </c>
      <c r="N1045" s="40">
        <v>2.6720000000000002</v>
      </c>
      <c r="O1045" s="38">
        <v>2.6693959999999999</v>
      </c>
      <c r="P1045" s="38">
        <v>1.3730000000000001E-3</v>
      </c>
      <c r="Q1045" s="38">
        <v>1.4989999999999999E-3</v>
      </c>
      <c r="R1045" s="40">
        <v>2.6720000000000002</v>
      </c>
      <c r="S1045" s="38">
        <v>2.6693959999999999</v>
      </c>
      <c r="T1045" s="38">
        <v>1.3730000000000001E-3</v>
      </c>
      <c r="U1045" s="38">
        <v>1.4989999999999999E-3</v>
      </c>
      <c r="V1045" s="8">
        <f t="shared" si="16"/>
        <v>2022</v>
      </c>
    </row>
    <row r="1046" spans="1:22" s="41" customFormat="1" ht="14.4" hidden="1" x14ac:dyDescent="0.3">
      <c r="A1046" s="36">
        <v>44562</v>
      </c>
      <c r="B1046" s="37" t="s">
        <v>20</v>
      </c>
      <c r="C1046" s="37" t="s">
        <v>118</v>
      </c>
      <c r="D1046" s="37" t="s">
        <v>69</v>
      </c>
      <c r="E1046" s="37" t="s">
        <v>5</v>
      </c>
      <c r="F1046" s="37" t="s">
        <v>147</v>
      </c>
      <c r="G1046" s="37" t="s">
        <v>148</v>
      </c>
      <c r="H1046" s="37" t="s">
        <v>138</v>
      </c>
      <c r="I1046" s="37" t="s">
        <v>127</v>
      </c>
      <c r="J1046" s="37" t="s">
        <v>34</v>
      </c>
      <c r="K1046" s="38">
        <v>5.406542</v>
      </c>
      <c r="L1046" s="39"/>
      <c r="M1046" s="37" t="s">
        <v>117</v>
      </c>
      <c r="N1046" s="40">
        <v>1.1639999999999999</v>
      </c>
      <c r="O1046" s="38">
        <v>1.1598189999999999</v>
      </c>
      <c r="P1046" s="38">
        <v>3.0219999999999999E-3</v>
      </c>
      <c r="Q1046" s="38">
        <v>1.6490000000000001E-3</v>
      </c>
      <c r="R1046" s="39" t="s">
        <v>117</v>
      </c>
      <c r="S1046" s="39"/>
      <c r="T1046" s="39"/>
      <c r="U1046" s="39"/>
      <c r="V1046" s="8">
        <f t="shared" si="16"/>
        <v>2022</v>
      </c>
    </row>
    <row r="1047" spans="1:22" s="41" customFormat="1" ht="14.4" hidden="1" x14ac:dyDescent="0.3">
      <c r="A1047" s="36">
        <v>44593</v>
      </c>
      <c r="B1047" s="37" t="s">
        <v>19</v>
      </c>
      <c r="C1047" s="37" t="s">
        <v>118</v>
      </c>
      <c r="D1047" s="37" t="s">
        <v>69</v>
      </c>
      <c r="E1047" s="37" t="s">
        <v>5</v>
      </c>
      <c r="F1047" s="37" t="s">
        <v>147</v>
      </c>
      <c r="G1047" s="37" t="s">
        <v>148</v>
      </c>
      <c r="H1047" s="37" t="s">
        <v>138</v>
      </c>
      <c r="I1047" s="37" t="s">
        <v>127</v>
      </c>
      <c r="J1047" s="37" t="s">
        <v>34</v>
      </c>
      <c r="K1047" s="38">
        <v>11.555498999999999</v>
      </c>
      <c r="L1047" s="42">
        <v>637.11</v>
      </c>
      <c r="M1047" s="37" t="s">
        <v>117</v>
      </c>
      <c r="N1047" s="40">
        <v>2.0939999999999999</v>
      </c>
      <c r="O1047" s="38">
        <v>2.0921029999999998</v>
      </c>
      <c r="P1047" s="38">
        <v>1.0759999999999999E-3</v>
      </c>
      <c r="Q1047" s="38">
        <v>1.175E-3</v>
      </c>
      <c r="R1047" s="40">
        <v>2.0939999999999999</v>
      </c>
      <c r="S1047" s="38">
        <v>2.0921029999999998</v>
      </c>
      <c r="T1047" s="38">
        <v>1.0759999999999999E-3</v>
      </c>
      <c r="U1047" s="38">
        <v>1.175E-3</v>
      </c>
      <c r="V1047" s="8">
        <f t="shared" si="16"/>
        <v>2022</v>
      </c>
    </row>
    <row r="1048" spans="1:22" s="41" customFormat="1" ht="14.4" hidden="1" x14ac:dyDescent="0.3">
      <c r="A1048" s="36">
        <v>44593</v>
      </c>
      <c r="B1048" s="37" t="s">
        <v>20</v>
      </c>
      <c r="C1048" s="37" t="s">
        <v>118</v>
      </c>
      <c r="D1048" s="37" t="s">
        <v>69</v>
      </c>
      <c r="E1048" s="37" t="s">
        <v>5</v>
      </c>
      <c r="F1048" s="37" t="s">
        <v>147</v>
      </c>
      <c r="G1048" s="37" t="s">
        <v>148</v>
      </c>
      <c r="H1048" s="37" t="s">
        <v>138</v>
      </c>
      <c r="I1048" s="37" t="s">
        <v>127</v>
      </c>
      <c r="J1048" s="37" t="s">
        <v>34</v>
      </c>
      <c r="K1048" s="38">
        <v>5.406542</v>
      </c>
      <c r="L1048" s="39"/>
      <c r="M1048" s="37" t="s">
        <v>117</v>
      </c>
      <c r="N1048" s="40">
        <v>1.1639999999999999</v>
      </c>
      <c r="O1048" s="38">
        <v>1.1598189999999999</v>
      </c>
      <c r="P1048" s="38">
        <v>3.0219999999999999E-3</v>
      </c>
      <c r="Q1048" s="38">
        <v>1.6490000000000001E-3</v>
      </c>
      <c r="R1048" s="39" t="s">
        <v>117</v>
      </c>
      <c r="S1048" s="39"/>
      <c r="T1048" s="39"/>
      <c r="U1048" s="39"/>
      <c r="V1048" s="8">
        <f t="shared" si="16"/>
        <v>2022</v>
      </c>
    </row>
    <row r="1049" spans="1:22" s="41" customFormat="1" ht="14.4" hidden="1" x14ac:dyDescent="0.3">
      <c r="A1049" s="36">
        <v>44621</v>
      </c>
      <c r="B1049" s="37" t="s">
        <v>19</v>
      </c>
      <c r="C1049" s="37" t="s">
        <v>118</v>
      </c>
      <c r="D1049" s="37" t="s">
        <v>69</v>
      </c>
      <c r="E1049" s="37" t="s">
        <v>5</v>
      </c>
      <c r="F1049" s="37" t="s">
        <v>147</v>
      </c>
      <c r="G1049" s="37" t="s">
        <v>148</v>
      </c>
      <c r="H1049" s="37" t="s">
        <v>138</v>
      </c>
      <c r="I1049" s="37" t="s">
        <v>127</v>
      </c>
      <c r="J1049" s="37" t="s">
        <v>34</v>
      </c>
      <c r="K1049" s="38">
        <v>5.652755</v>
      </c>
      <c r="L1049" s="42">
        <v>387.41</v>
      </c>
      <c r="M1049" s="37" t="s">
        <v>117</v>
      </c>
      <c r="N1049" s="40">
        <v>1.0249999999999999</v>
      </c>
      <c r="O1049" s="38">
        <v>1.0234209999999999</v>
      </c>
      <c r="P1049" s="38">
        <v>5.2700000000000002E-4</v>
      </c>
      <c r="Q1049" s="38">
        <v>5.7499999999999999E-4</v>
      </c>
      <c r="R1049" s="40">
        <v>1.0249999999999999</v>
      </c>
      <c r="S1049" s="38">
        <v>1.0234209999999999</v>
      </c>
      <c r="T1049" s="38">
        <v>5.2700000000000002E-4</v>
      </c>
      <c r="U1049" s="38">
        <v>5.7499999999999999E-4</v>
      </c>
      <c r="V1049" s="8">
        <f t="shared" si="16"/>
        <v>2022</v>
      </c>
    </row>
    <row r="1050" spans="1:22" s="41" customFormat="1" ht="14.4" hidden="1" x14ac:dyDescent="0.3">
      <c r="A1050" s="36">
        <v>44621</v>
      </c>
      <c r="B1050" s="37" t="s">
        <v>20</v>
      </c>
      <c r="C1050" s="37" t="s">
        <v>118</v>
      </c>
      <c r="D1050" s="37" t="s">
        <v>69</v>
      </c>
      <c r="E1050" s="37" t="s">
        <v>5</v>
      </c>
      <c r="F1050" s="37" t="s">
        <v>147</v>
      </c>
      <c r="G1050" s="37" t="s">
        <v>148</v>
      </c>
      <c r="H1050" s="37" t="s">
        <v>138</v>
      </c>
      <c r="I1050" s="37" t="s">
        <v>127</v>
      </c>
      <c r="J1050" s="37" t="s">
        <v>34</v>
      </c>
      <c r="K1050" s="38">
        <v>5.406542</v>
      </c>
      <c r="L1050" s="39"/>
      <c r="M1050" s="37" t="s">
        <v>117</v>
      </c>
      <c r="N1050" s="40">
        <v>1.1639999999999999</v>
      </c>
      <c r="O1050" s="38">
        <v>1.1598189999999999</v>
      </c>
      <c r="P1050" s="38">
        <v>3.0219999999999999E-3</v>
      </c>
      <c r="Q1050" s="38">
        <v>1.6490000000000001E-3</v>
      </c>
      <c r="R1050" s="39" t="s">
        <v>117</v>
      </c>
      <c r="S1050" s="39"/>
      <c r="T1050" s="39"/>
      <c r="U1050" s="39"/>
      <c r="V1050" s="8">
        <f t="shared" si="16"/>
        <v>2022</v>
      </c>
    </row>
    <row r="1051" spans="1:22" s="41" customFormat="1" ht="14.4" hidden="1" x14ac:dyDescent="0.3">
      <c r="A1051" s="36">
        <v>44652</v>
      </c>
      <c r="B1051" s="37" t="s">
        <v>20</v>
      </c>
      <c r="C1051" s="37" t="s">
        <v>118</v>
      </c>
      <c r="D1051" s="37" t="s">
        <v>69</v>
      </c>
      <c r="E1051" s="37" t="s">
        <v>5</v>
      </c>
      <c r="F1051" s="37" t="s">
        <v>147</v>
      </c>
      <c r="G1051" s="37" t="s">
        <v>148</v>
      </c>
      <c r="H1051" s="37" t="s">
        <v>138</v>
      </c>
      <c r="I1051" s="37" t="s">
        <v>127</v>
      </c>
      <c r="J1051" s="37" t="s">
        <v>34</v>
      </c>
      <c r="K1051" s="38">
        <v>5.406542</v>
      </c>
      <c r="L1051" s="39"/>
      <c r="M1051" s="37" t="s">
        <v>117</v>
      </c>
      <c r="N1051" s="40">
        <v>1.1639999999999999</v>
      </c>
      <c r="O1051" s="38">
        <v>1.1598189999999999</v>
      </c>
      <c r="P1051" s="38">
        <v>3.0219999999999999E-3</v>
      </c>
      <c r="Q1051" s="38">
        <v>1.6490000000000001E-3</v>
      </c>
      <c r="R1051" s="39" t="s">
        <v>117</v>
      </c>
      <c r="S1051" s="39"/>
      <c r="T1051" s="39"/>
      <c r="U1051" s="39"/>
      <c r="V1051" s="8">
        <f t="shared" si="16"/>
        <v>2022</v>
      </c>
    </row>
    <row r="1052" spans="1:22" s="41" customFormat="1" ht="14.4" hidden="1" x14ac:dyDescent="0.3">
      <c r="A1052" s="36">
        <v>44682</v>
      </c>
      <c r="B1052" s="37" t="s">
        <v>20</v>
      </c>
      <c r="C1052" s="37" t="s">
        <v>118</v>
      </c>
      <c r="D1052" s="37" t="s">
        <v>69</v>
      </c>
      <c r="E1052" s="37" t="s">
        <v>5</v>
      </c>
      <c r="F1052" s="37" t="s">
        <v>147</v>
      </c>
      <c r="G1052" s="37" t="s">
        <v>148</v>
      </c>
      <c r="H1052" s="37" t="s">
        <v>138</v>
      </c>
      <c r="I1052" s="37" t="s">
        <v>127</v>
      </c>
      <c r="J1052" s="37" t="s">
        <v>34</v>
      </c>
      <c r="K1052" s="38">
        <v>5.406542</v>
      </c>
      <c r="L1052" s="39"/>
      <c r="M1052" s="37" t="s">
        <v>117</v>
      </c>
      <c r="N1052" s="40">
        <v>1.1639999999999999</v>
      </c>
      <c r="O1052" s="38">
        <v>1.1598189999999999</v>
      </c>
      <c r="P1052" s="38">
        <v>3.0219999999999999E-3</v>
      </c>
      <c r="Q1052" s="38">
        <v>1.6490000000000001E-3</v>
      </c>
      <c r="R1052" s="39" t="s">
        <v>117</v>
      </c>
      <c r="S1052" s="39"/>
      <c r="T1052" s="39"/>
      <c r="U1052" s="39"/>
      <c r="V1052" s="8">
        <f t="shared" si="16"/>
        <v>2022</v>
      </c>
    </row>
    <row r="1053" spans="1:22" s="41" customFormat="1" ht="14.4" hidden="1" x14ac:dyDescent="0.3">
      <c r="A1053" s="36">
        <v>44713</v>
      </c>
      <c r="B1053" s="37" t="s">
        <v>20</v>
      </c>
      <c r="C1053" s="37" t="s">
        <v>118</v>
      </c>
      <c r="D1053" s="37" t="s">
        <v>69</v>
      </c>
      <c r="E1053" s="37" t="s">
        <v>5</v>
      </c>
      <c r="F1053" s="37" t="s">
        <v>147</v>
      </c>
      <c r="G1053" s="37" t="s">
        <v>148</v>
      </c>
      <c r="H1053" s="37" t="s">
        <v>138</v>
      </c>
      <c r="I1053" s="37" t="s">
        <v>127</v>
      </c>
      <c r="J1053" s="37" t="s">
        <v>34</v>
      </c>
      <c r="K1053" s="38">
        <v>5.406542</v>
      </c>
      <c r="L1053" s="39"/>
      <c r="M1053" s="37" t="s">
        <v>117</v>
      </c>
      <c r="N1053" s="40">
        <v>1.1639999999999999</v>
      </c>
      <c r="O1053" s="38">
        <v>1.1598189999999999</v>
      </c>
      <c r="P1053" s="38">
        <v>3.0219999999999999E-3</v>
      </c>
      <c r="Q1053" s="38">
        <v>1.6490000000000001E-3</v>
      </c>
      <c r="R1053" s="39" t="s">
        <v>117</v>
      </c>
      <c r="S1053" s="39"/>
      <c r="T1053" s="39"/>
      <c r="U1053" s="39"/>
      <c r="V1053" s="8">
        <f t="shared" si="16"/>
        <v>2022</v>
      </c>
    </row>
    <row r="1054" spans="1:22" s="41" customFormat="1" ht="14.4" hidden="1" x14ac:dyDescent="0.3">
      <c r="A1054" s="36">
        <v>44743</v>
      </c>
      <c r="B1054" s="37" t="s">
        <v>20</v>
      </c>
      <c r="C1054" s="37" t="s">
        <v>118</v>
      </c>
      <c r="D1054" s="37" t="s">
        <v>69</v>
      </c>
      <c r="E1054" s="37" t="s">
        <v>5</v>
      </c>
      <c r="F1054" s="37" t="s">
        <v>147</v>
      </c>
      <c r="G1054" s="37" t="s">
        <v>148</v>
      </c>
      <c r="H1054" s="37" t="s">
        <v>138</v>
      </c>
      <c r="I1054" s="37" t="s">
        <v>127</v>
      </c>
      <c r="J1054" s="37" t="s">
        <v>34</v>
      </c>
      <c r="K1054" s="38">
        <v>5.406542</v>
      </c>
      <c r="L1054" s="39"/>
      <c r="M1054" s="37" t="s">
        <v>117</v>
      </c>
      <c r="N1054" s="40">
        <v>1.1639999999999999</v>
      </c>
      <c r="O1054" s="38">
        <v>1.1598189999999999</v>
      </c>
      <c r="P1054" s="38">
        <v>3.0219999999999999E-3</v>
      </c>
      <c r="Q1054" s="38">
        <v>1.6490000000000001E-3</v>
      </c>
      <c r="R1054" s="39" t="s">
        <v>117</v>
      </c>
      <c r="S1054" s="39"/>
      <c r="T1054" s="39"/>
      <c r="U1054" s="39"/>
      <c r="V1054" s="8">
        <f t="shared" si="16"/>
        <v>2022</v>
      </c>
    </row>
    <row r="1055" spans="1:22" s="41" customFormat="1" ht="14.4" hidden="1" x14ac:dyDescent="0.3">
      <c r="A1055" s="36">
        <v>44774</v>
      </c>
      <c r="B1055" s="37" t="s">
        <v>20</v>
      </c>
      <c r="C1055" s="37" t="s">
        <v>118</v>
      </c>
      <c r="D1055" s="37" t="s">
        <v>69</v>
      </c>
      <c r="E1055" s="37" t="s">
        <v>5</v>
      </c>
      <c r="F1055" s="37" t="s">
        <v>147</v>
      </c>
      <c r="G1055" s="37" t="s">
        <v>148</v>
      </c>
      <c r="H1055" s="37" t="s">
        <v>138</v>
      </c>
      <c r="I1055" s="37" t="s">
        <v>127</v>
      </c>
      <c r="J1055" s="37" t="s">
        <v>34</v>
      </c>
      <c r="K1055" s="38">
        <v>5.406542</v>
      </c>
      <c r="L1055" s="39"/>
      <c r="M1055" s="37" t="s">
        <v>117</v>
      </c>
      <c r="N1055" s="40">
        <v>1.1639999999999999</v>
      </c>
      <c r="O1055" s="38">
        <v>1.1598189999999999</v>
      </c>
      <c r="P1055" s="38">
        <v>3.0219999999999999E-3</v>
      </c>
      <c r="Q1055" s="38">
        <v>1.6490000000000001E-3</v>
      </c>
      <c r="R1055" s="39" t="s">
        <v>117</v>
      </c>
      <c r="S1055" s="39"/>
      <c r="T1055" s="39"/>
      <c r="U1055" s="39"/>
      <c r="V1055" s="8">
        <f t="shared" si="16"/>
        <v>2022</v>
      </c>
    </row>
    <row r="1056" spans="1:22" s="41" customFormat="1" ht="14.4" hidden="1" x14ac:dyDescent="0.3">
      <c r="A1056" s="36">
        <v>44805</v>
      </c>
      <c r="B1056" s="37" t="s">
        <v>20</v>
      </c>
      <c r="C1056" s="37" t="s">
        <v>118</v>
      </c>
      <c r="D1056" s="37" t="s">
        <v>69</v>
      </c>
      <c r="E1056" s="37" t="s">
        <v>5</v>
      </c>
      <c r="F1056" s="37" t="s">
        <v>147</v>
      </c>
      <c r="G1056" s="37" t="s">
        <v>148</v>
      </c>
      <c r="H1056" s="37" t="s">
        <v>138</v>
      </c>
      <c r="I1056" s="37" t="s">
        <v>127</v>
      </c>
      <c r="J1056" s="37" t="s">
        <v>34</v>
      </c>
      <c r="K1056" s="38">
        <v>5.406542</v>
      </c>
      <c r="L1056" s="39"/>
      <c r="M1056" s="37" t="s">
        <v>117</v>
      </c>
      <c r="N1056" s="40">
        <v>1.1639999999999999</v>
      </c>
      <c r="O1056" s="38">
        <v>1.1598189999999999</v>
      </c>
      <c r="P1056" s="38">
        <v>3.0219999999999999E-3</v>
      </c>
      <c r="Q1056" s="38">
        <v>1.6490000000000001E-3</v>
      </c>
      <c r="R1056" s="39" t="s">
        <v>117</v>
      </c>
      <c r="S1056" s="39"/>
      <c r="T1056" s="39"/>
      <c r="U1056" s="39"/>
      <c r="V1056" s="8">
        <f t="shared" si="16"/>
        <v>2022</v>
      </c>
    </row>
    <row r="1057" spans="1:22" s="41" customFormat="1" ht="14.4" hidden="1" x14ac:dyDescent="0.3">
      <c r="A1057" s="36">
        <v>44835</v>
      </c>
      <c r="B1057" s="37" t="s">
        <v>20</v>
      </c>
      <c r="C1057" s="37" t="s">
        <v>118</v>
      </c>
      <c r="D1057" s="37" t="s">
        <v>69</v>
      </c>
      <c r="E1057" s="37" t="s">
        <v>5</v>
      </c>
      <c r="F1057" s="37" t="s">
        <v>147</v>
      </c>
      <c r="G1057" s="37" t="s">
        <v>148</v>
      </c>
      <c r="H1057" s="37" t="s">
        <v>138</v>
      </c>
      <c r="I1057" s="37" t="s">
        <v>127</v>
      </c>
      <c r="J1057" s="37" t="s">
        <v>34</v>
      </c>
      <c r="K1057" s="38">
        <v>5.406542</v>
      </c>
      <c r="L1057" s="39"/>
      <c r="M1057" s="37" t="s">
        <v>117</v>
      </c>
      <c r="N1057" s="40">
        <v>1.1639999999999999</v>
      </c>
      <c r="O1057" s="38">
        <v>1.1598189999999999</v>
      </c>
      <c r="P1057" s="38">
        <v>3.0219999999999999E-3</v>
      </c>
      <c r="Q1057" s="38">
        <v>1.6490000000000001E-3</v>
      </c>
      <c r="R1057" s="39" t="s">
        <v>117</v>
      </c>
      <c r="S1057" s="39"/>
      <c r="T1057" s="39"/>
      <c r="U1057" s="39"/>
      <c r="V1057" s="8">
        <f t="shared" si="16"/>
        <v>2022</v>
      </c>
    </row>
    <row r="1058" spans="1:22" s="41" customFormat="1" ht="14.4" hidden="1" x14ac:dyDescent="0.3">
      <c r="A1058" s="36">
        <v>44866</v>
      </c>
      <c r="B1058" s="37" t="s">
        <v>20</v>
      </c>
      <c r="C1058" s="37" t="s">
        <v>118</v>
      </c>
      <c r="D1058" s="37" t="s">
        <v>69</v>
      </c>
      <c r="E1058" s="37" t="s">
        <v>5</v>
      </c>
      <c r="F1058" s="37" t="s">
        <v>147</v>
      </c>
      <c r="G1058" s="37" t="s">
        <v>148</v>
      </c>
      <c r="H1058" s="37" t="s">
        <v>138</v>
      </c>
      <c r="I1058" s="37" t="s">
        <v>127</v>
      </c>
      <c r="J1058" s="37" t="s">
        <v>34</v>
      </c>
      <c r="K1058" s="38">
        <v>5.406542</v>
      </c>
      <c r="L1058" s="39"/>
      <c r="M1058" s="37" t="s">
        <v>117</v>
      </c>
      <c r="N1058" s="40">
        <v>1.1639999999999999</v>
      </c>
      <c r="O1058" s="38">
        <v>1.1598189999999999</v>
      </c>
      <c r="P1058" s="38">
        <v>3.0219999999999999E-3</v>
      </c>
      <c r="Q1058" s="38">
        <v>1.6490000000000001E-3</v>
      </c>
      <c r="R1058" s="39" t="s">
        <v>117</v>
      </c>
      <c r="S1058" s="39"/>
      <c r="T1058" s="39"/>
      <c r="U1058" s="39"/>
      <c r="V1058" s="8">
        <f t="shared" si="16"/>
        <v>2022</v>
      </c>
    </row>
    <row r="1059" spans="1:22" s="41" customFormat="1" ht="14.4" hidden="1" x14ac:dyDescent="0.3">
      <c r="A1059" s="36">
        <v>44896</v>
      </c>
      <c r="B1059" s="37" t="s">
        <v>20</v>
      </c>
      <c r="C1059" s="37" t="s">
        <v>118</v>
      </c>
      <c r="D1059" s="37" t="s">
        <v>69</v>
      </c>
      <c r="E1059" s="37" t="s">
        <v>5</v>
      </c>
      <c r="F1059" s="37" t="s">
        <v>147</v>
      </c>
      <c r="G1059" s="37" t="s">
        <v>148</v>
      </c>
      <c r="H1059" s="37" t="s">
        <v>138</v>
      </c>
      <c r="I1059" s="37" t="s">
        <v>127</v>
      </c>
      <c r="J1059" s="37" t="s">
        <v>34</v>
      </c>
      <c r="K1059" s="38">
        <v>5.406542</v>
      </c>
      <c r="L1059" s="39"/>
      <c r="M1059" s="37" t="s">
        <v>117</v>
      </c>
      <c r="N1059" s="40">
        <v>1.1639999999999999</v>
      </c>
      <c r="O1059" s="38">
        <v>1.1598189999999999</v>
      </c>
      <c r="P1059" s="38">
        <v>3.0219999999999999E-3</v>
      </c>
      <c r="Q1059" s="38">
        <v>1.6490000000000001E-3</v>
      </c>
      <c r="R1059" s="39" t="s">
        <v>117</v>
      </c>
      <c r="S1059" s="39"/>
      <c r="T1059" s="39"/>
      <c r="U1059" s="39"/>
      <c r="V1059" s="8">
        <f t="shared" si="16"/>
        <v>2022</v>
      </c>
    </row>
    <row r="1060" spans="1:22" s="41" customFormat="1" ht="14.4" hidden="1" x14ac:dyDescent="0.3">
      <c r="A1060" s="36">
        <v>44562</v>
      </c>
      <c r="B1060" s="37" t="s">
        <v>23</v>
      </c>
      <c r="C1060" s="37" t="s">
        <v>118</v>
      </c>
      <c r="D1060" s="37" t="s">
        <v>69</v>
      </c>
      <c r="E1060" s="37" t="s">
        <v>6</v>
      </c>
      <c r="F1060" s="37" t="s">
        <v>147</v>
      </c>
      <c r="G1060" s="37" t="s">
        <v>148</v>
      </c>
      <c r="H1060" s="37" t="s">
        <v>138</v>
      </c>
      <c r="I1060" s="37" t="s">
        <v>127</v>
      </c>
      <c r="J1060" s="37" t="s">
        <v>34</v>
      </c>
      <c r="K1060" s="38">
        <v>97.350999999999999</v>
      </c>
      <c r="L1060" s="42">
        <v>12516.10333</v>
      </c>
      <c r="M1060" s="37" t="s">
        <v>117</v>
      </c>
      <c r="N1060" s="40">
        <v>39.874000000000002</v>
      </c>
      <c r="O1060" s="38">
        <v>39.874377000000003</v>
      </c>
      <c r="P1060" s="39"/>
      <c r="Q1060" s="39"/>
      <c r="R1060" s="40">
        <v>29.853000000000002</v>
      </c>
      <c r="S1060" s="38">
        <v>29.708707</v>
      </c>
      <c r="T1060" s="38">
        <v>8.4385000000000002E-2</v>
      </c>
      <c r="U1060" s="38">
        <v>6.0367999999999998E-2</v>
      </c>
      <c r="V1060" s="8">
        <f t="shared" si="16"/>
        <v>2022</v>
      </c>
    </row>
    <row r="1061" spans="1:22" s="41" customFormat="1" ht="14.4" hidden="1" x14ac:dyDescent="0.3">
      <c r="A1061" s="36">
        <v>44593</v>
      </c>
      <c r="B1061" s="37" t="s">
        <v>23</v>
      </c>
      <c r="C1061" s="37" t="s">
        <v>118</v>
      </c>
      <c r="D1061" s="37" t="s">
        <v>69</v>
      </c>
      <c r="E1061" s="37" t="s">
        <v>6</v>
      </c>
      <c r="F1061" s="37" t="s">
        <v>147</v>
      </c>
      <c r="G1061" s="37" t="s">
        <v>148</v>
      </c>
      <c r="H1061" s="37" t="s">
        <v>138</v>
      </c>
      <c r="I1061" s="37" t="s">
        <v>127</v>
      </c>
      <c r="J1061" s="37" t="s">
        <v>34</v>
      </c>
      <c r="K1061" s="38">
        <v>107.251</v>
      </c>
      <c r="L1061" s="42">
        <v>13050.69333</v>
      </c>
      <c r="M1061" s="37" t="s">
        <v>117</v>
      </c>
      <c r="N1061" s="40">
        <v>43.929000000000002</v>
      </c>
      <c r="O1061" s="38">
        <v>43.929355999999999</v>
      </c>
      <c r="P1061" s="39"/>
      <c r="Q1061" s="39"/>
      <c r="R1061" s="40">
        <v>32.889000000000003</v>
      </c>
      <c r="S1061" s="38">
        <v>32.729900000000001</v>
      </c>
      <c r="T1061" s="38">
        <v>9.2966999999999994E-2</v>
      </c>
      <c r="U1061" s="38">
        <v>6.6506999999999997E-2</v>
      </c>
      <c r="V1061" s="8">
        <f t="shared" si="16"/>
        <v>2022</v>
      </c>
    </row>
    <row r="1062" spans="1:22" s="41" customFormat="1" ht="14.4" hidden="1" x14ac:dyDescent="0.3">
      <c r="A1062" s="36">
        <v>44621</v>
      </c>
      <c r="B1062" s="37" t="s">
        <v>23</v>
      </c>
      <c r="C1062" s="37" t="s">
        <v>118</v>
      </c>
      <c r="D1062" s="37" t="s">
        <v>69</v>
      </c>
      <c r="E1062" s="37" t="s">
        <v>6</v>
      </c>
      <c r="F1062" s="37" t="s">
        <v>147</v>
      </c>
      <c r="G1062" s="37" t="s">
        <v>148</v>
      </c>
      <c r="H1062" s="37" t="s">
        <v>138</v>
      </c>
      <c r="I1062" s="37" t="s">
        <v>127</v>
      </c>
      <c r="J1062" s="37" t="s">
        <v>34</v>
      </c>
      <c r="K1062" s="38">
        <v>99.597999999999999</v>
      </c>
      <c r="L1062" s="42">
        <v>14213.84333</v>
      </c>
      <c r="M1062" s="37" t="s">
        <v>117</v>
      </c>
      <c r="N1062" s="40">
        <v>40.795000000000002</v>
      </c>
      <c r="O1062" s="38">
        <v>40.794733999999998</v>
      </c>
      <c r="P1062" s="39"/>
      <c r="Q1062" s="39"/>
      <c r="R1062" s="40">
        <v>30.542999999999999</v>
      </c>
      <c r="S1062" s="38">
        <v>30.394425999999999</v>
      </c>
      <c r="T1062" s="38">
        <v>8.6332999999999993E-2</v>
      </c>
      <c r="U1062" s="38">
        <v>6.1761000000000003E-2</v>
      </c>
      <c r="V1062" s="8">
        <f t="shared" si="16"/>
        <v>2022</v>
      </c>
    </row>
    <row r="1063" spans="1:22" s="41" customFormat="1" ht="14.4" hidden="1" x14ac:dyDescent="0.3">
      <c r="A1063" s="36">
        <v>44652</v>
      </c>
      <c r="B1063" s="37" t="s">
        <v>23</v>
      </c>
      <c r="C1063" s="37" t="s">
        <v>118</v>
      </c>
      <c r="D1063" s="37" t="s">
        <v>69</v>
      </c>
      <c r="E1063" s="37" t="s">
        <v>6</v>
      </c>
      <c r="F1063" s="37" t="s">
        <v>147</v>
      </c>
      <c r="G1063" s="37" t="s">
        <v>148</v>
      </c>
      <c r="H1063" s="37" t="s">
        <v>138</v>
      </c>
      <c r="I1063" s="37" t="s">
        <v>127</v>
      </c>
      <c r="J1063" s="37" t="s">
        <v>34</v>
      </c>
      <c r="K1063" s="38">
        <v>96.251000000000005</v>
      </c>
      <c r="L1063" s="42">
        <v>13942.383330000001</v>
      </c>
      <c r="M1063" s="37" t="s">
        <v>117</v>
      </c>
      <c r="N1063" s="40">
        <v>39.423999999999999</v>
      </c>
      <c r="O1063" s="38">
        <v>39.423822999999999</v>
      </c>
      <c r="P1063" s="39"/>
      <c r="Q1063" s="39"/>
      <c r="R1063" s="40">
        <v>29.515999999999998</v>
      </c>
      <c r="S1063" s="38">
        <v>29.373018999999999</v>
      </c>
      <c r="T1063" s="38">
        <v>8.3432000000000006E-2</v>
      </c>
      <c r="U1063" s="38">
        <v>5.9686000000000003E-2</v>
      </c>
      <c r="V1063" s="8">
        <f t="shared" si="16"/>
        <v>2022</v>
      </c>
    </row>
    <row r="1064" spans="1:22" s="41" customFormat="1" ht="14.4" hidden="1" x14ac:dyDescent="0.3">
      <c r="A1064" s="36">
        <v>44682</v>
      </c>
      <c r="B1064" s="37" t="s">
        <v>23</v>
      </c>
      <c r="C1064" s="37" t="s">
        <v>118</v>
      </c>
      <c r="D1064" s="37" t="s">
        <v>69</v>
      </c>
      <c r="E1064" s="37" t="s">
        <v>6</v>
      </c>
      <c r="F1064" s="37" t="s">
        <v>147</v>
      </c>
      <c r="G1064" s="37" t="s">
        <v>148</v>
      </c>
      <c r="H1064" s="37" t="s">
        <v>138</v>
      </c>
      <c r="I1064" s="37" t="s">
        <v>127</v>
      </c>
      <c r="J1064" s="37" t="s">
        <v>34</v>
      </c>
      <c r="K1064" s="38">
        <v>107.337</v>
      </c>
      <c r="L1064" s="42">
        <v>17618.463329999999</v>
      </c>
      <c r="M1064" s="37" t="s">
        <v>117</v>
      </c>
      <c r="N1064" s="40">
        <v>43.965000000000003</v>
      </c>
      <c r="O1064" s="38">
        <v>43.964582</v>
      </c>
      <c r="P1064" s="39"/>
      <c r="Q1064" s="39"/>
      <c r="R1064" s="40">
        <v>32.915999999999997</v>
      </c>
      <c r="S1064" s="38">
        <v>32.756144999999997</v>
      </c>
      <c r="T1064" s="38">
        <v>9.3040999999999999E-2</v>
      </c>
      <c r="U1064" s="38">
        <v>6.6559999999999994E-2</v>
      </c>
      <c r="V1064" s="8">
        <f t="shared" si="16"/>
        <v>2022</v>
      </c>
    </row>
    <row r="1065" spans="1:22" s="41" customFormat="1" ht="14.4" hidden="1" x14ac:dyDescent="0.3">
      <c r="A1065" s="36">
        <v>44713</v>
      </c>
      <c r="B1065" s="37" t="s">
        <v>23</v>
      </c>
      <c r="C1065" s="37" t="s">
        <v>118</v>
      </c>
      <c r="D1065" s="37" t="s">
        <v>69</v>
      </c>
      <c r="E1065" s="37" t="s">
        <v>6</v>
      </c>
      <c r="F1065" s="37" t="s">
        <v>147</v>
      </c>
      <c r="G1065" s="37" t="s">
        <v>148</v>
      </c>
      <c r="H1065" s="37" t="s">
        <v>138</v>
      </c>
      <c r="I1065" s="37" t="s">
        <v>127</v>
      </c>
      <c r="J1065" s="37" t="s">
        <v>34</v>
      </c>
      <c r="K1065" s="38">
        <v>104.979</v>
      </c>
      <c r="L1065" s="42">
        <v>18045.490000000002</v>
      </c>
      <c r="M1065" s="37" t="s">
        <v>117</v>
      </c>
      <c r="N1065" s="40">
        <v>42.999000000000002</v>
      </c>
      <c r="O1065" s="38">
        <v>42.998759</v>
      </c>
      <c r="P1065" s="39"/>
      <c r="Q1065" s="39"/>
      <c r="R1065" s="40">
        <v>32.192999999999998</v>
      </c>
      <c r="S1065" s="38">
        <v>32.036552</v>
      </c>
      <c r="T1065" s="38">
        <v>9.0996999999999995E-2</v>
      </c>
      <c r="U1065" s="38">
        <v>6.5098000000000003E-2</v>
      </c>
      <c r="V1065" s="8">
        <f t="shared" si="16"/>
        <v>2022</v>
      </c>
    </row>
    <row r="1066" spans="1:22" s="41" customFormat="1" ht="14.4" hidden="1" x14ac:dyDescent="0.3">
      <c r="A1066" s="36">
        <v>44743</v>
      </c>
      <c r="B1066" s="37" t="s">
        <v>23</v>
      </c>
      <c r="C1066" s="37" t="s">
        <v>118</v>
      </c>
      <c r="D1066" s="37" t="s">
        <v>69</v>
      </c>
      <c r="E1066" s="37" t="s">
        <v>6</v>
      </c>
      <c r="F1066" s="37" t="s">
        <v>147</v>
      </c>
      <c r="G1066" s="37" t="s">
        <v>148</v>
      </c>
      <c r="H1066" s="37" t="s">
        <v>138</v>
      </c>
      <c r="I1066" s="37" t="s">
        <v>127</v>
      </c>
      <c r="J1066" s="37" t="s">
        <v>34</v>
      </c>
      <c r="K1066" s="38">
        <v>116.724</v>
      </c>
      <c r="L1066" s="42">
        <v>19123.904999999999</v>
      </c>
      <c r="M1066" s="37" t="s">
        <v>117</v>
      </c>
      <c r="N1066" s="40">
        <v>47.808999999999997</v>
      </c>
      <c r="O1066" s="38">
        <v>47.809440000000002</v>
      </c>
      <c r="P1066" s="39"/>
      <c r="Q1066" s="39"/>
      <c r="R1066" s="40">
        <v>35.793999999999997</v>
      </c>
      <c r="S1066" s="38">
        <v>35.620786000000003</v>
      </c>
      <c r="T1066" s="38">
        <v>0.101178</v>
      </c>
      <c r="U1066" s="38">
        <v>7.2381000000000001E-2</v>
      </c>
      <c r="V1066" s="8">
        <f t="shared" si="16"/>
        <v>2022</v>
      </c>
    </row>
    <row r="1067" spans="1:22" s="41" customFormat="1" ht="14.4" hidden="1" x14ac:dyDescent="0.3">
      <c r="A1067" s="36">
        <v>44774</v>
      </c>
      <c r="B1067" s="37" t="s">
        <v>23</v>
      </c>
      <c r="C1067" s="37" t="s">
        <v>118</v>
      </c>
      <c r="D1067" s="37" t="s">
        <v>69</v>
      </c>
      <c r="E1067" s="37" t="s">
        <v>6</v>
      </c>
      <c r="F1067" s="37" t="s">
        <v>147</v>
      </c>
      <c r="G1067" s="37" t="s">
        <v>148</v>
      </c>
      <c r="H1067" s="37" t="s">
        <v>138</v>
      </c>
      <c r="I1067" s="37" t="s">
        <v>127</v>
      </c>
      <c r="J1067" s="37" t="s">
        <v>34</v>
      </c>
      <c r="K1067" s="38">
        <v>105.44499999999999</v>
      </c>
      <c r="L1067" s="42">
        <v>17941.014999999999</v>
      </c>
      <c r="M1067" s="37" t="s">
        <v>117</v>
      </c>
      <c r="N1067" s="40">
        <v>43.19</v>
      </c>
      <c r="O1067" s="38">
        <v>43.189630000000001</v>
      </c>
      <c r="P1067" s="39"/>
      <c r="Q1067" s="39"/>
      <c r="R1067" s="40">
        <v>32.335999999999999</v>
      </c>
      <c r="S1067" s="38">
        <v>32.178761000000002</v>
      </c>
      <c r="T1067" s="38">
        <v>9.1400999999999996E-2</v>
      </c>
      <c r="U1067" s="38">
        <v>6.5387000000000001E-2</v>
      </c>
      <c r="V1067" s="8">
        <f t="shared" si="16"/>
        <v>2022</v>
      </c>
    </row>
    <row r="1068" spans="1:22" s="41" customFormat="1" ht="14.4" hidden="1" x14ac:dyDescent="0.3">
      <c r="A1068" s="36">
        <v>44805</v>
      </c>
      <c r="B1068" s="37" t="s">
        <v>23</v>
      </c>
      <c r="C1068" s="37" t="s">
        <v>118</v>
      </c>
      <c r="D1068" s="37" t="s">
        <v>69</v>
      </c>
      <c r="E1068" s="37" t="s">
        <v>6</v>
      </c>
      <c r="F1068" s="37" t="s">
        <v>147</v>
      </c>
      <c r="G1068" s="37" t="s">
        <v>148</v>
      </c>
      <c r="H1068" s="37" t="s">
        <v>138</v>
      </c>
      <c r="I1068" s="37" t="s">
        <v>127</v>
      </c>
      <c r="J1068" s="37" t="s">
        <v>34</v>
      </c>
      <c r="K1068" s="38">
        <v>75.994</v>
      </c>
      <c r="L1068" s="42">
        <v>11101.745000000001</v>
      </c>
      <c r="M1068" s="37" t="s">
        <v>117</v>
      </c>
      <c r="N1068" s="40">
        <v>31.126999999999999</v>
      </c>
      <c r="O1068" s="38">
        <v>31.12668</v>
      </c>
      <c r="P1068" s="39"/>
      <c r="Q1068" s="39"/>
      <c r="R1068" s="40">
        <v>23.303999999999998</v>
      </c>
      <c r="S1068" s="38">
        <v>23.191168999999999</v>
      </c>
      <c r="T1068" s="38">
        <v>6.5873000000000001E-2</v>
      </c>
      <c r="U1068" s="38">
        <v>4.7123999999999999E-2</v>
      </c>
      <c r="V1068" s="8">
        <f t="shared" si="16"/>
        <v>2022</v>
      </c>
    </row>
    <row r="1069" spans="1:22" s="41" customFormat="1" ht="14.4" hidden="1" x14ac:dyDescent="0.3">
      <c r="A1069" s="36">
        <v>44835</v>
      </c>
      <c r="B1069" s="37" t="s">
        <v>23</v>
      </c>
      <c r="C1069" s="37" t="s">
        <v>118</v>
      </c>
      <c r="D1069" s="37" t="s">
        <v>69</v>
      </c>
      <c r="E1069" s="37" t="s">
        <v>6</v>
      </c>
      <c r="F1069" s="37" t="s">
        <v>147</v>
      </c>
      <c r="G1069" s="37" t="s">
        <v>148</v>
      </c>
      <c r="H1069" s="37" t="s">
        <v>138</v>
      </c>
      <c r="I1069" s="37" t="s">
        <v>127</v>
      </c>
      <c r="J1069" s="37" t="s">
        <v>34</v>
      </c>
      <c r="K1069" s="38">
        <v>60.276000000000003</v>
      </c>
      <c r="L1069" s="42">
        <v>10109.344999999999</v>
      </c>
      <c r="M1069" s="37" t="s">
        <v>117</v>
      </c>
      <c r="N1069" s="40">
        <v>24.689</v>
      </c>
      <c r="O1069" s="38">
        <v>24.688683000000001</v>
      </c>
      <c r="P1069" s="39"/>
      <c r="Q1069" s="39"/>
      <c r="R1069" s="40">
        <v>18.484000000000002</v>
      </c>
      <c r="S1069" s="38">
        <v>18.394490000000001</v>
      </c>
      <c r="T1069" s="38">
        <v>5.2248000000000003E-2</v>
      </c>
      <c r="U1069" s="38">
        <v>3.7378000000000002E-2</v>
      </c>
      <c r="V1069" s="8">
        <f t="shared" si="16"/>
        <v>2022</v>
      </c>
    </row>
    <row r="1070" spans="1:22" s="41" customFormat="1" ht="14.4" hidden="1" x14ac:dyDescent="0.3">
      <c r="A1070" s="36">
        <v>44866</v>
      </c>
      <c r="B1070" s="37" t="s">
        <v>23</v>
      </c>
      <c r="C1070" s="37" t="s">
        <v>118</v>
      </c>
      <c r="D1070" s="37" t="s">
        <v>69</v>
      </c>
      <c r="E1070" s="37" t="s">
        <v>6</v>
      </c>
      <c r="F1070" s="37" t="s">
        <v>147</v>
      </c>
      <c r="G1070" s="37" t="s">
        <v>148</v>
      </c>
      <c r="H1070" s="37" t="s">
        <v>138</v>
      </c>
      <c r="I1070" s="37" t="s">
        <v>127</v>
      </c>
      <c r="J1070" s="37" t="s">
        <v>34</v>
      </c>
      <c r="K1070" s="38">
        <v>68.7</v>
      </c>
      <c r="L1070" s="42">
        <v>10762.905000000001</v>
      </c>
      <c r="M1070" s="37" t="s">
        <v>117</v>
      </c>
      <c r="N1070" s="40">
        <v>28.138999999999999</v>
      </c>
      <c r="O1070" s="38">
        <v>28.139102000000001</v>
      </c>
      <c r="P1070" s="39"/>
      <c r="Q1070" s="39"/>
      <c r="R1070" s="40">
        <v>21.067</v>
      </c>
      <c r="S1070" s="38">
        <v>20.965250999999999</v>
      </c>
      <c r="T1070" s="38">
        <v>5.9549999999999999E-2</v>
      </c>
      <c r="U1070" s="38">
        <v>4.2601E-2</v>
      </c>
      <c r="V1070" s="8">
        <f t="shared" si="16"/>
        <v>2022</v>
      </c>
    </row>
    <row r="1071" spans="1:22" s="41" customFormat="1" ht="14.4" hidden="1" x14ac:dyDescent="0.3">
      <c r="A1071" s="36">
        <v>44896</v>
      </c>
      <c r="B1071" s="37" t="s">
        <v>23</v>
      </c>
      <c r="C1071" s="37" t="s">
        <v>118</v>
      </c>
      <c r="D1071" s="37" t="s">
        <v>69</v>
      </c>
      <c r="E1071" s="37" t="s">
        <v>6</v>
      </c>
      <c r="F1071" s="37" t="s">
        <v>147</v>
      </c>
      <c r="G1071" s="37" t="s">
        <v>148</v>
      </c>
      <c r="H1071" s="37" t="s">
        <v>138</v>
      </c>
      <c r="I1071" s="37" t="s">
        <v>127</v>
      </c>
      <c r="J1071" s="37" t="s">
        <v>34</v>
      </c>
      <c r="K1071" s="38">
        <v>67.337999999999994</v>
      </c>
      <c r="L1071" s="42">
        <v>11494.115</v>
      </c>
      <c r="M1071" s="37" t="s">
        <v>117</v>
      </c>
      <c r="N1071" s="40">
        <v>27.581</v>
      </c>
      <c r="O1071" s="38">
        <v>27.581235</v>
      </c>
      <c r="P1071" s="39"/>
      <c r="Q1071" s="39"/>
      <c r="R1071" s="40">
        <v>20.65</v>
      </c>
      <c r="S1071" s="38">
        <v>20.549607999999999</v>
      </c>
      <c r="T1071" s="38">
        <v>5.8369999999999998E-2</v>
      </c>
      <c r="U1071" s="38">
        <v>4.1757000000000002E-2</v>
      </c>
      <c r="V1071" s="8">
        <f t="shared" si="16"/>
        <v>2022</v>
      </c>
    </row>
    <row r="1072" spans="1:22" s="41" customFormat="1" ht="14.4" hidden="1" x14ac:dyDescent="0.3">
      <c r="A1072" s="36">
        <v>44927</v>
      </c>
      <c r="B1072" s="37" t="s">
        <v>23</v>
      </c>
      <c r="C1072" s="37" t="s">
        <v>118</v>
      </c>
      <c r="D1072" s="37" t="s">
        <v>69</v>
      </c>
      <c r="E1072" s="37" t="s">
        <v>6</v>
      </c>
      <c r="F1072" s="37" t="s">
        <v>147</v>
      </c>
      <c r="G1072" s="37" t="s">
        <v>148</v>
      </c>
      <c r="H1072" s="37" t="s">
        <v>138</v>
      </c>
      <c r="I1072" s="37" t="s">
        <v>127</v>
      </c>
      <c r="J1072" s="37" t="s">
        <v>34</v>
      </c>
      <c r="K1072" s="38">
        <v>54.201999999999998</v>
      </c>
      <c r="L1072" s="42">
        <v>8912.36</v>
      </c>
      <c r="M1072" s="37" t="s">
        <v>117</v>
      </c>
      <c r="N1072" s="40">
        <v>16.545000000000002</v>
      </c>
      <c r="O1072" s="38">
        <v>16.544736</v>
      </c>
      <c r="P1072" s="39"/>
      <c r="Q1072" s="39"/>
      <c r="R1072" s="40">
        <v>16.620999999999999</v>
      </c>
      <c r="S1072" s="38">
        <v>16.540880999999999</v>
      </c>
      <c r="T1072" s="38">
        <v>4.6982999999999997E-2</v>
      </c>
      <c r="U1072" s="38">
        <v>3.3611000000000002E-2</v>
      </c>
      <c r="V1072" s="8">
        <f t="shared" si="16"/>
        <v>2023</v>
      </c>
    </row>
    <row r="1073" spans="1:22" s="41" customFormat="1" ht="14.4" hidden="1" x14ac:dyDescent="0.3">
      <c r="A1073" s="36">
        <v>44927</v>
      </c>
      <c r="B1073" s="37" t="s">
        <v>27</v>
      </c>
      <c r="C1073" s="37" t="s">
        <v>118</v>
      </c>
      <c r="D1073" s="37" t="s">
        <v>69</v>
      </c>
      <c r="E1073" s="37" t="s">
        <v>7</v>
      </c>
      <c r="F1073" s="37" t="s">
        <v>147</v>
      </c>
      <c r="G1073" s="37" t="s">
        <v>148</v>
      </c>
      <c r="H1073" s="37" t="s">
        <v>138</v>
      </c>
      <c r="I1073" s="37" t="s">
        <v>127</v>
      </c>
      <c r="J1073" s="37" t="s">
        <v>36</v>
      </c>
      <c r="K1073" s="38">
        <v>18.660789999999999</v>
      </c>
      <c r="L1073" s="39"/>
      <c r="M1073" s="37" t="s">
        <v>117</v>
      </c>
      <c r="N1073" s="40">
        <v>9.7100000000000009</v>
      </c>
      <c r="O1073" s="38">
        <v>9.7098569999999995</v>
      </c>
      <c r="P1073" s="39"/>
      <c r="Q1073" s="39"/>
      <c r="R1073" s="40">
        <v>9.7100000000000009</v>
      </c>
      <c r="S1073" s="38">
        <v>9.7098569999999995</v>
      </c>
      <c r="T1073" s="39"/>
      <c r="U1073" s="39"/>
      <c r="V1073" s="8">
        <f t="shared" si="16"/>
        <v>2023</v>
      </c>
    </row>
    <row r="1074" spans="1:22" s="41" customFormat="1" ht="14.4" hidden="1" x14ac:dyDescent="0.3">
      <c r="A1074" s="36">
        <v>45261</v>
      </c>
      <c r="B1074" s="37" t="s">
        <v>29</v>
      </c>
      <c r="C1074" s="37" t="s">
        <v>118</v>
      </c>
      <c r="D1074" s="37" t="s">
        <v>69</v>
      </c>
      <c r="E1074" s="37" t="s">
        <v>7</v>
      </c>
      <c r="F1074" s="37" t="s">
        <v>147</v>
      </c>
      <c r="G1074" s="37" t="s">
        <v>148</v>
      </c>
      <c r="H1074" s="37" t="s">
        <v>138</v>
      </c>
      <c r="I1074" s="37" t="s">
        <v>127</v>
      </c>
      <c r="J1074" s="37" t="s">
        <v>36</v>
      </c>
      <c r="K1074" s="38">
        <v>0</v>
      </c>
      <c r="L1074" s="42">
        <v>8.5</v>
      </c>
      <c r="M1074" s="37" t="s">
        <v>117</v>
      </c>
      <c r="N1074" s="40">
        <v>0</v>
      </c>
      <c r="O1074" s="38">
        <v>0</v>
      </c>
      <c r="P1074" s="39"/>
      <c r="Q1074" s="39"/>
      <c r="R1074" s="40">
        <v>0</v>
      </c>
      <c r="S1074" s="38">
        <v>0</v>
      </c>
      <c r="T1074" s="39"/>
      <c r="U1074" s="39"/>
      <c r="V1074" s="8">
        <f t="shared" si="16"/>
        <v>2023</v>
      </c>
    </row>
    <row r="1075" spans="1:22" s="41" customFormat="1" ht="30.6" hidden="1" x14ac:dyDescent="0.3">
      <c r="A1075" s="36">
        <v>44562</v>
      </c>
      <c r="B1075" s="37" t="s">
        <v>23</v>
      </c>
      <c r="C1075" s="37" t="s">
        <v>118</v>
      </c>
      <c r="D1075" s="37" t="s">
        <v>70</v>
      </c>
      <c r="E1075" s="37" t="s">
        <v>6</v>
      </c>
      <c r="F1075" s="37" t="s">
        <v>149</v>
      </c>
      <c r="G1075" s="37" t="s">
        <v>150</v>
      </c>
      <c r="H1075" s="37" t="s">
        <v>151</v>
      </c>
      <c r="I1075" s="37" t="s">
        <v>152</v>
      </c>
      <c r="J1075" s="37" t="s">
        <v>34</v>
      </c>
      <c r="K1075" s="38">
        <v>4.7767499999999998</v>
      </c>
      <c r="L1075" s="39"/>
      <c r="M1075" s="37"/>
      <c r="N1075" s="40">
        <v>2.0779999999999998</v>
      </c>
      <c r="O1075" s="38">
        <v>2.0778859999999999</v>
      </c>
      <c r="P1075" s="39"/>
      <c r="Q1075" s="39"/>
      <c r="R1075" s="40">
        <v>2.0779999999999998</v>
      </c>
      <c r="S1075" s="38">
        <v>2.0778859999999999</v>
      </c>
      <c r="T1075" s="39"/>
      <c r="U1075" s="39"/>
      <c r="V1075" s="8">
        <f t="shared" si="16"/>
        <v>2022</v>
      </c>
    </row>
    <row r="1076" spans="1:22" s="41" customFormat="1" ht="30.6" hidden="1" x14ac:dyDescent="0.3">
      <c r="A1076" s="36">
        <v>44593</v>
      </c>
      <c r="B1076" s="37" t="s">
        <v>23</v>
      </c>
      <c r="C1076" s="37" t="s">
        <v>118</v>
      </c>
      <c r="D1076" s="37" t="s">
        <v>70</v>
      </c>
      <c r="E1076" s="37" t="s">
        <v>6</v>
      </c>
      <c r="F1076" s="37" t="s">
        <v>149</v>
      </c>
      <c r="G1076" s="37" t="s">
        <v>150</v>
      </c>
      <c r="H1076" s="37" t="s">
        <v>151</v>
      </c>
      <c r="I1076" s="37" t="s">
        <v>152</v>
      </c>
      <c r="J1076" s="37" t="s">
        <v>34</v>
      </c>
      <c r="K1076" s="38">
        <v>4.7767499999999998</v>
      </c>
      <c r="L1076" s="39"/>
      <c r="M1076" s="37"/>
      <c r="N1076" s="40">
        <v>2.0779999999999998</v>
      </c>
      <c r="O1076" s="38">
        <v>2.0778859999999999</v>
      </c>
      <c r="P1076" s="39"/>
      <c r="Q1076" s="39"/>
      <c r="R1076" s="40">
        <v>2.0779999999999998</v>
      </c>
      <c r="S1076" s="38">
        <v>2.0778859999999999</v>
      </c>
      <c r="T1076" s="39"/>
      <c r="U1076" s="39"/>
      <c r="V1076" s="8">
        <f t="shared" ref="V1076:V1139" si="17">YEAR(A1076)</f>
        <v>2022</v>
      </c>
    </row>
    <row r="1077" spans="1:22" s="41" customFormat="1" ht="30.6" hidden="1" x14ac:dyDescent="0.3">
      <c r="A1077" s="36">
        <v>44621</v>
      </c>
      <c r="B1077" s="37" t="s">
        <v>23</v>
      </c>
      <c r="C1077" s="37" t="s">
        <v>118</v>
      </c>
      <c r="D1077" s="37" t="s">
        <v>70</v>
      </c>
      <c r="E1077" s="37" t="s">
        <v>6</v>
      </c>
      <c r="F1077" s="37" t="s">
        <v>149</v>
      </c>
      <c r="G1077" s="37" t="s">
        <v>150</v>
      </c>
      <c r="H1077" s="37" t="s">
        <v>151</v>
      </c>
      <c r="I1077" s="37" t="s">
        <v>152</v>
      </c>
      <c r="J1077" s="37" t="s">
        <v>34</v>
      </c>
      <c r="K1077" s="38">
        <v>4.7767499999999998</v>
      </c>
      <c r="L1077" s="39"/>
      <c r="M1077" s="37"/>
      <c r="N1077" s="40">
        <v>2.0779999999999998</v>
      </c>
      <c r="O1077" s="38">
        <v>2.0778859999999999</v>
      </c>
      <c r="P1077" s="39"/>
      <c r="Q1077" s="39"/>
      <c r="R1077" s="40">
        <v>2.0779999999999998</v>
      </c>
      <c r="S1077" s="38">
        <v>2.0778859999999999</v>
      </c>
      <c r="T1077" s="39"/>
      <c r="U1077" s="39"/>
      <c r="V1077" s="8">
        <f t="shared" si="17"/>
        <v>2022</v>
      </c>
    </row>
    <row r="1078" spans="1:22" s="41" customFormat="1" ht="30.6" hidden="1" x14ac:dyDescent="0.3">
      <c r="A1078" s="36">
        <v>44652</v>
      </c>
      <c r="B1078" s="37" t="s">
        <v>23</v>
      </c>
      <c r="C1078" s="37" t="s">
        <v>118</v>
      </c>
      <c r="D1078" s="37" t="s">
        <v>70</v>
      </c>
      <c r="E1078" s="37" t="s">
        <v>6</v>
      </c>
      <c r="F1078" s="37" t="s">
        <v>149</v>
      </c>
      <c r="G1078" s="37" t="s">
        <v>150</v>
      </c>
      <c r="H1078" s="37" t="s">
        <v>151</v>
      </c>
      <c r="I1078" s="37" t="s">
        <v>152</v>
      </c>
      <c r="J1078" s="37" t="s">
        <v>34</v>
      </c>
      <c r="K1078" s="38">
        <v>4.7767499999999998</v>
      </c>
      <c r="L1078" s="39"/>
      <c r="M1078" s="37"/>
      <c r="N1078" s="40">
        <v>2.0779999999999998</v>
      </c>
      <c r="O1078" s="38">
        <v>2.0778859999999999</v>
      </c>
      <c r="P1078" s="39"/>
      <c r="Q1078" s="39"/>
      <c r="R1078" s="40">
        <v>2.0779999999999998</v>
      </c>
      <c r="S1078" s="38">
        <v>2.0778859999999999</v>
      </c>
      <c r="T1078" s="39"/>
      <c r="U1078" s="39"/>
      <c r="V1078" s="8">
        <f t="shared" si="17"/>
        <v>2022</v>
      </c>
    </row>
    <row r="1079" spans="1:22" s="41" customFormat="1" ht="30.6" hidden="1" x14ac:dyDescent="0.3">
      <c r="A1079" s="36">
        <v>44682</v>
      </c>
      <c r="B1079" s="37" t="s">
        <v>23</v>
      </c>
      <c r="C1079" s="37" t="s">
        <v>118</v>
      </c>
      <c r="D1079" s="37" t="s">
        <v>70</v>
      </c>
      <c r="E1079" s="37" t="s">
        <v>6</v>
      </c>
      <c r="F1079" s="37" t="s">
        <v>149</v>
      </c>
      <c r="G1079" s="37" t="s">
        <v>150</v>
      </c>
      <c r="H1079" s="37" t="s">
        <v>151</v>
      </c>
      <c r="I1079" s="37" t="s">
        <v>152</v>
      </c>
      <c r="J1079" s="37" t="s">
        <v>34</v>
      </c>
      <c r="K1079" s="38">
        <v>4.7767499999999998</v>
      </c>
      <c r="L1079" s="39"/>
      <c r="M1079" s="37"/>
      <c r="N1079" s="40">
        <v>2.0779999999999998</v>
      </c>
      <c r="O1079" s="38">
        <v>2.0778859999999999</v>
      </c>
      <c r="P1079" s="39"/>
      <c r="Q1079" s="39"/>
      <c r="R1079" s="40">
        <v>2.0779999999999998</v>
      </c>
      <c r="S1079" s="38">
        <v>2.0778859999999999</v>
      </c>
      <c r="T1079" s="39"/>
      <c r="U1079" s="39"/>
      <c r="V1079" s="8">
        <f t="shared" si="17"/>
        <v>2022</v>
      </c>
    </row>
    <row r="1080" spans="1:22" s="41" customFormat="1" ht="30.6" hidden="1" x14ac:dyDescent="0.3">
      <c r="A1080" s="36">
        <v>44713</v>
      </c>
      <c r="B1080" s="37" t="s">
        <v>23</v>
      </c>
      <c r="C1080" s="37" t="s">
        <v>118</v>
      </c>
      <c r="D1080" s="37" t="s">
        <v>70</v>
      </c>
      <c r="E1080" s="37" t="s">
        <v>6</v>
      </c>
      <c r="F1080" s="37" t="s">
        <v>149</v>
      </c>
      <c r="G1080" s="37" t="s">
        <v>150</v>
      </c>
      <c r="H1080" s="37" t="s">
        <v>151</v>
      </c>
      <c r="I1080" s="37" t="s">
        <v>152</v>
      </c>
      <c r="J1080" s="37" t="s">
        <v>34</v>
      </c>
      <c r="K1080" s="38">
        <v>4.7767499999999998</v>
      </c>
      <c r="L1080" s="39"/>
      <c r="M1080" s="37"/>
      <c r="N1080" s="40">
        <v>2.0779999999999998</v>
      </c>
      <c r="O1080" s="38">
        <v>2.0778859999999999</v>
      </c>
      <c r="P1080" s="39"/>
      <c r="Q1080" s="39"/>
      <c r="R1080" s="40">
        <v>2.0779999999999998</v>
      </c>
      <c r="S1080" s="38">
        <v>2.0778859999999999</v>
      </c>
      <c r="T1080" s="39"/>
      <c r="U1080" s="39"/>
      <c r="V1080" s="8">
        <f t="shared" si="17"/>
        <v>2022</v>
      </c>
    </row>
    <row r="1081" spans="1:22" s="41" customFormat="1" ht="30.6" hidden="1" x14ac:dyDescent="0.3">
      <c r="A1081" s="36">
        <v>44743</v>
      </c>
      <c r="B1081" s="37" t="s">
        <v>23</v>
      </c>
      <c r="C1081" s="37" t="s">
        <v>118</v>
      </c>
      <c r="D1081" s="37" t="s">
        <v>70</v>
      </c>
      <c r="E1081" s="37" t="s">
        <v>6</v>
      </c>
      <c r="F1081" s="37" t="s">
        <v>149</v>
      </c>
      <c r="G1081" s="37" t="s">
        <v>150</v>
      </c>
      <c r="H1081" s="37" t="s">
        <v>151</v>
      </c>
      <c r="I1081" s="37" t="s">
        <v>152</v>
      </c>
      <c r="J1081" s="37" t="s">
        <v>34</v>
      </c>
      <c r="K1081" s="38">
        <v>4.7767499999999998</v>
      </c>
      <c r="L1081" s="39"/>
      <c r="M1081" s="37"/>
      <c r="N1081" s="40">
        <v>2.0779999999999998</v>
      </c>
      <c r="O1081" s="38">
        <v>2.0778859999999999</v>
      </c>
      <c r="P1081" s="39"/>
      <c r="Q1081" s="39"/>
      <c r="R1081" s="40">
        <v>2.0779999999999998</v>
      </c>
      <c r="S1081" s="38">
        <v>2.0778859999999999</v>
      </c>
      <c r="T1081" s="39"/>
      <c r="U1081" s="39"/>
      <c r="V1081" s="8">
        <f t="shared" si="17"/>
        <v>2022</v>
      </c>
    </row>
    <row r="1082" spans="1:22" s="41" customFormat="1" ht="30.6" hidden="1" x14ac:dyDescent="0.3">
      <c r="A1082" s="36">
        <v>44774</v>
      </c>
      <c r="B1082" s="37" t="s">
        <v>23</v>
      </c>
      <c r="C1082" s="37" t="s">
        <v>118</v>
      </c>
      <c r="D1082" s="37" t="s">
        <v>70</v>
      </c>
      <c r="E1082" s="37" t="s">
        <v>6</v>
      </c>
      <c r="F1082" s="37" t="s">
        <v>149</v>
      </c>
      <c r="G1082" s="37" t="s">
        <v>150</v>
      </c>
      <c r="H1082" s="37" t="s">
        <v>151</v>
      </c>
      <c r="I1082" s="37" t="s">
        <v>152</v>
      </c>
      <c r="J1082" s="37" t="s">
        <v>34</v>
      </c>
      <c r="K1082" s="38">
        <v>4.7767499999999998</v>
      </c>
      <c r="L1082" s="39"/>
      <c r="M1082" s="37"/>
      <c r="N1082" s="40">
        <v>2.0779999999999998</v>
      </c>
      <c r="O1082" s="38">
        <v>2.0778859999999999</v>
      </c>
      <c r="P1082" s="39"/>
      <c r="Q1082" s="39"/>
      <c r="R1082" s="40">
        <v>2.0779999999999998</v>
      </c>
      <c r="S1082" s="38">
        <v>2.0778859999999999</v>
      </c>
      <c r="T1082" s="39"/>
      <c r="U1082" s="39"/>
      <c r="V1082" s="8">
        <f t="shared" si="17"/>
        <v>2022</v>
      </c>
    </row>
    <row r="1083" spans="1:22" s="41" customFormat="1" ht="30.6" hidden="1" x14ac:dyDescent="0.3">
      <c r="A1083" s="36">
        <v>44805</v>
      </c>
      <c r="B1083" s="37" t="s">
        <v>23</v>
      </c>
      <c r="C1083" s="37" t="s">
        <v>118</v>
      </c>
      <c r="D1083" s="37" t="s">
        <v>70</v>
      </c>
      <c r="E1083" s="37" t="s">
        <v>6</v>
      </c>
      <c r="F1083" s="37" t="s">
        <v>149</v>
      </c>
      <c r="G1083" s="37" t="s">
        <v>150</v>
      </c>
      <c r="H1083" s="37" t="s">
        <v>151</v>
      </c>
      <c r="I1083" s="37" t="s">
        <v>152</v>
      </c>
      <c r="J1083" s="37" t="s">
        <v>34</v>
      </c>
      <c r="K1083" s="38">
        <v>4.7767499999999998</v>
      </c>
      <c r="L1083" s="39"/>
      <c r="M1083" s="37"/>
      <c r="N1083" s="40">
        <v>2.0779999999999998</v>
      </c>
      <c r="O1083" s="38">
        <v>2.0778859999999999</v>
      </c>
      <c r="P1083" s="39"/>
      <c r="Q1083" s="39"/>
      <c r="R1083" s="40">
        <v>2.0779999999999998</v>
      </c>
      <c r="S1083" s="38">
        <v>2.0778859999999999</v>
      </c>
      <c r="T1083" s="39"/>
      <c r="U1083" s="39"/>
      <c r="V1083" s="8">
        <f t="shared" si="17"/>
        <v>2022</v>
      </c>
    </row>
    <row r="1084" spans="1:22" s="41" customFormat="1" ht="30.6" hidden="1" x14ac:dyDescent="0.3">
      <c r="A1084" s="36">
        <v>44835</v>
      </c>
      <c r="B1084" s="37" t="s">
        <v>23</v>
      </c>
      <c r="C1084" s="37" t="s">
        <v>118</v>
      </c>
      <c r="D1084" s="37" t="s">
        <v>70</v>
      </c>
      <c r="E1084" s="37" t="s">
        <v>6</v>
      </c>
      <c r="F1084" s="37" t="s">
        <v>149</v>
      </c>
      <c r="G1084" s="37" t="s">
        <v>150</v>
      </c>
      <c r="H1084" s="37" t="s">
        <v>151</v>
      </c>
      <c r="I1084" s="37" t="s">
        <v>152</v>
      </c>
      <c r="J1084" s="37" t="s">
        <v>34</v>
      </c>
      <c r="K1084" s="38">
        <v>4.7767499999999998</v>
      </c>
      <c r="L1084" s="39"/>
      <c r="M1084" s="37"/>
      <c r="N1084" s="40">
        <v>2.0779999999999998</v>
      </c>
      <c r="O1084" s="38">
        <v>2.0778859999999999</v>
      </c>
      <c r="P1084" s="39"/>
      <c r="Q1084" s="39"/>
      <c r="R1084" s="40">
        <v>2.0779999999999998</v>
      </c>
      <c r="S1084" s="38">
        <v>2.0778859999999999</v>
      </c>
      <c r="T1084" s="39"/>
      <c r="U1084" s="39"/>
      <c r="V1084" s="8">
        <f t="shared" si="17"/>
        <v>2022</v>
      </c>
    </row>
    <row r="1085" spans="1:22" s="41" customFormat="1" ht="30.6" hidden="1" x14ac:dyDescent="0.3">
      <c r="A1085" s="36">
        <v>44866</v>
      </c>
      <c r="B1085" s="37" t="s">
        <v>23</v>
      </c>
      <c r="C1085" s="37" t="s">
        <v>118</v>
      </c>
      <c r="D1085" s="37" t="s">
        <v>70</v>
      </c>
      <c r="E1085" s="37" t="s">
        <v>6</v>
      </c>
      <c r="F1085" s="37" t="s">
        <v>149</v>
      </c>
      <c r="G1085" s="37" t="s">
        <v>150</v>
      </c>
      <c r="H1085" s="37" t="s">
        <v>151</v>
      </c>
      <c r="I1085" s="37" t="s">
        <v>152</v>
      </c>
      <c r="J1085" s="37" t="s">
        <v>34</v>
      </c>
      <c r="K1085" s="38">
        <v>4.7767499999999998</v>
      </c>
      <c r="L1085" s="39"/>
      <c r="M1085" s="37"/>
      <c r="N1085" s="40">
        <v>2.0779999999999998</v>
      </c>
      <c r="O1085" s="38">
        <v>2.0778859999999999</v>
      </c>
      <c r="P1085" s="39"/>
      <c r="Q1085" s="39"/>
      <c r="R1085" s="40">
        <v>2.0779999999999998</v>
      </c>
      <c r="S1085" s="38">
        <v>2.0778859999999999</v>
      </c>
      <c r="T1085" s="39"/>
      <c r="U1085" s="39"/>
      <c r="V1085" s="8">
        <f t="shared" si="17"/>
        <v>2022</v>
      </c>
    </row>
    <row r="1086" spans="1:22" s="41" customFormat="1" ht="30.6" hidden="1" x14ac:dyDescent="0.3">
      <c r="A1086" s="36">
        <v>44896</v>
      </c>
      <c r="B1086" s="37" t="s">
        <v>23</v>
      </c>
      <c r="C1086" s="37" t="s">
        <v>118</v>
      </c>
      <c r="D1086" s="37" t="s">
        <v>70</v>
      </c>
      <c r="E1086" s="37" t="s">
        <v>6</v>
      </c>
      <c r="F1086" s="37" t="s">
        <v>149</v>
      </c>
      <c r="G1086" s="37" t="s">
        <v>150</v>
      </c>
      <c r="H1086" s="37" t="s">
        <v>151</v>
      </c>
      <c r="I1086" s="37" t="s">
        <v>152</v>
      </c>
      <c r="J1086" s="37" t="s">
        <v>34</v>
      </c>
      <c r="K1086" s="38">
        <v>4.7767499999999998</v>
      </c>
      <c r="L1086" s="39"/>
      <c r="M1086" s="37"/>
      <c r="N1086" s="40">
        <v>2.0779999999999998</v>
      </c>
      <c r="O1086" s="38">
        <v>2.0778859999999999</v>
      </c>
      <c r="P1086" s="39"/>
      <c r="Q1086" s="39"/>
      <c r="R1086" s="40">
        <v>2.0779999999999998</v>
      </c>
      <c r="S1086" s="38">
        <v>2.0778859999999999</v>
      </c>
      <c r="T1086" s="39"/>
      <c r="U1086" s="39"/>
      <c r="V1086" s="8">
        <f t="shared" si="17"/>
        <v>2022</v>
      </c>
    </row>
    <row r="1087" spans="1:22" s="41" customFormat="1" ht="30.6" hidden="1" x14ac:dyDescent="0.3">
      <c r="A1087" s="36">
        <v>45017</v>
      </c>
      <c r="B1087" s="37" t="s">
        <v>23</v>
      </c>
      <c r="C1087" s="37" t="s">
        <v>118</v>
      </c>
      <c r="D1087" s="37" t="s">
        <v>70</v>
      </c>
      <c r="E1087" s="37" t="s">
        <v>6</v>
      </c>
      <c r="F1087" s="37" t="s">
        <v>149</v>
      </c>
      <c r="G1087" s="37" t="s">
        <v>150</v>
      </c>
      <c r="H1087" s="37" t="s">
        <v>151</v>
      </c>
      <c r="I1087" s="37" t="s">
        <v>152</v>
      </c>
      <c r="J1087" s="37" t="s">
        <v>34</v>
      </c>
      <c r="K1087" s="38">
        <v>1.0189999999999999</v>
      </c>
      <c r="L1087" s="39"/>
      <c r="M1087" s="37"/>
      <c r="N1087" s="40">
        <v>0.44600000000000001</v>
      </c>
      <c r="O1087" s="38">
        <v>0.446322</v>
      </c>
      <c r="P1087" s="39"/>
      <c r="Q1087" s="39"/>
      <c r="R1087" s="40">
        <v>0.44600000000000001</v>
      </c>
      <c r="S1087" s="38">
        <v>0.446322</v>
      </c>
      <c r="T1087" s="39"/>
      <c r="U1087" s="39"/>
      <c r="V1087" s="8">
        <f t="shared" si="17"/>
        <v>2023</v>
      </c>
    </row>
    <row r="1088" spans="1:22" s="41" customFormat="1" ht="30.6" hidden="1" x14ac:dyDescent="0.3">
      <c r="A1088" s="36">
        <v>45047</v>
      </c>
      <c r="B1088" s="37" t="s">
        <v>23</v>
      </c>
      <c r="C1088" s="37" t="s">
        <v>118</v>
      </c>
      <c r="D1088" s="37" t="s">
        <v>70</v>
      </c>
      <c r="E1088" s="37" t="s">
        <v>6</v>
      </c>
      <c r="F1088" s="37" t="s">
        <v>149</v>
      </c>
      <c r="G1088" s="37" t="s">
        <v>150</v>
      </c>
      <c r="H1088" s="37" t="s">
        <v>151</v>
      </c>
      <c r="I1088" s="37" t="s">
        <v>152</v>
      </c>
      <c r="J1088" s="37" t="s">
        <v>34</v>
      </c>
      <c r="K1088" s="38">
        <v>1.0549999999999999</v>
      </c>
      <c r="L1088" s="39"/>
      <c r="M1088" s="37"/>
      <c r="N1088" s="40">
        <v>0.46200000000000002</v>
      </c>
      <c r="O1088" s="38">
        <v>0.46209</v>
      </c>
      <c r="P1088" s="39"/>
      <c r="Q1088" s="39"/>
      <c r="R1088" s="40">
        <v>0.46200000000000002</v>
      </c>
      <c r="S1088" s="38">
        <v>0.46209</v>
      </c>
      <c r="T1088" s="39"/>
      <c r="U1088" s="39"/>
      <c r="V1088" s="8">
        <f t="shared" si="17"/>
        <v>2023</v>
      </c>
    </row>
    <row r="1089" spans="1:22" s="41" customFormat="1" ht="30.6" hidden="1" x14ac:dyDescent="0.3">
      <c r="A1089" s="36">
        <v>45078</v>
      </c>
      <c r="B1089" s="37" t="s">
        <v>23</v>
      </c>
      <c r="C1089" s="37" t="s">
        <v>118</v>
      </c>
      <c r="D1089" s="37" t="s">
        <v>70</v>
      </c>
      <c r="E1089" s="37" t="s">
        <v>6</v>
      </c>
      <c r="F1089" s="37" t="s">
        <v>149</v>
      </c>
      <c r="G1089" s="37" t="s">
        <v>150</v>
      </c>
      <c r="H1089" s="37" t="s">
        <v>151</v>
      </c>
      <c r="I1089" s="37" t="s">
        <v>152</v>
      </c>
      <c r="J1089" s="37" t="s">
        <v>34</v>
      </c>
      <c r="K1089" s="38">
        <v>1.0780000000000001</v>
      </c>
      <c r="L1089" s="39"/>
      <c r="M1089" s="37"/>
      <c r="N1089" s="40">
        <v>0.47199999999999998</v>
      </c>
      <c r="O1089" s="38">
        <v>0.47216399999999997</v>
      </c>
      <c r="P1089" s="39"/>
      <c r="Q1089" s="39"/>
      <c r="R1089" s="40">
        <v>0.47199999999999998</v>
      </c>
      <c r="S1089" s="38">
        <v>0.47216399999999997</v>
      </c>
      <c r="T1089" s="39"/>
      <c r="U1089" s="39"/>
      <c r="V1089" s="8">
        <f t="shared" si="17"/>
        <v>2023</v>
      </c>
    </row>
    <row r="1090" spans="1:22" s="41" customFormat="1" ht="30.6" hidden="1" x14ac:dyDescent="0.3">
      <c r="A1090" s="36">
        <v>45108</v>
      </c>
      <c r="B1090" s="37" t="s">
        <v>23</v>
      </c>
      <c r="C1090" s="37" t="s">
        <v>118</v>
      </c>
      <c r="D1090" s="37" t="s">
        <v>70</v>
      </c>
      <c r="E1090" s="37" t="s">
        <v>6</v>
      </c>
      <c r="F1090" s="37" t="s">
        <v>149</v>
      </c>
      <c r="G1090" s="37" t="s">
        <v>150</v>
      </c>
      <c r="H1090" s="37" t="s">
        <v>151</v>
      </c>
      <c r="I1090" s="37" t="s">
        <v>152</v>
      </c>
      <c r="J1090" s="37" t="s">
        <v>34</v>
      </c>
      <c r="K1090" s="38">
        <v>0.91500000000000004</v>
      </c>
      <c r="L1090" s="39"/>
      <c r="M1090" s="37"/>
      <c r="N1090" s="40">
        <v>0.40100000000000002</v>
      </c>
      <c r="O1090" s="38">
        <v>0.40077000000000002</v>
      </c>
      <c r="P1090" s="39"/>
      <c r="Q1090" s="39"/>
      <c r="R1090" s="40">
        <v>0.40100000000000002</v>
      </c>
      <c r="S1090" s="38">
        <v>0.40077000000000002</v>
      </c>
      <c r="T1090" s="39"/>
      <c r="U1090" s="39"/>
      <c r="V1090" s="8">
        <f t="shared" si="17"/>
        <v>2023</v>
      </c>
    </row>
    <row r="1091" spans="1:22" s="41" customFormat="1" ht="30.6" hidden="1" x14ac:dyDescent="0.3">
      <c r="A1091" s="36">
        <v>45139</v>
      </c>
      <c r="B1091" s="37" t="s">
        <v>23</v>
      </c>
      <c r="C1091" s="37" t="s">
        <v>118</v>
      </c>
      <c r="D1091" s="37" t="s">
        <v>70</v>
      </c>
      <c r="E1091" s="37" t="s">
        <v>6</v>
      </c>
      <c r="F1091" s="37" t="s">
        <v>149</v>
      </c>
      <c r="G1091" s="37" t="s">
        <v>150</v>
      </c>
      <c r="H1091" s="37" t="s">
        <v>151</v>
      </c>
      <c r="I1091" s="37" t="s">
        <v>152</v>
      </c>
      <c r="J1091" s="37" t="s">
        <v>34</v>
      </c>
      <c r="K1091" s="38">
        <v>1.0149999999999999</v>
      </c>
      <c r="L1091" s="39"/>
      <c r="M1091" s="37"/>
      <c r="N1091" s="40">
        <v>0.44500000000000001</v>
      </c>
      <c r="O1091" s="38">
        <v>0.44457000000000002</v>
      </c>
      <c r="P1091" s="39"/>
      <c r="Q1091" s="39"/>
      <c r="R1091" s="40">
        <v>0.44500000000000001</v>
      </c>
      <c r="S1091" s="38">
        <v>0.44457000000000002</v>
      </c>
      <c r="T1091" s="39"/>
      <c r="U1091" s="39"/>
      <c r="V1091" s="8">
        <f t="shared" si="17"/>
        <v>2023</v>
      </c>
    </row>
    <row r="1092" spans="1:22" s="41" customFormat="1" ht="30.6" hidden="1" x14ac:dyDescent="0.3">
      <c r="A1092" s="36">
        <v>45170</v>
      </c>
      <c r="B1092" s="37" t="s">
        <v>23</v>
      </c>
      <c r="C1092" s="37" t="s">
        <v>118</v>
      </c>
      <c r="D1092" s="37" t="s">
        <v>70</v>
      </c>
      <c r="E1092" s="37" t="s">
        <v>6</v>
      </c>
      <c r="F1092" s="37" t="s">
        <v>149</v>
      </c>
      <c r="G1092" s="37" t="s">
        <v>150</v>
      </c>
      <c r="H1092" s="37" t="s">
        <v>151</v>
      </c>
      <c r="I1092" s="37" t="s">
        <v>152</v>
      </c>
      <c r="J1092" s="37" t="s">
        <v>34</v>
      </c>
      <c r="K1092" s="38">
        <v>0.88100000000000001</v>
      </c>
      <c r="L1092" s="39"/>
      <c r="M1092" s="37"/>
      <c r="N1092" s="40">
        <v>0.38600000000000001</v>
      </c>
      <c r="O1092" s="38">
        <v>0.385878</v>
      </c>
      <c r="P1092" s="39"/>
      <c r="Q1092" s="39"/>
      <c r="R1092" s="40">
        <v>0.38600000000000001</v>
      </c>
      <c r="S1092" s="38">
        <v>0.385878</v>
      </c>
      <c r="T1092" s="39"/>
      <c r="U1092" s="39"/>
      <c r="V1092" s="8">
        <f t="shared" si="17"/>
        <v>2023</v>
      </c>
    </row>
    <row r="1093" spans="1:22" s="41" customFormat="1" ht="30.6" hidden="1" x14ac:dyDescent="0.3">
      <c r="A1093" s="36">
        <v>45200</v>
      </c>
      <c r="B1093" s="37" t="s">
        <v>23</v>
      </c>
      <c r="C1093" s="37" t="s">
        <v>118</v>
      </c>
      <c r="D1093" s="37" t="s">
        <v>70</v>
      </c>
      <c r="E1093" s="37" t="s">
        <v>6</v>
      </c>
      <c r="F1093" s="37" t="s">
        <v>149</v>
      </c>
      <c r="G1093" s="37" t="s">
        <v>150</v>
      </c>
      <c r="H1093" s="37" t="s">
        <v>151</v>
      </c>
      <c r="I1093" s="37" t="s">
        <v>152</v>
      </c>
      <c r="J1093" s="37" t="s">
        <v>34</v>
      </c>
      <c r="K1093" s="38">
        <v>0.88100000000000001</v>
      </c>
      <c r="L1093" s="39"/>
      <c r="M1093" s="37"/>
      <c r="N1093" s="40">
        <v>0.38600000000000001</v>
      </c>
      <c r="O1093" s="38">
        <v>0.385878</v>
      </c>
      <c r="P1093" s="39"/>
      <c r="Q1093" s="39"/>
      <c r="R1093" s="40">
        <v>0.38600000000000001</v>
      </c>
      <c r="S1093" s="38">
        <v>0.385878</v>
      </c>
      <c r="T1093" s="39"/>
      <c r="U1093" s="39"/>
      <c r="V1093" s="8">
        <f t="shared" si="17"/>
        <v>2023</v>
      </c>
    </row>
    <row r="1094" spans="1:22" s="41" customFormat="1" ht="30.6" hidden="1" x14ac:dyDescent="0.3">
      <c r="A1094" s="36">
        <v>45231</v>
      </c>
      <c r="B1094" s="37" t="s">
        <v>23</v>
      </c>
      <c r="C1094" s="37" t="s">
        <v>118</v>
      </c>
      <c r="D1094" s="37" t="s">
        <v>70</v>
      </c>
      <c r="E1094" s="37" t="s">
        <v>6</v>
      </c>
      <c r="F1094" s="37" t="s">
        <v>149</v>
      </c>
      <c r="G1094" s="37" t="s">
        <v>150</v>
      </c>
      <c r="H1094" s="37" t="s">
        <v>151</v>
      </c>
      <c r="I1094" s="37" t="s">
        <v>152</v>
      </c>
      <c r="J1094" s="37" t="s">
        <v>34</v>
      </c>
      <c r="K1094" s="38">
        <v>0.81599999999999995</v>
      </c>
      <c r="L1094" s="39"/>
      <c r="M1094" s="37"/>
      <c r="N1094" s="40">
        <v>0.35699999999999998</v>
      </c>
      <c r="O1094" s="38">
        <v>0.357408</v>
      </c>
      <c r="P1094" s="39"/>
      <c r="Q1094" s="39"/>
      <c r="R1094" s="40">
        <v>0.35699999999999998</v>
      </c>
      <c r="S1094" s="38">
        <v>0.357408</v>
      </c>
      <c r="T1094" s="39"/>
      <c r="U1094" s="39"/>
      <c r="V1094" s="8">
        <f t="shared" si="17"/>
        <v>2023</v>
      </c>
    </row>
    <row r="1095" spans="1:22" s="41" customFormat="1" ht="30.6" hidden="1" x14ac:dyDescent="0.3">
      <c r="A1095" s="36">
        <v>45261</v>
      </c>
      <c r="B1095" s="37" t="s">
        <v>23</v>
      </c>
      <c r="C1095" s="37" t="s">
        <v>118</v>
      </c>
      <c r="D1095" s="37" t="s">
        <v>70</v>
      </c>
      <c r="E1095" s="37" t="s">
        <v>6</v>
      </c>
      <c r="F1095" s="37" t="s">
        <v>149</v>
      </c>
      <c r="G1095" s="37" t="s">
        <v>150</v>
      </c>
      <c r="H1095" s="37" t="s">
        <v>151</v>
      </c>
      <c r="I1095" s="37" t="s">
        <v>152</v>
      </c>
      <c r="J1095" s="37" t="s">
        <v>34</v>
      </c>
      <c r="K1095" s="38">
        <v>0.71699999999999997</v>
      </c>
      <c r="L1095" s="42">
        <v>159.42764500000001</v>
      </c>
      <c r="M1095" s="37"/>
      <c r="N1095" s="40">
        <v>0.314</v>
      </c>
      <c r="O1095" s="38">
        <v>0.31404599999999999</v>
      </c>
      <c r="P1095" s="39"/>
      <c r="Q1095" s="39"/>
      <c r="R1095" s="40">
        <v>0.314</v>
      </c>
      <c r="S1095" s="38">
        <v>0.31404599999999999</v>
      </c>
      <c r="T1095" s="39"/>
      <c r="U1095" s="39"/>
      <c r="V1095" s="8">
        <f t="shared" si="17"/>
        <v>2023</v>
      </c>
    </row>
    <row r="1096" spans="1:22" s="41" customFormat="1" ht="40.799999999999997" hidden="1" x14ac:dyDescent="0.3">
      <c r="A1096" s="36">
        <v>44562</v>
      </c>
      <c r="B1096" s="37" t="s">
        <v>11</v>
      </c>
      <c r="C1096" s="37" t="s">
        <v>118</v>
      </c>
      <c r="D1096" s="37" t="s">
        <v>71</v>
      </c>
      <c r="E1096" s="37" t="s">
        <v>5</v>
      </c>
      <c r="F1096" s="37" t="s">
        <v>153</v>
      </c>
      <c r="G1096" s="37" t="s">
        <v>154</v>
      </c>
      <c r="H1096" s="37" t="s">
        <v>155</v>
      </c>
      <c r="I1096" s="37" t="s">
        <v>156</v>
      </c>
      <c r="J1096" s="37" t="s">
        <v>34</v>
      </c>
      <c r="K1096" s="38">
        <v>0</v>
      </c>
      <c r="L1096" s="39"/>
      <c r="M1096" s="37"/>
      <c r="N1096" s="40">
        <v>0</v>
      </c>
      <c r="O1096" s="38">
        <v>0</v>
      </c>
      <c r="P1096" s="38">
        <v>0</v>
      </c>
      <c r="Q1096" s="38">
        <v>0</v>
      </c>
      <c r="R1096" s="40">
        <v>0</v>
      </c>
      <c r="S1096" s="38">
        <v>0</v>
      </c>
      <c r="T1096" s="38">
        <v>0</v>
      </c>
      <c r="U1096" s="38">
        <v>0</v>
      </c>
      <c r="V1096" s="8">
        <f t="shared" si="17"/>
        <v>2022</v>
      </c>
    </row>
    <row r="1097" spans="1:22" s="41" customFormat="1" ht="40.799999999999997" hidden="1" x14ac:dyDescent="0.3">
      <c r="A1097" s="36">
        <v>44562</v>
      </c>
      <c r="B1097" s="37" t="s">
        <v>20</v>
      </c>
      <c r="C1097" s="37" t="s">
        <v>118</v>
      </c>
      <c r="D1097" s="37" t="s">
        <v>71</v>
      </c>
      <c r="E1097" s="37" t="s">
        <v>5</v>
      </c>
      <c r="F1097" s="37" t="s">
        <v>153</v>
      </c>
      <c r="G1097" s="37" t="s">
        <v>154</v>
      </c>
      <c r="H1097" s="37" t="s">
        <v>155</v>
      </c>
      <c r="I1097" s="37" t="s">
        <v>156</v>
      </c>
      <c r="J1097" s="37" t="s">
        <v>34</v>
      </c>
      <c r="K1097" s="38">
        <v>0</v>
      </c>
      <c r="L1097" s="39"/>
      <c r="M1097" s="37"/>
      <c r="N1097" s="40">
        <v>0</v>
      </c>
      <c r="O1097" s="38">
        <v>0</v>
      </c>
      <c r="P1097" s="38">
        <v>0</v>
      </c>
      <c r="Q1097" s="38">
        <v>0</v>
      </c>
      <c r="R1097" s="39" t="s">
        <v>117</v>
      </c>
      <c r="S1097" s="39"/>
      <c r="T1097" s="39"/>
      <c r="U1097" s="39"/>
      <c r="V1097" s="8">
        <f t="shared" si="17"/>
        <v>2022</v>
      </c>
    </row>
    <row r="1098" spans="1:22" s="41" customFormat="1" ht="40.799999999999997" hidden="1" x14ac:dyDescent="0.3">
      <c r="A1098" s="36">
        <v>44593</v>
      </c>
      <c r="B1098" s="37" t="s">
        <v>11</v>
      </c>
      <c r="C1098" s="37" t="s">
        <v>118</v>
      </c>
      <c r="D1098" s="37" t="s">
        <v>71</v>
      </c>
      <c r="E1098" s="37" t="s">
        <v>5</v>
      </c>
      <c r="F1098" s="37" t="s">
        <v>153</v>
      </c>
      <c r="G1098" s="37" t="s">
        <v>154</v>
      </c>
      <c r="H1098" s="37" t="s">
        <v>155</v>
      </c>
      <c r="I1098" s="37" t="s">
        <v>156</v>
      </c>
      <c r="J1098" s="37" t="s">
        <v>34</v>
      </c>
      <c r="K1098" s="38">
        <v>0</v>
      </c>
      <c r="L1098" s="39"/>
      <c r="M1098" s="37"/>
      <c r="N1098" s="40">
        <v>0</v>
      </c>
      <c r="O1098" s="38">
        <v>0</v>
      </c>
      <c r="P1098" s="38">
        <v>0</v>
      </c>
      <c r="Q1098" s="38">
        <v>0</v>
      </c>
      <c r="R1098" s="40">
        <v>0</v>
      </c>
      <c r="S1098" s="38">
        <v>0</v>
      </c>
      <c r="T1098" s="38">
        <v>0</v>
      </c>
      <c r="U1098" s="38">
        <v>0</v>
      </c>
      <c r="V1098" s="8">
        <f t="shared" si="17"/>
        <v>2022</v>
      </c>
    </row>
    <row r="1099" spans="1:22" s="41" customFormat="1" ht="40.799999999999997" hidden="1" x14ac:dyDescent="0.3">
      <c r="A1099" s="36">
        <v>44593</v>
      </c>
      <c r="B1099" s="37" t="s">
        <v>20</v>
      </c>
      <c r="C1099" s="37" t="s">
        <v>118</v>
      </c>
      <c r="D1099" s="37" t="s">
        <v>71</v>
      </c>
      <c r="E1099" s="37" t="s">
        <v>5</v>
      </c>
      <c r="F1099" s="37" t="s">
        <v>153</v>
      </c>
      <c r="G1099" s="37" t="s">
        <v>154</v>
      </c>
      <c r="H1099" s="37" t="s">
        <v>155</v>
      </c>
      <c r="I1099" s="37" t="s">
        <v>156</v>
      </c>
      <c r="J1099" s="37" t="s">
        <v>34</v>
      </c>
      <c r="K1099" s="38">
        <v>0</v>
      </c>
      <c r="L1099" s="39"/>
      <c r="M1099" s="37"/>
      <c r="N1099" s="40">
        <v>0</v>
      </c>
      <c r="O1099" s="38">
        <v>0</v>
      </c>
      <c r="P1099" s="38">
        <v>0</v>
      </c>
      <c r="Q1099" s="38">
        <v>0</v>
      </c>
      <c r="R1099" s="39" t="s">
        <v>117</v>
      </c>
      <c r="S1099" s="39"/>
      <c r="T1099" s="39"/>
      <c r="U1099" s="39"/>
      <c r="V1099" s="8">
        <f t="shared" si="17"/>
        <v>2022</v>
      </c>
    </row>
    <row r="1100" spans="1:22" s="41" customFormat="1" ht="40.799999999999997" hidden="1" x14ac:dyDescent="0.3">
      <c r="A1100" s="36">
        <v>44621</v>
      </c>
      <c r="B1100" s="37" t="s">
        <v>11</v>
      </c>
      <c r="C1100" s="37" t="s">
        <v>118</v>
      </c>
      <c r="D1100" s="37" t="s">
        <v>71</v>
      </c>
      <c r="E1100" s="37" t="s">
        <v>5</v>
      </c>
      <c r="F1100" s="37" t="s">
        <v>153</v>
      </c>
      <c r="G1100" s="37" t="s">
        <v>154</v>
      </c>
      <c r="H1100" s="37" t="s">
        <v>155</v>
      </c>
      <c r="I1100" s="37" t="s">
        <v>156</v>
      </c>
      <c r="J1100" s="37" t="s">
        <v>34</v>
      </c>
      <c r="K1100" s="38">
        <v>0</v>
      </c>
      <c r="L1100" s="39"/>
      <c r="M1100" s="37"/>
      <c r="N1100" s="40">
        <v>0</v>
      </c>
      <c r="O1100" s="38">
        <v>0</v>
      </c>
      <c r="P1100" s="38">
        <v>0</v>
      </c>
      <c r="Q1100" s="38">
        <v>0</v>
      </c>
      <c r="R1100" s="40">
        <v>0</v>
      </c>
      <c r="S1100" s="38">
        <v>0</v>
      </c>
      <c r="T1100" s="38">
        <v>0</v>
      </c>
      <c r="U1100" s="38">
        <v>0</v>
      </c>
      <c r="V1100" s="8">
        <f t="shared" si="17"/>
        <v>2022</v>
      </c>
    </row>
    <row r="1101" spans="1:22" s="41" customFormat="1" ht="40.799999999999997" hidden="1" x14ac:dyDescent="0.3">
      <c r="A1101" s="36">
        <v>44621</v>
      </c>
      <c r="B1101" s="37" t="s">
        <v>20</v>
      </c>
      <c r="C1101" s="37" t="s">
        <v>118</v>
      </c>
      <c r="D1101" s="37" t="s">
        <v>71</v>
      </c>
      <c r="E1101" s="37" t="s">
        <v>5</v>
      </c>
      <c r="F1101" s="37" t="s">
        <v>153</v>
      </c>
      <c r="G1101" s="37" t="s">
        <v>154</v>
      </c>
      <c r="H1101" s="37" t="s">
        <v>155</v>
      </c>
      <c r="I1101" s="37" t="s">
        <v>156</v>
      </c>
      <c r="J1101" s="37" t="s">
        <v>34</v>
      </c>
      <c r="K1101" s="38">
        <v>0</v>
      </c>
      <c r="L1101" s="39"/>
      <c r="M1101" s="37"/>
      <c r="N1101" s="40">
        <v>0</v>
      </c>
      <c r="O1101" s="38">
        <v>0</v>
      </c>
      <c r="P1101" s="38">
        <v>0</v>
      </c>
      <c r="Q1101" s="38">
        <v>0</v>
      </c>
      <c r="R1101" s="39" t="s">
        <v>117</v>
      </c>
      <c r="S1101" s="39"/>
      <c r="T1101" s="39"/>
      <c r="U1101" s="39"/>
      <c r="V1101" s="8">
        <f t="shared" si="17"/>
        <v>2022</v>
      </c>
    </row>
    <row r="1102" spans="1:22" s="41" customFormat="1" ht="40.799999999999997" hidden="1" x14ac:dyDescent="0.3">
      <c r="A1102" s="36">
        <v>44652</v>
      </c>
      <c r="B1102" s="37" t="s">
        <v>11</v>
      </c>
      <c r="C1102" s="37" t="s">
        <v>118</v>
      </c>
      <c r="D1102" s="37" t="s">
        <v>71</v>
      </c>
      <c r="E1102" s="37" t="s">
        <v>5</v>
      </c>
      <c r="F1102" s="37" t="s">
        <v>153</v>
      </c>
      <c r="G1102" s="37" t="s">
        <v>154</v>
      </c>
      <c r="H1102" s="37" t="s">
        <v>155</v>
      </c>
      <c r="I1102" s="37" t="s">
        <v>156</v>
      </c>
      <c r="J1102" s="37" t="s">
        <v>34</v>
      </c>
      <c r="K1102" s="38">
        <v>0</v>
      </c>
      <c r="L1102" s="39"/>
      <c r="M1102" s="37"/>
      <c r="N1102" s="40">
        <v>0</v>
      </c>
      <c r="O1102" s="38">
        <v>0</v>
      </c>
      <c r="P1102" s="38">
        <v>0</v>
      </c>
      <c r="Q1102" s="38">
        <v>0</v>
      </c>
      <c r="R1102" s="40">
        <v>0</v>
      </c>
      <c r="S1102" s="38">
        <v>0</v>
      </c>
      <c r="T1102" s="38">
        <v>0</v>
      </c>
      <c r="U1102" s="38">
        <v>0</v>
      </c>
      <c r="V1102" s="8">
        <f t="shared" si="17"/>
        <v>2022</v>
      </c>
    </row>
    <row r="1103" spans="1:22" s="41" customFormat="1" ht="40.799999999999997" hidden="1" x14ac:dyDescent="0.3">
      <c r="A1103" s="36">
        <v>44652</v>
      </c>
      <c r="B1103" s="37" t="s">
        <v>20</v>
      </c>
      <c r="C1103" s="37" t="s">
        <v>118</v>
      </c>
      <c r="D1103" s="37" t="s">
        <v>71</v>
      </c>
      <c r="E1103" s="37" t="s">
        <v>5</v>
      </c>
      <c r="F1103" s="37" t="s">
        <v>153</v>
      </c>
      <c r="G1103" s="37" t="s">
        <v>154</v>
      </c>
      <c r="H1103" s="37" t="s">
        <v>155</v>
      </c>
      <c r="I1103" s="37" t="s">
        <v>156</v>
      </c>
      <c r="J1103" s="37" t="s">
        <v>34</v>
      </c>
      <c r="K1103" s="38">
        <v>0</v>
      </c>
      <c r="L1103" s="39"/>
      <c r="M1103" s="37"/>
      <c r="N1103" s="40">
        <v>0</v>
      </c>
      <c r="O1103" s="38">
        <v>0</v>
      </c>
      <c r="P1103" s="38">
        <v>0</v>
      </c>
      <c r="Q1103" s="38">
        <v>0</v>
      </c>
      <c r="R1103" s="39" t="s">
        <v>117</v>
      </c>
      <c r="S1103" s="39"/>
      <c r="T1103" s="39"/>
      <c r="U1103" s="39"/>
      <c r="V1103" s="8">
        <f t="shared" si="17"/>
        <v>2022</v>
      </c>
    </row>
    <row r="1104" spans="1:22" s="41" customFormat="1" ht="40.799999999999997" hidden="1" x14ac:dyDescent="0.3">
      <c r="A1104" s="36">
        <v>44682</v>
      </c>
      <c r="B1104" s="37" t="s">
        <v>11</v>
      </c>
      <c r="C1104" s="37" t="s">
        <v>118</v>
      </c>
      <c r="D1104" s="37" t="s">
        <v>71</v>
      </c>
      <c r="E1104" s="37" t="s">
        <v>5</v>
      </c>
      <c r="F1104" s="37" t="s">
        <v>153</v>
      </c>
      <c r="G1104" s="37" t="s">
        <v>154</v>
      </c>
      <c r="H1104" s="37" t="s">
        <v>155</v>
      </c>
      <c r="I1104" s="37" t="s">
        <v>156</v>
      </c>
      <c r="J1104" s="37" t="s">
        <v>34</v>
      </c>
      <c r="K1104" s="38">
        <v>0</v>
      </c>
      <c r="L1104" s="39"/>
      <c r="M1104" s="37"/>
      <c r="N1104" s="40">
        <v>0</v>
      </c>
      <c r="O1104" s="38">
        <v>0</v>
      </c>
      <c r="P1104" s="38">
        <v>0</v>
      </c>
      <c r="Q1104" s="38">
        <v>0</v>
      </c>
      <c r="R1104" s="40">
        <v>0</v>
      </c>
      <c r="S1104" s="38">
        <v>0</v>
      </c>
      <c r="T1104" s="38">
        <v>0</v>
      </c>
      <c r="U1104" s="38">
        <v>0</v>
      </c>
      <c r="V1104" s="8">
        <f t="shared" si="17"/>
        <v>2022</v>
      </c>
    </row>
    <row r="1105" spans="1:22" s="41" customFormat="1" ht="40.799999999999997" hidden="1" x14ac:dyDescent="0.3">
      <c r="A1105" s="36">
        <v>44682</v>
      </c>
      <c r="B1105" s="37" t="s">
        <v>20</v>
      </c>
      <c r="C1105" s="37" t="s">
        <v>118</v>
      </c>
      <c r="D1105" s="37" t="s">
        <v>71</v>
      </c>
      <c r="E1105" s="37" t="s">
        <v>5</v>
      </c>
      <c r="F1105" s="37" t="s">
        <v>153</v>
      </c>
      <c r="G1105" s="37" t="s">
        <v>154</v>
      </c>
      <c r="H1105" s="37" t="s">
        <v>155</v>
      </c>
      <c r="I1105" s="37" t="s">
        <v>156</v>
      </c>
      <c r="J1105" s="37" t="s">
        <v>34</v>
      </c>
      <c r="K1105" s="38">
        <v>0</v>
      </c>
      <c r="L1105" s="39"/>
      <c r="M1105" s="37"/>
      <c r="N1105" s="40">
        <v>0</v>
      </c>
      <c r="O1105" s="38">
        <v>0</v>
      </c>
      <c r="P1105" s="38">
        <v>0</v>
      </c>
      <c r="Q1105" s="38">
        <v>0</v>
      </c>
      <c r="R1105" s="39" t="s">
        <v>117</v>
      </c>
      <c r="S1105" s="39"/>
      <c r="T1105" s="39"/>
      <c r="U1105" s="39"/>
      <c r="V1105" s="8">
        <f t="shared" si="17"/>
        <v>2022</v>
      </c>
    </row>
    <row r="1106" spans="1:22" s="41" customFormat="1" ht="40.799999999999997" hidden="1" x14ac:dyDescent="0.3">
      <c r="A1106" s="36">
        <v>44713</v>
      </c>
      <c r="B1106" s="37" t="s">
        <v>11</v>
      </c>
      <c r="C1106" s="37" t="s">
        <v>118</v>
      </c>
      <c r="D1106" s="37" t="s">
        <v>71</v>
      </c>
      <c r="E1106" s="37" t="s">
        <v>5</v>
      </c>
      <c r="F1106" s="37" t="s">
        <v>153</v>
      </c>
      <c r="G1106" s="37" t="s">
        <v>154</v>
      </c>
      <c r="H1106" s="37" t="s">
        <v>155</v>
      </c>
      <c r="I1106" s="37" t="s">
        <v>156</v>
      </c>
      <c r="J1106" s="37" t="s">
        <v>34</v>
      </c>
      <c r="K1106" s="38">
        <v>0</v>
      </c>
      <c r="L1106" s="39"/>
      <c r="M1106" s="37"/>
      <c r="N1106" s="40">
        <v>0</v>
      </c>
      <c r="O1106" s="38">
        <v>0</v>
      </c>
      <c r="P1106" s="38">
        <v>0</v>
      </c>
      <c r="Q1106" s="38">
        <v>0</v>
      </c>
      <c r="R1106" s="40">
        <v>0</v>
      </c>
      <c r="S1106" s="38">
        <v>0</v>
      </c>
      <c r="T1106" s="38">
        <v>0</v>
      </c>
      <c r="U1106" s="38">
        <v>0</v>
      </c>
      <c r="V1106" s="8">
        <f t="shared" si="17"/>
        <v>2022</v>
      </c>
    </row>
    <row r="1107" spans="1:22" s="41" customFormat="1" ht="40.799999999999997" hidden="1" x14ac:dyDescent="0.3">
      <c r="A1107" s="36">
        <v>44713</v>
      </c>
      <c r="B1107" s="37" t="s">
        <v>20</v>
      </c>
      <c r="C1107" s="37" t="s">
        <v>118</v>
      </c>
      <c r="D1107" s="37" t="s">
        <v>71</v>
      </c>
      <c r="E1107" s="37" t="s">
        <v>5</v>
      </c>
      <c r="F1107" s="37" t="s">
        <v>153</v>
      </c>
      <c r="G1107" s="37" t="s">
        <v>154</v>
      </c>
      <c r="H1107" s="37" t="s">
        <v>155</v>
      </c>
      <c r="I1107" s="37" t="s">
        <v>156</v>
      </c>
      <c r="J1107" s="37" t="s">
        <v>34</v>
      </c>
      <c r="K1107" s="38">
        <v>0</v>
      </c>
      <c r="L1107" s="39"/>
      <c r="M1107" s="37"/>
      <c r="N1107" s="40">
        <v>0</v>
      </c>
      <c r="O1107" s="38">
        <v>0</v>
      </c>
      <c r="P1107" s="38">
        <v>0</v>
      </c>
      <c r="Q1107" s="38">
        <v>0</v>
      </c>
      <c r="R1107" s="39" t="s">
        <v>117</v>
      </c>
      <c r="S1107" s="39"/>
      <c r="T1107" s="39"/>
      <c r="U1107" s="39"/>
      <c r="V1107" s="8">
        <f t="shared" si="17"/>
        <v>2022</v>
      </c>
    </row>
    <row r="1108" spans="1:22" s="41" customFormat="1" ht="40.799999999999997" hidden="1" x14ac:dyDescent="0.3">
      <c r="A1108" s="36">
        <v>44743</v>
      </c>
      <c r="B1108" s="37" t="s">
        <v>11</v>
      </c>
      <c r="C1108" s="37" t="s">
        <v>118</v>
      </c>
      <c r="D1108" s="37" t="s">
        <v>71</v>
      </c>
      <c r="E1108" s="37" t="s">
        <v>5</v>
      </c>
      <c r="F1108" s="37" t="s">
        <v>153</v>
      </c>
      <c r="G1108" s="37" t="s">
        <v>154</v>
      </c>
      <c r="H1108" s="37" t="s">
        <v>155</v>
      </c>
      <c r="I1108" s="37" t="s">
        <v>156</v>
      </c>
      <c r="J1108" s="37" t="s">
        <v>34</v>
      </c>
      <c r="K1108" s="38">
        <v>0</v>
      </c>
      <c r="L1108" s="39"/>
      <c r="M1108" s="37"/>
      <c r="N1108" s="40">
        <v>0</v>
      </c>
      <c r="O1108" s="38">
        <v>0</v>
      </c>
      <c r="P1108" s="38">
        <v>0</v>
      </c>
      <c r="Q1108" s="38">
        <v>0</v>
      </c>
      <c r="R1108" s="40">
        <v>0</v>
      </c>
      <c r="S1108" s="38">
        <v>0</v>
      </c>
      <c r="T1108" s="38">
        <v>0</v>
      </c>
      <c r="U1108" s="38">
        <v>0</v>
      </c>
      <c r="V1108" s="8">
        <f t="shared" si="17"/>
        <v>2022</v>
      </c>
    </row>
    <row r="1109" spans="1:22" s="41" customFormat="1" ht="40.799999999999997" hidden="1" x14ac:dyDescent="0.3">
      <c r="A1109" s="36">
        <v>44743</v>
      </c>
      <c r="B1109" s="37" t="s">
        <v>20</v>
      </c>
      <c r="C1109" s="37" t="s">
        <v>118</v>
      </c>
      <c r="D1109" s="37" t="s">
        <v>71</v>
      </c>
      <c r="E1109" s="37" t="s">
        <v>5</v>
      </c>
      <c r="F1109" s="37" t="s">
        <v>153</v>
      </c>
      <c r="G1109" s="37" t="s">
        <v>154</v>
      </c>
      <c r="H1109" s="37" t="s">
        <v>155</v>
      </c>
      <c r="I1109" s="37" t="s">
        <v>156</v>
      </c>
      <c r="J1109" s="37" t="s">
        <v>34</v>
      </c>
      <c r="K1109" s="38">
        <v>0</v>
      </c>
      <c r="L1109" s="39"/>
      <c r="M1109" s="37"/>
      <c r="N1109" s="40">
        <v>0</v>
      </c>
      <c r="O1109" s="38">
        <v>0</v>
      </c>
      <c r="P1109" s="38">
        <v>0</v>
      </c>
      <c r="Q1109" s="38">
        <v>0</v>
      </c>
      <c r="R1109" s="39" t="s">
        <v>117</v>
      </c>
      <c r="S1109" s="39"/>
      <c r="T1109" s="39"/>
      <c r="U1109" s="39"/>
      <c r="V1109" s="8">
        <f t="shared" si="17"/>
        <v>2022</v>
      </c>
    </row>
    <row r="1110" spans="1:22" s="41" customFormat="1" ht="40.799999999999997" hidden="1" x14ac:dyDescent="0.3">
      <c r="A1110" s="36">
        <v>44774</v>
      </c>
      <c r="B1110" s="37" t="s">
        <v>11</v>
      </c>
      <c r="C1110" s="37" t="s">
        <v>118</v>
      </c>
      <c r="D1110" s="37" t="s">
        <v>71</v>
      </c>
      <c r="E1110" s="37" t="s">
        <v>5</v>
      </c>
      <c r="F1110" s="37" t="s">
        <v>153</v>
      </c>
      <c r="G1110" s="37" t="s">
        <v>154</v>
      </c>
      <c r="H1110" s="37" t="s">
        <v>155</v>
      </c>
      <c r="I1110" s="37" t="s">
        <v>156</v>
      </c>
      <c r="J1110" s="37" t="s">
        <v>34</v>
      </c>
      <c r="K1110" s="38">
        <v>0</v>
      </c>
      <c r="L1110" s="39"/>
      <c r="M1110" s="37"/>
      <c r="N1110" s="40">
        <v>0</v>
      </c>
      <c r="O1110" s="38">
        <v>0</v>
      </c>
      <c r="P1110" s="38">
        <v>0</v>
      </c>
      <c r="Q1110" s="38">
        <v>0</v>
      </c>
      <c r="R1110" s="40">
        <v>0</v>
      </c>
      <c r="S1110" s="38">
        <v>0</v>
      </c>
      <c r="T1110" s="38">
        <v>0</v>
      </c>
      <c r="U1110" s="38">
        <v>0</v>
      </c>
      <c r="V1110" s="8">
        <f t="shared" si="17"/>
        <v>2022</v>
      </c>
    </row>
    <row r="1111" spans="1:22" s="41" customFormat="1" ht="40.799999999999997" hidden="1" x14ac:dyDescent="0.3">
      <c r="A1111" s="36">
        <v>44774</v>
      </c>
      <c r="B1111" s="37" t="s">
        <v>20</v>
      </c>
      <c r="C1111" s="37" t="s">
        <v>118</v>
      </c>
      <c r="D1111" s="37" t="s">
        <v>71</v>
      </c>
      <c r="E1111" s="37" t="s">
        <v>5</v>
      </c>
      <c r="F1111" s="37" t="s">
        <v>153</v>
      </c>
      <c r="G1111" s="37" t="s">
        <v>154</v>
      </c>
      <c r="H1111" s="37" t="s">
        <v>155</v>
      </c>
      <c r="I1111" s="37" t="s">
        <v>156</v>
      </c>
      <c r="J1111" s="37" t="s">
        <v>34</v>
      </c>
      <c r="K1111" s="38">
        <v>0</v>
      </c>
      <c r="L1111" s="39"/>
      <c r="M1111" s="37"/>
      <c r="N1111" s="40">
        <v>0</v>
      </c>
      <c r="O1111" s="38">
        <v>0</v>
      </c>
      <c r="P1111" s="38">
        <v>0</v>
      </c>
      <c r="Q1111" s="38">
        <v>0</v>
      </c>
      <c r="R1111" s="39" t="s">
        <v>117</v>
      </c>
      <c r="S1111" s="39"/>
      <c r="T1111" s="39"/>
      <c r="U1111" s="39"/>
      <c r="V1111" s="8">
        <f t="shared" si="17"/>
        <v>2022</v>
      </c>
    </row>
    <row r="1112" spans="1:22" s="41" customFormat="1" ht="40.799999999999997" hidden="1" x14ac:dyDescent="0.3">
      <c r="A1112" s="36">
        <v>44805</v>
      </c>
      <c r="B1112" s="37" t="s">
        <v>11</v>
      </c>
      <c r="C1112" s="37" t="s">
        <v>118</v>
      </c>
      <c r="D1112" s="37" t="s">
        <v>71</v>
      </c>
      <c r="E1112" s="37" t="s">
        <v>5</v>
      </c>
      <c r="F1112" s="37" t="s">
        <v>153</v>
      </c>
      <c r="G1112" s="37" t="s">
        <v>154</v>
      </c>
      <c r="H1112" s="37" t="s">
        <v>155</v>
      </c>
      <c r="I1112" s="37" t="s">
        <v>156</v>
      </c>
      <c r="J1112" s="37" t="s">
        <v>34</v>
      </c>
      <c r="K1112" s="38">
        <v>0</v>
      </c>
      <c r="L1112" s="39"/>
      <c r="M1112" s="37"/>
      <c r="N1112" s="40">
        <v>0</v>
      </c>
      <c r="O1112" s="38">
        <v>0</v>
      </c>
      <c r="P1112" s="38">
        <v>0</v>
      </c>
      <c r="Q1112" s="38">
        <v>0</v>
      </c>
      <c r="R1112" s="40">
        <v>0</v>
      </c>
      <c r="S1112" s="38">
        <v>0</v>
      </c>
      <c r="T1112" s="38">
        <v>0</v>
      </c>
      <c r="U1112" s="38">
        <v>0</v>
      </c>
      <c r="V1112" s="8">
        <f t="shared" si="17"/>
        <v>2022</v>
      </c>
    </row>
    <row r="1113" spans="1:22" s="41" customFormat="1" ht="40.799999999999997" hidden="1" x14ac:dyDescent="0.3">
      <c r="A1113" s="36">
        <v>44805</v>
      </c>
      <c r="B1113" s="37" t="s">
        <v>20</v>
      </c>
      <c r="C1113" s="37" t="s">
        <v>118</v>
      </c>
      <c r="D1113" s="37" t="s">
        <v>71</v>
      </c>
      <c r="E1113" s="37" t="s">
        <v>5</v>
      </c>
      <c r="F1113" s="37" t="s">
        <v>153</v>
      </c>
      <c r="G1113" s="37" t="s">
        <v>154</v>
      </c>
      <c r="H1113" s="37" t="s">
        <v>155</v>
      </c>
      <c r="I1113" s="37" t="s">
        <v>156</v>
      </c>
      <c r="J1113" s="37" t="s">
        <v>34</v>
      </c>
      <c r="K1113" s="38">
        <v>0</v>
      </c>
      <c r="L1113" s="39"/>
      <c r="M1113" s="37"/>
      <c r="N1113" s="40">
        <v>0</v>
      </c>
      <c r="O1113" s="38">
        <v>0</v>
      </c>
      <c r="P1113" s="38">
        <v>0</v>
      </c>
      <c r="Q1113" s="38">
        <v>0</v>
      </c>
      <c r="R1113" s="39" t="s">
        <v>117</v>
      </c>
      <c r="S1113" s="39"/>
      <c r="T1113" s="39"/>
      <c r="U1113" s="39"/>
      <c r="V1113" s="8">
        <f t="shared" si="17"/>
        <v>2022</v>
      </c>
    </row>
    <row r="1114" spans="1:22" s="41" customFormat="1" ht="40.799999999999997" hidden="1" x14ac:dyDescent="0.3">
      <c r="A1114" s="36">
        <v>44835</v>
      </c>
      <c r="B1114" s="37" t="s">
        <v>11</v>
      </c>
      <c r="C1114" s="37" t="s">
        <v>118</v>
      </c>
      <c r="D1114" s="37" t="s">
        <v>71</v>
      </c>
      <c r="E1114" s="37" t="s">
        <v>5</v>
      </c>
      <c r="F1114" s="37" t="s">
        <v>153</v>
      </c>
      <c r="G1114" s="37" t="s">
        <v>154</v>
      </c>
      <c r="H1114" s="37" t="s">
        <v>155</v>
      </c>
      <c r="I1114" s="37" t="s">
        <v>156</v>
      </c>
      <c r="J1114" s="37" t="s">
        <v>34</v>
      </c>
      <c r="K1114" s="38">
        <v>0</v>
      </c>
      <c r="L1114" s="39"/>
      <c r="M1114" s="37"/>
      <c r="N1114" s="40">
        <v>0</v>
      </c>
      <c r="O1114" s="38">
        <v>0</v>
      </c>
      <c r="P1114" s="38">
        <v>0</v>
      </c>
      <c r="Q1114" s="38">
        <v>0</v>
      </c>
      <c r="R1114" s="40">
        <v>0</v>
      </c>
      <c r="S1114" s="38">
        <v>0</v>
      </c>
      <c r="T1114" s="38">
        <v>0</v>
      </c>
      <c r="U1114" s="38">
        <v>0</v>
      </c>
      <c r="V1114" s="8">
        <f t="shared" si="17"/>
        <v>2022</v>
      </c>
    </row>
    <row r="1115" spans="1:22" s="41" customFormat="1" ht="40.799999999999997" hidden="1" x14ac:dyDescent="0.3">
      <c r="A1115" s="36">
        <v>44835</v>
      </c>
      <c r="B1115" s="37" t="s">
        <v>20</v>
      </c>
      <c r="C1115" s="37" t="s">
        <v>118</v>
      </c>
      <c r="D1115" s="37" t="s">
        <v>71</v>
      </c>
      <c r="E1115" s="37" t="s">
        <v>5</v>
      </c>
      <c r="F1115" s="37" t="s">
        <v>153</v>
      </c>
      <c r="G1115" s="37" t="s">
        <v>154</v>
      </c>
      <c r="H1115" s="37" t="s">
        <v>155</v>
      </c>
      <c r="I1115" s="37" t="s">
        <v>156</v>
      </c>
      <c r="J1115" s="37" t="s">
        <v>34</v>
      </c>
      <c r="K1115" s="38">
        <v>0</v>
      </c>
      <c r="L1115" s="39"/>
      <c r="M1115" s="37"/>
      <c r="N1115" s="40">
        <v>0</v>
      </c>
      <c r="O1115" s="38">
        <v>0</v>
      </c>
      <c r="P1115" s="38">
        <v>0</v>
      </c>
      <c r="Q1115" s="38">
        <v>0</v>
      </c>
      <c r="R1115" s="39" t="s">
        <v>117</v>
      </c>
      <c r="S1115" s="39"/>
      <c r="T1115" s="39"/>
      <c r="U1115" s="39"/>
      <c r="V1115" s="8">
        <f t="shared" si="17"/>
        <v>2022</v>
      </c>
    </row>
    <row r="1116" spans="1:22" s="41" customFormat="1" ht="40.799999999999997" hidden="1" x14ac:dyDescent="0.3">
      <c r="A1116" s="36">
        <v>44866</v>
      </c>
      <c r="B1116" s="37" t="s">
        <v>11</v>
      </c>
      <c r="C1116" s="37" t="s">
        <v>118</v>
      </c>
      <c r="D1116" s="37" t="s">
        <v>71</v>
      </c>
      <c r="E1116" s="37" t="s">
        <v>5</v>
      </c>
      <c r="F1116" s="37" t="s">
        <v>153</v>
      </c>
      <c r="G1116" s="37" t="s">
        <v>154</v>
      </c>
      <c r="H1116" s="37" t="s">
        <v>155</v>
      </c>
      <c r="I1116" s="37" t="s">
        <v>156</v>
      </c>
      <c r="J1116" s="37" t="s">
        <v>34</v>
      </c>
      <c r="K1116" s="38">
        <v>0</v>
      </c>
      <c r="L1116" s="39"/>
      <c r="M1116" s="37"/>
      <c r="N1116" s="40">
        <v>0</v>
      </c>
      <c r="O1116" s="38">
        <v>0</v>
      </c>
      <c r="P1116" s="38">
        <v>0</v>
      </c>
      <c r="Q1116" s="38">
        <v>0</v>
      </c>
      <c r="R1116" s="40">
        <v>0</v>
      </c>
      <c r="S1116" s="38">
        <v>0</v>
      </c>
      <c r="T1116" s="38">
        <v>0</v>
      </c>
      <c r="U1116" s="38">
        <v>0</v>
      </c>
      <c r="V1116" s="8">
        <f t="shared" si="17"/>
        <v>2022</v>
      </c>
    </row>
    <row r="1117" spans="1:22" s="41" customFormat="1" ht="40.799999999999997" hidden="1" x14ac:dyDescent="0.3">
      <c r="A1117" s="36">
        <v>44866</v>
      </c>
      <c r="B1117" s="37" t="s">
        <v>20</v>
      </c>
      <c r="C1117" s="37" t="s">
        <v>118</v>
      </c>
      <c r="D1117" s="37" t="s">
        <v>71</v>
      </c>
      <c r="E1117" s="37" t="s">
        <v>5</v>
      </c>
      <c r="F1117" s="37" t="s">
        <v>153</v>
      </c>
      <c r="G1117" s="37" t="s">
        <v>154</v>
      </c>
      <c r="H1117" s="37" t="s">
        <v>155</v>
      </c>
      <c r="I1117" s="37" t="s">
        <v>156</v>
      </c>
      <c r="J1117" s="37" t="s">
        <v>34</v>
      </c>
      <c r="K1117" s="38">
        <v>0</v>
      </c>
      <c r="L1117" s="39"/>
      <c r="M1117" s="37"/>
      <c r="N1117" s="40">
        <v>0</v>
      </c>
      <c r="O1117" s="38">
        <v>0</v>
      </c>
      <c r="P1117" s="38">
        <v>0</v>
      </c>
      <c r="Q1117" s="38">
        <v>0</v>
      </c>
      <c r="R1117" s="39" t="s">
        <v>117</v>
      </c>
      <c r="S1117" s="39"/>
      <c r="T1117" s="39"/>
      <c r="U1117" s="39"/>
      <c r="V1117" s="8">
        <f t="shared" si="17"/>
        <v>2022</v>
      </c>
    </row>
    <row r="1118" spans="1:22" s="41" customFormat="1" ht="40.799999999999997" hidden="1" x14ac:dyDescent="0.3">
      <c r="A1118" s="36">
        <v>44896</v>
      </c>
      <c r="B1118" s="37" t="s">
        <v>11</v>
      </c>
      <c r="C1118" s="37" t="s">
        <v>118</v>
      </c>
      <c r="D1118" s="37" t="s">
        <v>71</v>
      </c>
      <c r="E1118" s="37" t="s">
        <v>5</v>
      </c>
      <c r="F1118" s="37" t="s">
        <v>153</v>
      </c>
      <c r="G1118" s="37" t="s">
        <v>154</v>
      </c>
      <c r="H1118" s="37" t="s">
        <v>155</v>
      </c>
      <c r="I1118" s="37" t="s">
        <v>156</v>
      </c>
      <c r="J1118" s="37" t="s">
        <v>34</v>
      </c>
      <c r="K1118" s="38">
        <v>0</v>
      </c>
      <c r="L1118" s="39"/>
      <c r="M1118" s="37"/>
      <c r="N1118" s="40">
        <v>0</v>
      </c>
      <c r="O1118" s="38">
        <v>0</v>
      </c>
      <c r="P1118" s="38">
        <v>0</v>
      </c>
      <c r="Q1118" s="38">
        <v>0</v>
      </c>
      <c r="R1118" s="40">
        <v>0</v>
      </c>
      <c r="S1118" s="38">
        <v>0</v>
      </c>
      <c r="T1118" s="38">
        <v>0</v>
      </c>
      <c r="U1118" s="38">
        <v>0</v>
      </c>
      <c r="V1118" s="8">
        <f t="shared" si="17"/>
        <v>2022</v>
      </c>
    </row>
    <row r="1119" spans="1:22" s="41" customFormat="1" ht="40.799999999999997" hidden="1" x14ac:dyDescent="0.3">
      <c r="A1119" s="36">
        <v>44896</v>
      </c>
      <c r="B1119" s="37" t="s">
        <v>20</v>
      </c>
      <c r="C1119" s="37" t="s">
        <v>118</v>
      </c>
      <c r="D1119" s="37" t="s">
        <v>71</v>
      </c>
      <c r="E1119" s="37" t="s">
        <v>5</v>
      </c>
      <c r="F1119" s="37" t="s">
        <v>153</v>
      </c>
      <c r="G1119" s="37" t="s">
        <v>154</v>
      </c>
      <c r="H1119" s="37" t="s">
        <v>155</v>
      </c>
      <c r="I1119" s="37" t="s">
        <v>156</v>
      </c>
      <c r="J1119" s="37" t="s">
        <v>34</v>
      </c>
      <c r="K1119" s="38">
        <v>0</v>
      </c>
      <c r="L1119" s="39"/>
      <c r="M1119" s="37"/>
      <c r="N1119" s="40">
        <v>0</v>
      </c>
      <c r="O1119" s="38">
        <v>0</v>
      </c>
      <c r="P1119" s="38">
        <v>0</v>
      </c>
      <c r="Q1119" s="38">
        <v>0</v>
      </c>
      <c r="R1119" s="39" t="s">
        <v>117</v>
      </c>
      <c r="S1119" s="39"/>
      <c r="T1119" s="39"/>
      <c r="U1119" s="39"/>
      <c r="V1119" s="8">
        <f t="shared" si="17"/>
        <v>2022</v>
      </c>
    </row>
    <row r="1120" spans="1:22" s="41" customFormat="1" ht="40.799999999999997" hidden="1" x14ac:dyDescent="0.3">
      <c r="A1120" s="36">
        <v>44562</v>
      </c>
      <c r="B1120" s="37" t="s">
        <v>23</v>
      </c>
      <c r="C1120" s="37" t="s">
        <v>118</v>
      </c>
      <c r="D1120" s="37" t="s">
        <v>71</v>
      </c>
      <c r="E1120" s="37" t="s">
        <v>6</v>
      </c>
      <c r="F1120" s="37" t="s">
        <v>153</v>
      </c>
      <c r="G1120" s="37" t="s">
        <v>154</v>
      </c>
      <c r="H1120" s="37" t="s">
        <v>155</v>
      </c>
      <c r="I1120" s="37" t="s">
        <v>156</v>
      </c>
      <c r="J1120" s="37" t="s">
        <v>34</v>
      </c>
      <c r="K1120" s="38">
        <v>8.3333000000000004E-2</v>
      </c>
      <c r="L1120" s="39"/>
      <c r="M1120" s="37"/>
      <c r="N1120" s="40">
        <v>0.06</v>
      </c>
      <c r="O1120" s="38">
        <v>5.9408000000000002E-2</v>
      </c>
      <c r="P1120" s="38">
        <v>2.5999999999999998E-4</v>
      </c>
      <c r="Q1120" s="38">
        <v>2.8E-5</v>
      </c>
      <c r="R1120" s="40">
        <v>0.06</v>
      </c>
      <c r="S1120" s="38">
        <v>5.9408000000000002E-2</v>
      </c>
      <c r="T1120" s="38">
        <v>2.5999999999999998E-4</v>
      </c>
      <c r="U1120" s="38">
        <v>2.8E-5</v>
      </c>
      <c r="V1120" s="8">
        <f t="shared" si="17"/>
        <v>2022</v>
      </c>
    </row>
    <row r="1121" spans="1:22" s="41" customFormat="1" ht="40.799999999999997" hidden="1" x14ac:dyDescent="0.3">
      <c r="A1121" s="36">
        <v>44593</v>
      </c>
      <c r="B1121" s="37" t="s">
        <v>23</v>
      </c>
      <c r="C1121" s="37" t="s">
        <v>118</v>
      </c>
      <c r="D1121" s="37" t="s">
        <v>71</v>
      </c>
      <c r="E1121" s="37" t="s">
        <v>6</v>
      </c>
      <c r="F1121" s="37" t="s">
        <v>153</v>
      </c>
      <c r="G1121" s="37" t="s">
        <v>154</v>
      </c>
      <c r="H1121" s="37" t="s">
        <v>155</v>
      </c>
      <c r="I1121" s="37" t="s">
        <v>156</v>
      </c>
      <c r="J1121" s="37" t="s">
        <v>34</v>
      </c>
      <c r="K1121" s="38">
        <v>8.3333000000000004E-2</v>
      </c>
      <c r="L1121" s="39"/>
      <c r="M1121" s="37"/>
      <c r="N1121" s="40">
        <v>0.06</v>
      </c>
      <c r="O1121" s="38">
        <v>5.9408000000000002E-2</v>
      </c>
      <c r="P1121" s="38">
        <v>2.5999999999999998E-4</v>
      </c>
      <c r="Q1121" s="38">
        <v>2.8E-5</v>
      </c>
      <c r="R1121" s="40">
        <v>0.06</v>
      </c>
      <c r="S1121" s="38">
        <v>5.9408000000000002E-2</v>
      </c>
      <c r="T1121" s="38">
        <v>2.5999999999999998E-4</v>
      </c>
      <c r="U1121" s="38">
        <v>2.8E-5</v>
      </c>
      <c r="V1121" s="8">
        <f t="shared" si="17"/>
        <v>2022</v>
      </c>
    </row>
    <row r="1122" spans="1:22" s="41" customFormat="1" ht="40.799999999999997" hidden="1" x14ac:dyDescent="0.3">
      <c r="A1122" s="36">
        <v>44621</v>
      </c>
      <c r="B1122" s="37" t="s">
        <v>23</v>
      </c>
      <c r="C1122" s="37" t="s">
        <v>118</v>
      </c>
      <c r="D1122" s="37" t="s">
        <v>71</v>
      </c>
      <c r="E1122" s="37" t="s">
        <v>6</v>
      </c>
      <c r="F1122" s="37" t="s">
        <v>153</v>
      </c>
      <c r="G1122" s="37" t="s">
        <v>154</v>
      </c>
      <c r="H1122" s="37" t="s">
        <v>155</v>
      </c>
      <c r="I1122" s="37" t="s">
        <v>156</v>
      </c>
      <c r="J1122" s="37" t="s">
        <v>34</v>
      </c>
      <c r="K1122" s="38">
        <v>8.3333000000000004E-2</v>
      </c>
      <c r="L1122" s="39"/>
      <c r="M1122" s="37"/>
      <c r="N1122" s="40">
        <v>0.06</v>
      </c>
      <c r="O1122" s="38">
        <v>5.9408000000000002E-2</v>
      </c>
      <c r="P1122" s="38">
        <v>2.5999999999999998E-4</v>
      </c>
      <c r="Q1122" s="38">
        <v>2.8E-5</v>
      </c>
      <c r="R1122" s="40">
        <v>0.06</v>
      </c>
      <c r="S1122" s="38">
        <v>5.9408000000000002E-2</v>
      </c>
      <c r="T1122" s="38">
        <v>2.5999999999999998E-4</v>
      </c>
      <c r="U1122" s="38">
        <v>2.8E-5</v>
      </c>
      <c r="V1122" s="8">
        <f t="shared" si="17"/>
        <v>2022</v>
      </c>
    </row>
    <row r="1123" spans="1:22" s="41" customFormat="1" ht="40.799999999999997" hidden="1" x14ac:dyDescent="0.3">
      <c r="A1123" s="36">
        <v>44652</v>
      </c>
      <c r="B1123" s="37" t="s">
        <v>23</v>
      </c>
      <c r="C1123" s="37" t="s">
        <v>118</v>
      </c>
      <c r="D1123" s="37" t="s">
        <v>71</v>
      </c>
      <c r="E1123" s="37" t="s">
        <v>6</v>
      </c>
      <c r="F1123" s="37" t="s">
        <v>153</v>
      </c>
      <c r="G1123" s="37" t="s">
        <v>154</v>
      </c>
      <c r="H1123" s="37" t="s">
        <v>155</v>
      </c>
      <c r="I1123" s="37" t="s">
        <v>156</v>
      </c>
      <c r="J1123" s="37" t="s">
        <v>34</v>
      </c>
      <c r="K1123" s="38">
        <v>8.3333000000000004E-2</v>
      </c>
      <c r="L1123" s="39"/>
      <c r="M1123" s="37"/>
      <c r="N1123" s="40">
        <v>0.06</v>
      </c>
      <c r="O1123" s="38">
        <v>5.9408000000000002E-2</v>
      </c>
      <c r="P1123" s="38">
        <v>2.5999999999999998E-4</v>
      </c>
      <c r="Q1123" s="38">
        <v>2.8E-5</v>
      </c>
      <c r="R1123" s="40">
        <v>0.06</v>
      </c>
      <c r="S1123" s="38">
        <v>5.9408000000000002E-2</v>
      </c>
      <c r="T1123" s="38">
        <v>2.5999999999999998E-4</v>
      </c>
      <c r="U1123" s="38">
        <v>2.8E-5</v>
      </c>
      <c r="V1123" s="8">
        <f t="shared" si="17"/>
        <v>2022</v>
      </c>
    </row>
    <row r="1124" spans="1:22" s="41" customFormat="1" ht="40.799999999999997" hidden="1" x14ac:dyDescent="0.3">
      <c r="A1124" s="36">
        <v>44682</v>
      </c>
      <c r="B1124" s="37" t="s">
        <v>23</v>
      </c>
      <c r="C1124" s="37" t="s">
        <v>118</v>
      </c>
      <c r="D1124" s="37" t="s">
        <v>71</v>
      </c>
      <c r="E1124" s="37" t="s">
        <v>6</v>
      </c>
      <c r="F1124" s="37" t="s">
        <v>153</v>
      </c>
      <c r="G1124" s="37" t="s">
        <v>154</v>
      </c>
      <c r="H1124" s="37" t="s">
        <v>155</v>
      </c>
      <c r="I1124" s="37" t="s">
        <v>156</v>
      </c>
      <c r="J1124" s="37" t="s">
        <v>34</v>
      </c>
      <c r="K1124" s="38">
        <v>8.3333000000000004E-2</v>
      </c>
      <c r="L1124" s="39"/>
      <c r="M1124" s="37"/>
      <c r="N1124" s="40">
        <v>0.06</v>
      </c>
      <c r="O1124" s="38">
        <v>5.9408000000000002E-2</v>
      </c>
      <c r="P1124" s="38">
        <v>2.5999999999999998E-4</v>
      </c>
      <c r="Q1124" s="38">
        <v>2.8E-5</v>
      </c>
      <c r="R1124" s="40">
        <v>0.06</v>
      </c>
      <c r="S1124" s="38">
        <v>5.9408000000000002E-2</v>
      </c>
      <c r="T1124" s="38">
        <v>2.5999999999999998E-4</v>
      </c>
      <c r="U1124" s="38">
        <v>2.8E-5</v>
      </c>
      <c r="V1124" s="8">
        <f t="shared" si="17"/>
        <v>2022</v>
      </c>
    </row>
    <row r="1125" spans="1:22" s="41" customFormat="1" ht="40.799999999999997" hidden="1" x14ac:dyDescent="0.3">
      <c r="A1125" s="36">
        <v>44713</v>
      </c>
      <c r="B1125" s="37" t="s">
        <v>23</v>
      </c>
      <c r="C1125" s="37" t="s">
        <v>118</v>
      </c>
      <c r="D1125" s="37" t="s">
        <v>71</v>
      </c>
      <c r="E1125" s="37" t="s">
        <v>6</v>
      </c>
      <c r="F1125" s="37" t="s">
        <v>153</v>
      </c>
      <c r="G1125" s="37" t="s">
        <v>154</v>
      </c>
      <c r="H1125" s="37" t="s">
        <v>155</v>
      </c>
      <c r="I1125" s="37" t="s">
        <v>156</v>
      </c>
      <c r="J1125" s="37" t="s">
        <v>34</v>
      </c>
      <c r="K1125" s="38">
        <v>8.3333000000000004E-2</v>
      </c>
      <c r="L1125" s="39"/>
      <c r="M1125" s="37"/>
      <c r="N1125" s="40">
        <v>0.06</v>
      </c>
      <c r="O1125" s="38">
        <v>5.9408000000000002E-2</v>
      </c>
      <c r="P1125" s="38">
        <v>2.5999999999999998E-4</v>
      </c>
      <c r="Q1125" s="38">
        <v>2.8E-5</v>
      </c>
      <c r="R1125" s="40">
        <v>0.06</v>
      </c>
      <c r="S1125" s="38">
        <v>5.9408000000000002E-2</v>
      </c>
      <c r="T1125" s="38">
        <v>2.5999999999999998E-4</v>
      </c>
      <c r="U1125" s="38">
        <v>2.8E-5</v>
      </c>
      <c r="V1125" s="8">
        <f t="shared" si="17"/>
        <v>2022</v>
      </c>
    </row>
    <row r="1126" spans="1:22" s="41" customFormat="1" ht="40.799999999999997" hidden="1" x14ac:dyDescent="0.3">
      <c r="A1126" s="36">
        <v>44743</v>
      </c>
      <c r="B1126" s="37" t="s">
        <v>23</v>
      </c>
      <c r="C1126" s="37" t="s">
        <v>118</v>
      </c>
      <c r="D1126" s="37" t="s">
        <v>71</v>
      </c>
      <c r="E1126" s="37" t="s">
        <v>6</v>
      </c>
      <c r="F1126" s="37" t="s">
        <v>153</v>
      </c>
      <c r="G1126" s="37" t="s">
        <v>154</v>
      </c>
      <c r="H1126" s="37" t="s">
        <v>155</v>
      </c>
      <c r="I1126" s="37" t="s">
        <v>156</v>
      </c>
      <c r="J1126" s="37" t="s">
        <v>34</v>
      </c>
      <c r="K1126" s="38">
        <v>8.3333000000000004E-2</v>
      </c>
      <c r="L1126" s="39"/>
      <c r="M1126" s="37"/>
      <c r="N1126" s="40">
        <v>0.06</v>
      </c>
      <c r="O1126" s="38">
        <v>5.9408000000000002E-2</v>
      </c>
      <c r="P1126" s="38">
        <v>2.5999999999999998E-4</v>
      </c>
      <c r="Q1126" s="38">
        <v>2.8E-5</v>
      </c>
      <c r="R1126" s="40">
        <v>0.06</v>
      </c>
      <c r="S1126" s="38">
        <v>5.9408000000000002E-2</v>
      </c>
      <c r="T1126" s="38">
        <v>2.5999999999999998E-4</v>
      </c>
      <c r="U1126" s="38">
        <v>2.8E-5</v>
      </c>
      <c r="V1126" s="8">
        <f t="shared" si="17"/>
        <v>2022</v>
      </c>
    </row>
    <row r="1127" spans="1:22" s="41" customFormat="1" ht="40.799999999999997" hidden="1" x14ac:dyDescent="0.3">
      <c r="A1127" s="36">
        <v>44774</v>
      </c>
      <c r="B1127" s="37" t="s">
        <v>23</v>
      </c>
      <c r="C1127" s="37" t="s">
        <v>118</v>
      </c>
      <c r="D1127" s="37" t="s">
        <v>71</v>
      </c>
      <c r="E1127" s="37" t="s">
        <v>6</v>
      </c>
      <c r="F1127" s="37" t="s">
        <v>153</v>
      </c>
      <c r="G1127" s="37" t="s">
        <v>154</v>
      </c>
      <c r="H1127" s="37" t="s">
        <v>155</v>
      </c>
      <c r="I1127" s="37" t="s">
        <v>156</v>
      </c>
      <c r="J1127" s="37" t="s">
        <v>34</v>
      </c>
      <c r="K1127" s="38">
        <v>8.3333000000000004E-2</v>
      </c>
      <c r="L1127" s="39"/>
      <c r="M1127" s="37"/>
      <c r="N1127" s="40">
        <v>0.06</v>
      </c>
      <c r="O1127" s="38">
        <v>5.9408000000000002E-2</v>
      </c>
      <c r="P1127" s="38">
        <v>2.5999999999999998E-4</v>
      </c>
      <c r="Q1127" s="38">
        <v>2.8E-5</v>
      </c>
      <c r="R1127" s="40">
        <v>0.06</v>
      </c>
      <c r="S1127" s="38">
        <v>5.9408000000000002E-2</v>
      </c>
      <c r="T1127" s="38">
        <v>2.5999999999999998E-4</v>
      </c>
      <c r="U1127" s="38">
        <v>2.8E-5</v>
      </c>
      <c r="V1127" s="8">
        <f t="shared" si="17"/>
        <v>2022</v>
      </c>
    </row>
    <row r="1128" spans="1:22" s="41" customFormat="1" ht="40.799999999999997" hidden="1" x14ac:dyDescent="0.3">
      <c r="A1128" s="36">
        <v>44805</v>
      </c>
      <c r="B1128" s="37" t="s">
        <v>23</v>
      </c>
      <c r="C1128" s="37" t="s">
        <v>118</v>
      </c>
      <c r="D1128" s="37" t="s">
        <v>71</v>
      </c>
      <c r="E1128" s="37" t="s">
        <v>6</v>
      </c>
      <c r="F1128" s="37" t="s">
        <v>153</v>
      </c>
      <c r="G1128" s="37" t="s">
        <v>154</v>
      </c>
      <c r="H1128" s="37" t="s">
        <v>155</v>
      </c>
      <c r="I1128" s="37" t="s">
        <v>156</v>
      </c>
      <c r="J1128" s="37" t="s">
        <v>34</v>
      </c>
      <c r="K1128" s="38">
        <v>8.3333000000000004E-2</v>
      </c>
      <c r="L1128" s="39"/>
      <c r="M1128" s="37"/>
      <c r="N1128" s="40">
        <v>0.06</v>
      </c>
      <c r="O1128" s="38">
        <v>5.9408000000000002E-2</v>
      </c>
      <c r="P1128" s="38">
        <v>2.5999999999999998E-4</v>
      </c>
      <c r="Q1128" s="38">
        <v>2.8E-5</v>
      </c>
      <c r="R1128" s="40">
        <v>0.06</v>
      </c>
      <c r="S1128" s="38">
        <v>5.9408000000000002E-2</v>
      </c>
      <c r="T1128" s="38">
        <v>2.5999999999999998E-4</v>
      </c>
      <c r="U1128" s="38">
        <v>2.8E-5</v>
      </c>
      <c r="V1128" s="8">
        <f t="shared" si="17"/>
        <v>2022</v>
      </c>
    </row>
    <row r="1129" spans="1:22" s="41" customFormat="1" ht="40.799999999999997" hidden="1" x14ac:dyDescent="0.3">
      <c r="A1129" s="36">
        <v>44835</v>
      </c>
      <c r="B1129" s="37" t="s">
        <v>23</v>
      </c>
      <c r="C1129" s="37" t="s">
        <v>118</v>
      </c>
      <c r="D1129" s="37" t="s">
        <v>71</v>
      </c>
      <c r="E1129" s="37" t="s">
        <v>6</v>
      </c>
      <c r="F1129" s="37" t="s">
        <v>153</v>
      </c>
      <c r="G1129" s="37" t="s">
        <v>154</v>
      </c>
      <c r="H1129" s="37" t="s">
        <v>155</v>
      </c>
      <c r="I1129" s="37" t="s">
        <v>156</v>
      </c>
      <c r="J1129" s="37" t="s">
        <v>34</v>
      </c>
      <c r="K1129" s="38">
        <v>8.3333000000000004E-2</v>
      </c>
      <c r="L1129" s="39"/>
      <c r="M1129" s="37"/>
      <c r="N1129" s="40">
        <v>0.06</v>
      </c>
      <c r="O1129" s="38">
        <v>5.9408000000000002E-2</v>
      </c>
      <c r="P1129" s="38">
        <v>2.5999999999999998E-4</v>
      </c>
      <c r="Q1129" s="38">
        <v>2.8E-5</v>
      </c>
      <c r="R1129" s="40">
        <v>0.06</v>
      </c>
      <c r="S1129" s="38">
        <v>5.9408000000000002E-2</v>
      </c>
      <c r="T1129" s="38">
        <v>2.5999999999999998E-4</v>
      </c>
      <c r="U1129" s="38">
        <v>2.8E-5</v>
      </c>
      <c r="V1129" s="8">
        <f t="shared" si="17"/>
        <v>2022</v>
      </c>
    </row>
    <row r="1130" spans="1:22" s="41" customFormat="1" ht="40.799999999999997" hidden="1" x14ac:dyDescent="0.3">
      <c r="A1130" s="36">
        <v>44866</v>
      </c>
      <c r="B1130" s="37" t="s">
        <v>23</v>
      </c>
      <c r="C1130" s="37" t="s">
        <v>118</v>
      </c>
      <c r="D1130" s="37" t="s">
        <v>71</v>
      </c>
      <c r="E1130" s="37" t="s">
        <v>6</v>
      </c>
      <c r="F1130" s="37" t="s">
        <v>153</v>
      </c>
      <c r="G1130" s="37" t="s">
        <v>154</v>
      </c>
      <c r="H1130" s="37" t="s">
        <v>155</v>
      </c>
      <c r="I1130" s="37" t="s">
        <v>156</v>
      </c>
      <c r="J1130" s="37" t="s">
        <v>34</v>
      </c>
      <c r="K1130" s="38">
        <v>8.3333000000000004E-2</v>
      </c>
      <c r="L1130" s="39"/>
      <c r="M1130" s="37"/>
      <c r="N1130" s="40">
        <v>0.06</v>
      </c>
      <c r="O1130" s="38">
        <v>5.9408000000000002E-2</v>
      </c>
      <c r="P1130" s="38">
        <v>2.5999999999999998E-4</v>
      </c>
      <c r="Q1130" s="38">
        <v>2.8E-5</v>
      </c>
      <c r="R1130" s="40">
        <v>0.06</v>
      </c>
      <c r="S1130" s="38">
        <v>5.9408000000000002E-2</v>
      </c>
      <c r="T1130" s="38">
        <v>2.5999999999999998E-4</v>
      </c>
      <c r="U1130" s="38">
        <v>2.8E-5</v>
      </c>
      <c r="V1130" s="8">
        <f t="shared" si="17"/>
        <v>2022</v>
      </c>
    </row>
    <row r="1131" spans="1:22" s="41" customFormat="1" ht="40.799999999999997" hidden="1" x14ac:dyDescent="0.3">
      <c r="A1131" s="36">
        <v>44896</v>
      </c>
      <c r="B1131" s="37" t="s">
        <v>23</v>
      </c>
      <c r="C1131" s="37" t="s">
        <v>118</v>
      </c>
      <c r="D1131" s="37" t="s">
        <v>71</v>
      </c>
      <c r="E1131" s="37" t="s">
        <v>6</v>
      </c>
      <c r="F1131" s="37" t="s">
        <v>153</v>
      </c>
      <c r="G1131" s="37" t="s">
        <v>154</v>
      </c>
      <c r="H1131" s="37" t="s">
        <v>155</v>
      </c>
      <c r="I1131" s="37" t="s">
        <v>156</v>
      </c>
      <c r="J1131" s="37" t="s">
        <v>34</v>
      </c>
      <c r="K1131" s="38">
        <v>8.3333000000000004E-2</v>
      </c>
      <c r="L1131" s="39"/>
      <c r="M1131" s="37"/>
      <c r="N1131" s="40">
        <v>0.06</v>
      </c>
      <c r="O1131" s="38">
        <v>5.9408000000000002E-2</v>
      </c>
      <c r="P1131" s="38">
        <v>2.5999999999999998E-4</v>
      </c>
      <c r="Q1131" s="38">
        <v>2.8E-5</v>
      </c>
      <c r="R1131" s="40">
        <v>0.06</v>
      </c>
      <c r="S1131" s="38">
        <v>5.9408000000000002E-2</v>
      </c>
      <c r="T1131" s="38">
        <v>2.5999999999999998E-4</v>
      </c>
      <c r="U1131" s="38">
        <v>2.8E-5</v>
      </c>
      <c r="V1131" s="8">
        <f t="shared" si="17"/>
        <v>2022</v>
      </c>
    </row>
    <row r="1132" spans="1:22" s="41" customFormat="1" ht="40.799999999999997" hidden="1" x14ac:dyDescent="0.3">
      <c r="A1132" s="36">
        <v>44927</v>
      </c>
      <c r="B1132" s="37" t="s">
        <v>23</v>
      </c>
      <c r="C1132" s="37" t="s">
        <v>118</v>
      </c>
      <c r="D1132" s="37" t="s">
        <v>71</v>
      </c>
      <c r="E1132" s="37" t="s">
        <v>6</v>
      </c>
      <c r="F1132" s="37" t="s">
        <v>153</v>
      </c>
      <c r="G1132" s="37" t="s">
        <v>154</v>
      </c>
      <c r="H1132" s="37" t="s">
        <v>155</v>
      </c>
      <c r="I1132" s="37" t="s">
        <v>156</v>
      </c>
      <c r="J1132" s="37" t="s">
        <v>34</v>
      </c>
      <c r="K1132" s="38">
        <v>0</v>
      </c>
      <c r="L1132" s="39"/>
      <c r="M1132" s="37"/>
      <c r="N1132" s="40">
        <v>0</v>
      </c>
      <c r="O1132" s="38">
        <v>0</v>
      </c>
      <c r="P1132" s="38">
        <v>0</v>
      </c>
      <c r="Q1132" s="38">
        <v>0</v>
      </c>
      <c r="R1132" s="40">
        <v>0</v>
      </c>
      <c r="S1132" s="38">
        <v>0</v>
      </c>
      <c r="T1132" s="38">
        <v>0</v>
      </c>
      <c r="U1132" s="38">
        <v>0</v>
      </c>
      <c r="V1132" s="8">
        <f t="shared" si="17"/>
        <v>2023</v>
      </c>
    </row>
    <row r="1133" spans="1:22" s="41" customFormat="1" ht="40.799999999999997" hidden="1" x14ac:dyDescent="0.3">
      <c r="A1133" s="36">
        <v>44958</v>
      </c>
      <c r="B1133" s="37" t="s">
        <v>23</v>
      </c>
      <c r="C1133" s="37" t="s">
        <v>118</v>
      </c>
      <c r="D1133" s="37" t="s">
        <v>71</v>
      </c>
      <c r="E1133" s="37" t="s">
        <v>6</v>
      </c>
      <c r="F1133" s="37" t="s">
        <v>153</v>
      </c>
      <c r="G1133" s="37" t="s">
        <v>154</v>
      </c>
      <c r="H1133" s="37" t="s">
        <v>155</v>
      </c>
      <c r="I1133" s="37" t="s">
        <v>156</v>
      </c>
      <c r="J1133" s="37" t="s">
        <v>34</v>
      </c>
      <c r="K1133" s="38">
        <v>0</v>
      </c>
      <c r="L1133" s="39"/>
      <c r="M1133" s="37"/>
      <c r="N1133" s="40">
        <v>0</v>
      </c>
      <c r="O1133" s="38">
        <v>0</v>
      </c>
      <c r="P1133" s="38">
        <v>0</v>
      </c>
      <c r="Q1133" s="38">
        <v>0</v>
      </c>
      <c r="R1133" s="40">
        <v>0</v>
      </c>
      <c r="S1133" s="38">
        <v>0</v>
      </c>
      <c r="T1133" s="38">
        <v>0</v>
      </c>
      <c r="U1133" s="38">
        <v>0</v>
      </c>
      <c r="V1133" s="8">
        <f t="shared" si="17"/>
        <v>2023</v>
      </c>
    </row>
    <row r="1134" spans="1:22" s="41" customFormat="1" ht="40.799999999999997" hidden="1" x14ac:dyDescent="0.3">
      <c r="A1134" s="36">
        <v>44986</v>
      </c>
      <c r="B1134" s="37" t="s">
        <v>23</v>
      </c>
      <c r="C1134" s="37" t="s">
        <v>118</v>
      </c>
      <c r="D1134" s="37" t="s">
        <v>71</v>
      </c>
      <c r="E1134" s="37" t="s">
        <v>6</v>
      </c>
      <c r="F1134" s="37" t="s">
        <v>153</v>
      </c>
      <c r="G1134" s="37" t="s">
        <v>154</v>
      </c>
      <c r="H1134" s="37" t="s">
        <v>155</v>
      </c>
      <c r="I1134" s="37" t="s">
        <v>156</v>
      </c>
      <c r="J1134" s="37" t="s">
        <v>34</v>
      </c>
      <c r="K1134" s="38">
        <v>0</v>
      </c>
      <c r="L1134" s="39"/>
      <c r="M1134" s="37"/>
      <c r="N1134" s="40">
        <v>0</v>
      </c>
      <c r="O1134" s="38">
        <v>0</v>
      </c>
      <c r="P1134" s="38">
        <v>0</v>
      </c>
      <c r="Q1134" s="38">
        <v>0</v>
      </c>
      <c r="R1134" s="40">
        <v>0</v>
      </c>
      <c r="S1134" s="38">
        <v>0</v>
      </c>
      <c r="T1134" s="38">
        <v>0</v>
      </c>
      <c r="U1134" s="38">
        <v>0</v>
      </c>
      <c r="V1134" s="8">
        <f t="shared" si="17"/>
        <v>2023</v>
      </c>
    </row>
    <row r="1135" spans="1:22" s="41" customFormat="1" ht="40.799999999999997" hidden="1" x14ac:dyDescent="0.3">
      <c r="A1135" s="36">
        <v>45017</v>
      </c>
      <c r="B1135" s="37" t="s">
        <v>23</v>
      </c>
      <c r="C1135" s="37" t="s">
        <v>118</v>
      </c>
      <c r="D1135" s="37" t="s">
        <v>71</v>
      </c>
      <c r="E1135" s="37" t="s">
        <v>6</v>
      </c>
      <c r="F1135" s="37" t="s">
        <v>153</v>
      </c>
      <c r="G1135" s="37" t="s">
        <v>154</v>
      </c>
      <c r="H1135" s="37" t="s">
        <v>155</v>
      </c>
      <c r="I1135" s="37" t="s">
        <v>156</v>
      </c>
      <c r="J1135" s="37" t="s">
        <v>34</v>
      </c>
      <c r="K1135" s="38">
        <v>0</v>
      </c>
      <c r="L1135" s="39"/>
      <c r="M1135" s="37"/>
      <c r="N1135" s="40">
        <v>0</v>
      </c>
      <c r="O1135" s="38">
        <v>0</v>
      </c>
      <c r="P1135" s="38">
        <v>0</v>
      </c>
      <c r="Q1135" s="38">
        <v>0</v>
      </c>
      <c r="R1135" s="40">
        <v>0</v>
      </c>
      <c r="S1135" s="38">
        <v>0</v>
      </c>
      <c r="T1135" s="38">
        <v>0</v>
      </c>
      <c r="U1135" s="38">
        <v>0</v>
      </c>
      <c r="V1135" s="8">
        <f t="shared" si="17"/>
        <v>2023</v>
      </c>
    </row>
    <row r="1136" spans="1:22" s="41" customFormat="1" ht="40.799999999999997" hidden="1" x14ac:dyDescent="0.3">
      <c r="A1136" s="36">
        <v>45047</v>
      </c>
      <c r="B1136" s="37" t="s">
        <v>23</v>
      </c>
      <c r="C1136" s="37" t="s">
        <v>118</v>
      </c>
      <c r="D1136" s="37" t="s">
        <v>71</v>
      </c>
      <c r="E1136" s="37" t="s">
        <v>6</v>
      </c>
      <c r="F1136" s="37" t="s">
        <v>153</v>
      </c>
      <c r="G1136" s="37" t="s">
        <v>154</v>
      </c>
      <c r="H1136" s="37" t="s">
        <v>155</v>
      </c>
      <c r="I1136" s="37" t="s">
        <v>156</v>
      </c>
      <c r="J1136" s="37" t="s">
        <v>34</v>
      </c>
      <c r="K1136" s="38">
        <v>0</v>
      </c>
      <c r="L1136" s="39"/>
      <c r="M1136" s="37"/>
      <c r="N1136" s="40">
        <v>0</v>
      </c>
      <c r="O1136" s="38">
        <v>0</v>
      </c>
      <c r="P1136" s="38">
        <v>0</v>
      </c>
      <c r="Q1136" s="38">
        <v>0</v>
      </c>
      <c r="R1136" s="40">
        <v>0</v>
      </c>
      <c r="S1136" s="38">
        <v>0</v>
      </c>
      <c r="T1136" s="38">
        <v>0</v>
      </c>
      <c r="U1136" s="38">
        <v>0</v>
      </c>
      <c r="V1136" s="8">
        <f t="shared" si="17"/>
        <v>2023</v>
      </c>
    </row>
    <row r="1137" spans="1:22" s="41" customFormat="1" ht="40.799999999999997" hidden="1" x14ac:dyDescent="0.3">
      <c r="A1137" s="36">
        <v>45078</v>
      </c>
      <c r="B1137" s="37" t="s">
        <v>23</v>
      </c>
      <c r="C1137" s="37" t="s">
        <v>118</v>
      </c>
      <c r="D1137" s="37" t="s">
        <v>71</v>
      </c>
      <c r="E1137" s="37" t="s">
        <v>6</v>
      </c>
      <c r="F1137" s="37" t="s">
        <v>153</v>
      </c>
      <c r="G1137" s="37" t="s">
        <v>154</v>
      </c>
      <c r="H1137" s="37" t="s">
        <v>155</v>
      </c>
      <c r="I1137" s="37" t="s">
        <v>156</v>
      </c>
      <c r="J1137" s="37" t="s">
        <v>34</v>
      </c>
      <c r="K1137" s="38">
        <v>0</v>
      </c>
      <c r="L1137" s="39"/>
      <c r="M1137" s="37"/>
      <c r="N1137" s="40">
        <v>0</v>
      </c>
      <c r="O1137" s="38">
        <v>0</v>
      </c>
      <c r="P1137" s="38">
        <v>0</v>
      </c>
      <c r="Q1137" s="38">
        <v>0</v>
      </c>
      <c r="R1137" s="40">
        <v>0</v>
      </c>
      <c r="S1137" s="38">
        <v>0</v>
      </c>
      <c r="T1137" s="38">
        <v>0</v>
      </c>
      <c r="U1137" s="38">
        <v>0</v>
      </c>
      <c r="V1137" s="8">
        <f t="shared" si="17"/>
        <v>2023</v>
      </c>
    </row>
    <row r="1138" spans="1:22" s="41" customFormat="1" ht="40.799999999999997" hidden="1" x14ac:dyDescent="0.3">
      <c r="A1138" s="36">
        <v>45108</v>
      </c>
      <c r="B1138" s="37" t="s">
        <v>23</v>
      </c>
      <c r="C1138" s="37" t="s">
        <v>118</v>
      </c>
      <c r="D1138" s="37" t="s">
        <v>71</v>
      </c>
      <c r="E1138" s="37" t="s">
        <v>6</v>
      </c>
      <c r="F1138" s="37" t="s">
        <v>153</v>
      </c>
      <c r="G1138" s="37" t="s">
        <v>154</v>
      </c>
      <c r="H1138" s="37" t="s">
        <v>155</v>
      </c>
      <c r="I1138" s="37" t="s">
        <v>156</v>
      </c>
      <c r="J1138" s="37" t="s">
        <v>34</v>
      </c>
      <c r="K1138" s="38">
        <v>0</v>
      </c>
      <c r="L1138" s="39"/>
      <c r="M1138" s="37"/>
      <c r="N1138" s="40">
        <v>0</v>
      </c>
      <c r="O1138" s="38">
        <v>0</v>
      </c>
      <c r="P1138" s="38">
        <v>0</v>
      </c>
      <c r="Q1138" s="38">
        <v>0</v>
      </c>
      <c r="R1138" s="40">
        <v>0</v>
      </c>
      <c r="S1138" s="38">
        <v>0</v>
      </c>
      <c r="T1138" s="38">
        <v>0</v>
      </c>
      <c r="U1138" s="38">
        <v>0</v>
      </c>
      <c r="V1138" s="8">
        <f t="shared" si="17"/>
        <v>2023</v>
      </c>
    </row>
    <row r="1139" spans="1:22" s="41" customFormat="1" ht="40.799999999999997" hidden="1" x14ac:dyDescent="0.3">
      <c r="A1139" s="36">
        <v>45139</v>
      </c>
      <c r="B1139" s="37" t="s">
        <v>23</v>
      </c>
      <c r="C1139" s="37" t="s">
        <v>118</v>
      </c>
      <c r="D1139" s="37" t="s">
        <v>71</v>
      </c>
      <c r="E1139" s="37" t="s">
        <v>6</v>
      </c>
      <c r="F1139" s="37" t="s">
        <v>153</v>
      </c>
      <c r="G1139" s="37" t="s">
        <v>154</v>
      </c>
      <c r="H1139" s="37" t="s">
        <v>155</v>
      </c>
      <c r="I1139" s="37" t="s">
        <v>156</v>
      </c>
      <c r="J1139" s="37" t="s">
        <v>34</v>
      </c>
      <c r="K1139" s="38">
        <v>0</v>
      </c>
      <c r="L1139" s="39"/>
      <c r="M1139" s="37"/>
      <c r="N1139" s="40">
        <v>0</v>
      </c>
      <c r="O1139" s="38">
        <v>0</v>
      </c>
      <c r="P1139" s="38">
        <v>0</v>
      </c>
      <c r="Q1139" s="38">
        <v>0</v>
      </c>
      <c r="R1139" s="40">
        <v>0</v>
      </c>
      <c r="S1139" s="38">
        <v>0</v>
      </c>
      <c r="T1139" s="38">
        <v>0</v>
      </c>
      <c r="U1139" s="38">
        <v>0</v>
      </c>
      <c r="V1139" s="8">
        <f t="shared" si="17"/>
        <v>2023</v>
      </c>
    </row>
    <row r="1140" spans="1:22" s="41" customFormat="1" ht="40.799999999999997" hidden="1" x14ac:dyDescent="0.3">
      <c r="A1140" s="36">
        <v>45170</v>
      </c>
      <c r="B1140" s="37" t="s">
        <v>23</v>
      </c>
      <c r="C1140" s="37" t="s">
        <v>118</v>
      </c>
      <c r="D1140" s="37" t="s">
        <v>71</v>
      </c>
      <c r="E1140" s="37" t="s">
        <v>6</v>
      </c>
      <c r="F1140" s="37" t="s">
        <v>153</v>
      </c>
      <c r="G1140" s="37" t="s">
        <v>154</v>
      </c>
      <c r="H1140" s="37" t="s">
        <v>155</v>
      </c>
      <c r="I1140" s="37" t="s">
        <v>156</v>
      </c>
      <c r="J1140" s="37" t="s">
        <v>34</v>
      </c>
      <c r="K1140" s="38">
        <v>0</v>
      </c>
      <c r="L1140" s="39"/>
      <c r="M1140" s="37"/>
      <c r="N1140" s="40">
        <v>0</v>
      </c>
      <c r="O1140" s="38">
        <v>0</v>
      </c>
      <c r="P1140" s="38">
        <v>0</v>
      </c>
      <c r="Q1140" s="38">
        <v>0</v>
      </c>
      <c r="R1140" s="40">
        <v>0</v>
      </c>
      <c r="S1140" s="38">
        <v>0</v>
      </c>
      <c r="T1140" s="38">
        <v>0</v>
      </c>
      <c r="U1140" s="38">
        <v>0</v>
      </c>
      <c r="V1140" s="8">
        <f t="shared" ref="V1140:V1203" si="18">YEAR(A1140)</f>
        <v>2023</v>
      </c>
    </row>
    <row r="1141" spans="1:22" s="41" customFormat="1" ht="40.799999999999997" hidden="1" x14ac:dyDescent="0.3">
      <c r="A1141" s="36">
        <v>45200</v>
      </c>
      <c r="B1141" s="37" t="s">
        <v>23</v>
      </c>
      <c r="C1141" s="37" t="s">
        <v>118</v>
      </c>
      <c r="D1141" s="37" t="s">
        <v>71</v>
      </c>
      <c r="E1141" s="37" t="s">
        <v>6</v>
      </c>
      <c r="F1141" s="37" t="s">
        <v>153</v>
      </c>
      <c r="G1141" s="37" t="s">
        <v>154</v>
      </c>
      <c r="H1141" s="37" t="s">
        <v>155</v>
      </c>
      <c r="I1141" s="37" t="s">
        <v>156</v>
      </c>
      <c r="J1141" s="37" t="s">
        <v>34</v>
      </c>
      <c r="K1141" s="38">
        <v>0</v>
      </c>
      <c r="L1141" s="39"/>
      <c r="M1141" s="37"/>
      <c r="N1141" s="40">
        <v>0</v>
      </c>
      <c r="O1141" s="38">
        <v>0</v>
      </c>
      <c r="P1141" s="38">
        <v>0</v>
      </c>
      <c r="Q1141" s="38">
        <v>0</v>
      </c>
      <c r="R1141" s="40">
        <v>0</v>
      </c>
      <c r="S1141" s="38">
        <v>0</v>
      </c>
      <c r="T1141" s="38">
        <v>0</v>
      </c>
      <c r="U1141" s="38">
        <v>0</v>
      </c>
      <c r="V1141" s="8">
        <f t="shared" si="18"/>
        <v>2023</v>
      </c>
    </row>
    <row r="1142" spans="1:22" s="41" customFormat="1" ht="40.799999999999997" hidden="1" x14ac:dyDescent="0.3">
      <c r="A1142" s="36">
        <v>45231</v>
      </c>
      <c r="B1142" s="37" t="s">
        <v>23</v>
      </c>
      <c r="C1142" s="37" t="s">
        <v>118</v>
      </c>
      <c r="D1142" s="37" t="s">
        <v>71</v>
      </c>
      <c r="E1142" s="37" t="s">
        <v>6</v>
      </c>
      <c r="F1142" s="37" t="s">
        <v>153</v>
      </c>
      <c r="G1142" s="37" t="s">
        <v>154</v>
      </c>
      <c r="H1142" s="37" t="s">
        <v>155</v>
      </c>
      <c r="I1142" s="37" t="s">
        <v>156</v>
      </c>
      <c r="J1142" s="37" t="s">
        <v>34</v>
      </c>
      <c r="K1142" s="38">
        <v>0</v>
      </c>
      <c r="L1142" s="39"/>
      <c r="M1142" s="37"/>
      <c r="N1142" s="40">
        <v>0</v>
      </c>
      <c r="O1142" s="38">
        <v>0</v>
      </c>
      <c r="P1142" s="38">
        <v>0</v>
      </c>
      <c r="Q1142" s="38">
        <v>0</v>
      </c>
      <c r="R1142" s="40">
        <v>0</v>
      </c>
      <c r="S1142" s="38">
        <v>0</v>
      </c>
      <c r="T1142" s="38">
        <v>0</v>
      </c>
      <c r="U1142" s="38">
        <v>0</v>
      </c>
      <c r="V1142" s="8">
        <f t="shared" si="18"/>
        <v>2023</v>
      </c>
    </row>
    <row r="1143" spans="1:22" s="41" customFormat="1" ht="40.799999999999997" hidden="1" x14ac:dyDescent="0.3">
      <c r="A1143" s="36">
        <v>45261</v>
      </c>
      <c r="B1143" s="37" t="s">
        <v>23</v>
      </c>
      <c r="C1143" s="37" t="s">
        <v>118</v>
      </c>
      <c r="D1143" s="37" t="s">
        <v>71</v>
      </c>
      <c r="E1143" s="37" t="s">
        <v>6</v>
      </c>
      <c r="F1143" s="37" t="s">
        <v>153</v>
      </c>
      <c r="G1143" s="37" t="s">
        <v>154</v>
      </c>
      <c r="H1143" s="37" t="s">
        <v>155</v>
      </c>
      <c r="I1143" s="37" t="s">
        <v>156</v>
      </c>
      <c r="J1143" s="37" t="s">
        <v>34</v>
      </c>
      <c r="K1143" s="38">
        <v>0.05</v>
      </c>
      <c r="L1143" s="39"/>
      <c r="M1143" s="37"/>
      <c r="N1143" s="40">
        <v>3.5999999999999997E-2</v>
      </c>
      <c r="O1143" s="38">
        <v>3.5645000000000003E-2</v>
      </c>
      <c r="P1143" s="38">
        <v>1.56E-4</v>
      </c>
      <c r="Q1143" s="38">
        <v>1.7E-5</v>
      </c>
      <c r="R1143" s="40">
        <v>3.5999999999999997E-2</v>
      </c>
      <c r="S1143" s="38">
        <v>3.5645000000000003E-2</v>
      </c>
      <c r="T1143" s="38">
        <v>1.56E-4</v>
      </c>
      <c r="U1143" s="38">
        <v>1.7E-5</v>
      </c>
      <c r="V1143" s="8">
        <f t="shared" si="18"/>
        <v>2023</v>
      </c>
    </row>
    <row r="1144" spans="1:22" s="41" customFormat="1" ht="14.4" hidden="1" x14ac:dyDescent="0.3">
      <c r="A1144" s="36">
        <v>44562</v>
      </c>
      <c r="B1144" s="37" t="s">
        <v>19</v>
      </c>
      <c r="C1144" s="37" t="s">
        <v>157</v>
      </c>
      <c r="D1144" s="37" t="s">
        <v>72</v>
      </c>
      <c r="E1144" s="37" t="s">
        <v>5</v>
      </c>
      <c r="F1144" s="37" t="s">
        <v>158</v>
      </c>
      <c r="G1144" s="37" t="s">
        <v>159</v>
      </c>
      <c r="H1144" s="37" t="s">
        <v>126</v>
      </c>
      <c r="I1144" s="37" t="s">
        <v>127</v>
      </c>
      <c r="J1144" s="37" t="s">
        <v>34</v>
      </c>
      <c r="K1144" s="38">
        <v>75.834249999999997</v>
      </c>
      <c r="L1144" s="42">
        <v>2334.98</v>
      </c>
      <c r="M1144" s="37" t="s">
        <v>117</v>
      </c>
      <c r="N1144" s="40">
        <v>13.744</v>
      </c>
      <c r="O1144" s="38">
        <v>13.729657</v>
      </c>
      <c r="P1144" s="38">
        <v>7.064E-3</v>
      </c>
      <c r="Q1144" s="38">
        <v>7.711E-3</v>
      </c>
      <c r="R1144" s="40">
        <v>13.744</v>
      </c>
      <c r="S1144" s="38">
        <v>13.729657</v>
      </c>
      <c r="T1144" s="38">
        <v>7.064E-3</v>
      </c>
      <c r="U1144" s="38">
        <v>7.711E-3</v>
      </c>
      <c r="V1144" s="8">
        <f t="shared" si="18"/>
        <v>2022</v>
      </c>
    </row>
    <row r="1145" spans="1:22" s="41" customFormat="1" ht="14.4" hidden="1" x14ac:dyDescent="0.3">
      <c r="A1145" s="36">
        <v>44562</v>
      </c>
      <c r="B1145" s="37" t="s">
        <v>20</v>
      </c>
      <c r="C1145" s="37" t="s">
        <v>157</v>
      </c>
      <c r="D1145" s="37" t="s">
        <v>72</v>
      </c>
      <c r="E1145" s="37" t="s">
        <v>5</v>
      </c>
      <c r="F1145" s="37" t="s">
        <v>158</v>
      </c>
      <c r="G1145" s="37" t="s">
        <v>159</v>
      </c>
      <c r="H1145" s="37" t="s">
        <v>126</v>
      </c>
      <c r="I1145" s="37" t="s">
        <v>127</v>
      </c>
      <c r="J1145" s="37" t="s">
        <v>34</v>
      </c>
      <c r="K1145" s="38">
        <v>0</v>
      </c>
      <c r="L1145" s="39"/>
      <c r="M1145" s="37" t="s">
        <v>117</v>
      </c>
      <c r="N1145" s="40">
        <v>0</v>
      </c>
      <c r="O1145" s="38">
        <v>0</v>
      </c>
      <c r="P1145" s="38">
        <v>0</v>
      </c>
      <c r="Q1145" s="38">
        <v>0</v>
      </c>
      <c r="R1145" s="39" t="s">
        <v>117</v>
      </c>
      <c r="S1145" s="39"/>
      <c r="T1145" s="39"/>
      <c r="U1145" s="39"/>
      <c r="V1145" s="8">
        <f t="shared" si="18"/>
        <v>2022</v>
      </c>
    </row>
    <row r="1146" spans="1:22" s="41" customFormat="1" ht="14.4" hidden="1" x14ac:dyDescent="0.3">
      <c r="A1146" s="36">
        <v>44593</v>
      </c>
      <c r="B1146" s="37" t="s">
        <v>19</v>
      </c>
      <c r="C1146" s="37" t="s">
        <v>157</v>
      </c>
      <c r="D1146" s="37" t="s">
        <v>72</v>
      </c>
      <c r="E1146" s="37" t="s">
        <v>5</v>
      </c>
      <c r="F1146" s="37" t="s">
        <v>158</v>
      </c>
      <c r="G1146" s="37" t="s">
        <v>159</v>
      </c>
      <c r="H1146" s="37" t="s">
        <v>126</v>
      </c>
      <c r="I1146" s="37" t="s">
        <v>127</v>
      </c>
      <c r="J1146" s="37" t="s">
        <v>34</v>
      </c>
      <c r="K1146" s="38">
        <v>41.525416</v>
      </c>
      <c r="L1146" s="42">
        <v>1296.6099999999999</v>
      </c>
      <c r="M1146" s="37" t="s">
        <v>117</v>
      </c>
      <c r="N1146" s="40">
        <v>7.5259999999999998</v>
      </c>
      <c r="O1146" s="38">
        <v>7.518103</v>
      </c>
      <c r="P1146" s="38">
        <v>3.8679999999999999E-3</v>
      </c>
      <c r="Q1146" s="38">
        <v>4.2220000000000001E-3</v>
      </c>
      <c r="R1146" s="40">
        <v>7.5259999999999998</v>
      </c>
      <c r="S1146" s="38">
        <v>7.518103</v>
      </c>
      <c r="T1146" s="38">
        <v>3.8679999999999999E-3</v>
      </c>
      <c r="U1146" s="38">
        <v>4.2220000000000001E-3</v>
      </c>
      <c r="V1146" s="8">
        <f t="shared" si="18"/>
        <v>2022</v>
      </c>
    </row>
    <row r="1147" spans="1:22" s="41" customFormat="1" ht="14.4" hidden="1" x14ac:dyDescent="0.3">
      <c r="A1147" s="36">
        <v>44593</v>
      </c>
      <c r="B1147" s="37" t="s">
        <v>20</v>
      </c>
      <c r="C1147" s="37" t="s">
        <v>157</v>
      </c>
      <c r="D1147" s="37" t="s">
        <v>72</v>
      </c>
      <c r="E1147" s="37" t="s">
        <v>5</v>
      </c>
      <c r="F1147" s="37" t="s">
        <v>158</v>
      </c>
      <c r="G1147" s="37" t="s">
        <v>159</v>
      </c>
      <c r="H1147" s="37" t="s">
        <v>126</v>
      </c>
      <c r="I1147" s="37" t="s">
        <v>127</v>
      </c>
      <c r="J1147" s="37" t="s">
        <v>34</v>
      </c>
      <c r="K1147" s="38">
        <v>0</v>
      </c>
      <c r="L1147" s="39"/>
      <c r="M1147" s="37" t="s">
        <v>117</v>
      </c>
      <c r="N1147" s="40">
        <v>0</v>
      </c>
      <c r="O1147" s="38">
        <v>0</v>
      </c>
      <c r="P1147" s="38">
        <v>0</v>
      </c>
      <c r="Q1147" s="38">
        <v>0</v>
      </c>
      <c r="R1147" s="39" t="s">
        <v>117</v>
      </c>
      <c r="S1147" s="39"/>
      <c r="T1147" s="39"/>
      <c r="U1147" s="39"/>
      <c r="V1147" s="8">
        <f t="shared" si="18"/>
        <v>2022</v>
      </c>
    </row>
    <row r="1148" spans="1:22" s="41" customFormat="1" ht="14.4" hidden="1" x14ac:dyDescent="0.3">
      <c r="A1148" s="36">
        <v>44621</v>
      </c>
      <c r="B1148" s="37" t="s">
        <v>19</v>
      </c>
      <c r="C1148" s="37" t="s">
        <v>157</v>
      </c>
      <c r="D1148" s="37" t="s">
        <v>72</v>
      </c>
      <c r="E1148" s="37" t="s">
        <v>5</v>
      </c>
      <c r="F1148" s="37" t="s">
        <v>158</v>
      </c>
      <c r="G1148" s="37" t="s">
        <v>159</v>
      </c>
      <c r="H1148" s="37" t="s">
        <v>126</v>
      </c>
      <c r="I1148" s="37" t="s">
        <v>127</v>
      </c>
      <c r="J1148" s="37" t="s">
        <v>34</v>
      </c>
      <c r="K1148" s="38">
        <v>27.092251999999998</v>
      </c>
      <c r="L1148" s="42">
        <v>865.45</v>
      </c>
      <c r="M1148" s="37" t="s">
        <v>117</v>
      </c>
      <c r="N1148" s="40">
        <v>4.91</v>
      </c>
      <c r="O1148" s="38">
        <v>4.9050039999999999</v>
      </c>
      <c r="P1148" s="38">
        <v>2.5240000000000002E-3</v>
      </c>
      <c r="Q1148" s="38">
        <v>2.7550000000000001E-3</v>
      </c>
      <c r="R1148" s="40">
        <v>4.91</v>
      </c>
      <c r="S1148" s="38">
        <v>4.9050039999999999</v>
      </c>
      <c r="T1148" s="38">
        <v>2.5240000000000002E-3</v>
      </c>
      <c r="U1148" s="38">
        <v>2.7550000000000001E-3</v>
      </c>
      <c r="V1148" s="8">
        <f t="shared" si="18"/>
        <v>2022</v>
      </c>
    </row>
    <row r="1149" spans="1:22" s="41" customFormat="1" ht="14.4" hidden="1" x14ac:dyDescent="0.3">
      <c r="A1149" s="36">
        <v>44621</v>
      </c>
      <c r="B1149" s="37" t="s">
        <v>20</v>
      </c>
      <c r="C1149" s="37" t="s">
        <v>157</v>
      </c>
      <c r="D1149" s="37" t="s">
        <v>72</v>
      </c>
      <c r="E1149" s="37" t="s">
        <v>5</v>
      </c>
      <c r="F1149" s="37" t="s">
        <v>158</v>
      </c>
      <c r="G1149" s="37" t="s">
        <v>159</v>
      </c>
      <c r="H1149" s="37" t="s">
        <v>126</v>
      </c>
      <c r="I1149" s="37" t="s">
        <v>127</v>
      </c>
      <c r="J1149" s="37" t="s">
        <v>34</v>
      </c>
      <c r="K1149" s="38">
        <v>0</v>
      </c>
      <c r="L1149" s="39"/>
      <c r="M1149" s="37" t="s">
        <v>117</v>
      </c>
      <c r="N1149" s="40">
        <v>0</v>
      </c>
      <c r="O1149" s="38">
        <v>0</v>
      </c>
      <c r="P1149" s="38">
        <v>0</v>
      </c>
      <c r="Q1149" s="38">
        <v>0</v>
      </c>
      <c r="R1149" s="39" t="s">
        <v>117</v>
      </c>
      <c r="S1149" s="39"/>
      <c r="T1149" s="39"/>
      <c r="U1149" s="39"/>
      <c r="V1149" s="8">
        <f t="shared" si="18"/>
        <v>2022</v>
      </c>
    </row>
    <row r="1150" spans="1:22" s="41" customFormat="1" ht="14.4" hidden="1" x14ac:dyDescent="0.3">
      <c r="A1150" s="36">
        <v>44652</v>
      </c>
      <c r="B1150" s="37" t="s">
        <v>19</v>
      </c>
      <c r="C1150" s="37" t="s">
        <v>157</v>
      </c>
      <c r="D1150" s="37" t="s">
        <v>72</v>
      </c>
      <c r="E1150" s="37" t="s">
        <v>5</v>
      </c>
      <c r="F1150" s="37" t="s">
        <v>158</v>
      </c>
      <c r="G1150" s="37" t="s">
        <v>159</v>
      </c>
      <c r="H1150" s="37" t="s">
        <v>126</v>
      </c>
      <c r="I1150" s="37" t="s">
        <v>127</v>
      </c>
      <c r="J1150" s="37" t="s">
        <v>34</v>
      </c>
      <c r="K1150" s="38">
        <v>13.080055</v>
      </c>
      <c r="L1150" s="42">
        <v>441.76</v>
      </c>
      <c r="M1150" s="37" t="s">
        <v>117</v>
      </c>
      <c r="N1150" s="40">
        <v>2.371</v>
      </c>
      <c r="O1150" s="38">
        <v>2.3681209999999999</v>
      </c>
      <c r="P1150" s="38">
        <v>1.2179999999999999E-3</v>
      </c>
      <c r="Q1150" s="38">
        <v>1.33E-3</v>
      </c>
      <c r="R1150" s="40">
        <v>2.371</v>
      </c>
      <c r="S1150" s="38">
        <v>2.3681209999999999</v>
      </c>
      <c r="T1150" s="38">
        <v>1.2179999999999999E-3</v>
      </c>
      <c r="U1150" s="38">
        <v>1.33E-3</v>
      </c>
      <c r="V1150" s="8">
        <f t="shared" si="18"/>
        <v>2022</v>
      </c>
    </row>
    <row r="1151" spans="1:22" s="41" customFormat="1" ht="14.4" hidden="1" x14ac:dyDescent="0.3">
      <c r="A1151" s="36">
        <v>44652</v>
      </c>
      <c r="B1151" s="37" t="s">
        <v>20</v>
      </c>
      <c r="C1151" s="37" t="s">
        <v>157</v>
      </c>
      <c r="D1151" s="37" t="s">
        <v>72</v>
      </c>
      <c r="E1151" s="37" t="s">
        <v>5</v>
      </c>
      <c r="F1151" s="37" t="s">
        <v>158</v>
      </c>
      <c r="G1151" s="37" t="s">
        <v>159</v>
      </c>
      <c r="H1151" s="37" t="s">
        <v>126</v>
      </c>
      <c r="I1151" s="37" t="s">
        <v>127</v>
      </c>
      <c r="J1151" s="37" t="s">
        <v>34</v>
      </c>
      <c r="K1151" s="38">
        <v>0</v>
      </c>
      <c r="L1151" s="39"/>
      <c r="M1151" s="37" t="s">
        <v>117</v>
      </c>
      <c r="N1151" s="40">
        <v>0</v>
      </c>
      <c r="O1151" s="38">
        <v>0</v>
      </c>
      <c r="P1151" s="38">
        <v>0</v>
      </c>
      <c r="Q1151" s="38">
        <v>0</v>
      </c>
      <c r="R1151" s="39" t="s">
        <v>117</v>
      </c>
      <c r="S1151" s="39"/>
      <c r="T1151" s="39"/>
      <c r="U1151" s="39"/>
      <c r="V1151" s="8">
        <f t="shared" si="18"/>
        <v>2022</v>
      </c>
    </row>
    <row r="1152" spans="1:22" s="41" customFormat="1" ht="14.4" hidden="1" x14ac:dyDescent="0.3">
      <c r="A1152" s="36">
        <v>44682</v>
      </c>
      <c r="B1152" s="37" t="s">
        <v>19</v>
      </c>
      <c r="C1152" s="37" t="s">
        <v>157</v>
      </c>
      <c r="D1152" s="37" t="s">
        <v>72</v>
      </c>
      <c r="E1152" s="37" t="s">
        <v>5</v>
      </c>
      <c r="F1152" s="37" t="s">
        <v>158</v>
      </c>
      <c r="G1152" s="37" t="s">
        <v>159</v>
      </c>
      <c r="H1152" s="37" t="s">
        <v>126</v>
      </c>
      <c r="I1152" s="37" t="s">
        <v>127</v>
      </c>
      <c r="J1152" s="37" t="s">
        <v>34</v>
      </c>
      <c r="K1152" s="38">
        <v>6.0137999999999997E-2</v>
      </c>
      <c r="L1152" s="42">
        <v>41.62</v>
      </c>
      <c r="M1152" s="37" t="s">
        <v>117</v>
      </c>
      <c r="N1152" s="40">
        <v>1.0999999999999999E-2</v>
      </c>
      <c r="O1152" s="38">
        <v>1.0888E-2</v>
      </c>
      <c r="P1152" s="38">
        <v>6.0000000000000002E-6</v>
      </c>
      <c r="Q1152" s="38">
        <v>6.0000000000000002E-6</v>
      </c>
      <c r="R1152" s="40">
        <v>1.0999999999999999E-2</v>
      </c>
      <c r="S1152" s="38">
        <v>1.0888E-2</v>
      </c>
      <c r="T1152" s="38">
        <v>6.0000000000000002E-6</v>
      </c>
      <c r="U1152" s="38">
        <v>6.0000000000000002E-6</v>
      </c>
      <c r="V1152" s="8">
        <f t="shared" si="18"/>
        <v>2022</v>
      </c>
    </row>
    <row r="1153" spans="1:22" s="41" customFormat="1" ht="14.4" hidden="1" x14ac:dyDescent="0.3">
      <c r="A1153" s="36">
        <v>44682</v>
      </c>
      <c r="B1153" s="37" t="s">
        <v>20</v>
      </c>
      <c r="C1153" s="37" t="s">
        <v>157</v>
      </c>
      <c r="D1153" s="37" t="s">
        <v>72</v>
      </c>
      <c r="E1153" s="37" t="s">
        <v>5</v>
      </c>
      <c r="F1153" s="37" t="s">
        <v>158</v>
      </c>
      <c r="G1153" s="37" t="s">
        <v>159</v>
      </c>
      <c r="H1153" s="37" t="s">
        <v>126</v>
      </c>
      <c r="I1153" s="37" t="s">
        <v>127</v>
      </c>
      <c r="J1153" s="37" t="s">
        <v>34</v>
      </c>
      <c r="K1153" s="38">
        <v>0</v>
      </c>
      <c r="L1153" s="39"/>
      <c r="M1153" s="37" t="s">
        <v>117</v>
      </c>
      <c r="N1153" s="40">
        <v>0</v>
      </c>
      <c r="O1153" s="38">
        <v>0</v>
      </c>
      <c r="P1153" s="38">
        <v>0</v>
      </c>
      <c r="Q1153" s="38">
        <v>0</v>
      </c>
      <c r="R1153" s="39" t="s">
        <v>117</v>
      </c>
      <c r="S1153" s="39"/>
      <c r="T1153" s="39"/>
      <c r="U1153" s="39"/>
      <c r="V1153" s="8">
        <f t="shared" si="18"/>
        <v>2022</v>
      </c>
    </row>
    <row r="1154" spans="1:22" s="41" customFormat="1" ht="14.4" hidden="1" x14ac:dyDescent="0.3">
      <c r="A1154" s="36">
        <v>44713</v>
      </c>
      <c r="B1154" s="37" t="s">
        <v>19</v>
      </c>
      <c r="C1154" s="37" t="s">
        <v>157</v>
      </c>
      <c r="D1154" s="37" t="s">
        <v>72</v>
      </c>
      <c r="E1154" s="37" t="s">
        <v>5</v>
      </c>
      <c r="F1154" s="37" t="s">
        <v>158</v>
      </c>
      <c r="G1154" s="37" t="s">
        <v>159</v>
      </c>
      <c r="H1154" s="37" t="s">
        <v>126</v>
      </c>
      <c r="I1154" s="37" t="s">
        <v>127</v>
      </c>
      <c r="J1154" s="37" t="s">
        <v>34</v>
      </c>
      <c r="K1154" s="38">
        <v>0</v>
      </c>
      <c r="L1154" s="42">
        <v>39.75</v>
      </c>
      <c r="M1154" s="37" t="s">
        <v>117</v>
      </c>
      <c r="N1154" s="40">
        <v>0</v>
      </c>
      <c r="O1154" s="38">
        <v>0</v>
      </c>
      <c r="P1154" s="38">
        <v>0</v>
      </c>
      <c r="Q1154" s="38">
        <v>0</v>
      </c>
      <c r="R1154" s="40">
        <v>0</v>
      </c>
      <c r="S1154" s="38">
        <v>0</v>
      </c>
      <c r="T1154" s="38">
        <v>0</v>
      </c>
      <c r="U1154" s="38">
        <v>0</v>
      </c>
      <c r="V1154" s="8">
        <f t="shared" si="18"/>
        <v>2022</v>
      </c>
    </row>
    <row r="1155" spans="1:22" s="41" customFormat="1" ht="14.4" hidden="1" x14ac:dyDescent="0.3">
      <c r="A1155" s="36">
        <v>44713</v>
      </c>
      <c r="B1155" s="37" t="s">
        <v>20</v>
      </c>
      <c r="C1155" s="37" t="s">
        <v>157</v>
      </c>
      <c r="D1155" s="37" t="s">
        <v>72</v>
      </c>
      <c r="E1155" s="37" t="s">
        <v>5</v>
      </c>
      <c r="F1155" s="37" t="s">
        <v>158</v>
      </c>
      <c r="G1155" s="37" t="s">
        <v>159</v>
      </c>
      <c r="H1155" s="37" t="s">
        <v>126</v>
      </c>
      <c r="I1155" s="37" t="s">
        <v>127</v>
      </c>
      <c r="J1155" s="37" t="s">
        <v>34</v>
      </c>
      <c r="K1155" s="38">
        <v>0</v>
      </c>
      <c r="L1155" s="39"/>
      <c r="M1155" s="37" t="s">
        <v>117</v>
      </c>
      <c r="N1155" s="40">
        <v>0</v>
      </c>
      <c r="O1155" s="38">
        <v>0</v>
      </c>
      <c r="P1155" s="38">
        <v>0</v>
      </c>
      <c r="Q1155" s="38">
        <v>0</v>
      </c>
      <c r="R1155" s="39" t="s">
        <v>117</v>
      </c>
      <c r="S1155" s="39"/>
      <c r="T1155" s="39"/>
      <c r="U1155" s="39"/>
      <c r="V1155" s="8">
        <f t="shared" si="18"/>
        <v>2022</v>
      </c>
    </row>
    <row r="1156" spans="1:22" s="41" customFormat="1" ht="14.4" hidden="1" x14ac:dyDescent="0.3">
      <c r="A1156" s="36">
        <v>44743</v>
      </c>
      <c r="B1156" s="37" t="s">
        <v>19</v>
      </c>
      <c r="C1156" s="37" t="s">
        <v>157</v>
      </c>
      <c r="D1156" s="37" t="s">
        <v>72</v>
      </c>
      <c r="E1156" s="37" t="s">
        <v>5</v>
      </c>
      <c r="F1156" s="37" t="s">
        <v>158</v>
      </c>
      <c r="G1156" s="37" t="s">
        <v>159</v>
      </c>
      <c r="H1156" s="37" t="s">
        <v>126</v>
      </c>
      <c r="I1156" s="37" t="s">
        <v>127</v>
      </c>
      <c r="J1156" s="37" t="s">
        <v>34</v>
      </c>
      <c r="K1156" s="38">
        <v>0</v>
      </c>
      <c r="L1156" s="42">
        <v>39.75</v>
      </c>
      <c r="M1156" s="37" t="s">
        <v>117</v>
      </c>
      <c r="N1156" s="40">
        <v>0</v>
      </c>
      <c r="O1156" s="38">
        <v>0</v>
      </c>
      <c r="P1156" s="38">
        <v>0</v>
      </c>
      <c r="Q1156" s="38">
        <v>0</v>
      </c>
      <c r="R1156" s="40">
        <v>0</v>
      </c>
      <c r="S1156" s="38">
        <v>0</v>
      </c>
      <c r="T1156" s="38">
        <v>0</v>
      </c>
      <c r="U1156" s="38">
        <v>0</v>
      </c>
      <c r="V1156" s="8">
        <f t="shared" si="18"/>
        <v>2022</v>
      </c>
    </row>
    <row r="1157" spans="1:22" s="41" customFormat="1" ht="14.4" hidden="1" x14ac:dyDescent="0.3">
      <c r="A1157" s="36">
        <v>44743</v>
      </c>
      <c r="B1157" s="37" t="s">
        <v>20</v>
      </c>
      <c r="C1157" s="37" t="s">
        <v>157</v>
      </c>
      <c r="D1157" s="37" t="s">
        <v>72</v>
      </c>
      <c r="E1157" s="37" t="s">
        <v>5</v>
      </c>
      <c r="F1157" s="37" t="s">
        <v>158</v>
      </c>
      <c r="G1157" s="37" t="s">
        <v>159</v>
      </c>
      <c r="H1157" s="37" t="s">
        <v>126</v>
      </c>
      <c r="I1157" s="37" t="s">
        <v>127</v>
      </c>
      <c r="J1157" s="37" t="s">
        <v>34</v>
      </c>
      <c r="K1157" s="38">
        <v>0</v>
      </c>
      <c r="L1157" s="39"/>
      <c r="M1157" s="37" t="s">
        <v>117</v>
      </c>
      <c r="N1157" s="40">
        <v>0</v>
      </c>
      <c r="O1157" s="38">
        <v>0</v>
      </c>
      <c r="P1157" s="38">
        <v>0</v>
      </c>
      <c r="Q1157" s="38">
        <v>0</v>
      </c>
      <c r="R1157" s="39" t="s">
        <v>117</v>
      </c>
      <c r="S1157" s="39"/>
      <c r="T1157" s="39"/>
      <c r="U1157" s="39"/>
      <c r="V1157" s="8">
        <f t="shared" si="18"/>
        <v>2022</v>
      </c>
    </row>
    <row r="1158" spans="1:22" s="41" customFormat="1" ht="14.4" hidden="1" x14ac:dyDescent="0.3">
      <c r="A1158" s="36">
        <v>44774</v>
      </c>
      <c r="B1158" s="37" t="s">
        <v>19</v>
      </c>
      <c r="C1158" s="37" t="s">
        <v>157</v>
      </c>
      <c r="D1158" s="37" t="s">
        <v>72</v>
      </c>
      <c r="E1158" s="37" t="s">
        <v>5</v>
      </c>
      <c r="F1158" s="37" t="s">
        <v>158</v>
      </c>
      <c r="G1158" s="37" t="s">
        <v>159</v>
      </c>
      <c r="H1158" s="37" t="s">
        <v>126</v>
      </c>
      <c r="I1158" s="37" t="s">
        <v>127</v>
      </c>
      <c r="J1158" s="37" t="s">
        <v>34</v>
      </c>
      <c r="K1158" s="38">
        <v>0</v>
      </c>
      <c r="L1158" s="42">
        <v>39.75</v>
      </c>
      <c r="M1158" s="37" t="s">
        <v>117</v>
      </c>
      <c r="N1158" s="40">
        <v>0</v>
      </c>
      <c r="O1158" s="38">
        <v>0</v>
      </c>
      <c r="P1158" s="38">
        <v>0</v>
      </c>
      <c r="Q1158" s="38">
        <v>0</v>
      </c>
      <c r="R1158" s="40">
        <v>0</v>
      </c>
      <c r="S1158" s="38">
        <v>0</v>
      </c>
      <c r="T1158" s="38">
        <v>0</v>
      </c>
      <c r="U1158" s="38">
        <v>0</v>
      </c>
      <c r="V1158" s="8">
        <f t="shared" si="18"/>
        <v>2022</v>
      </c>
    </row>
    <row r="1159" spans="1:22" s="41" customFormat="1" ht="14.4" hidden="1" x14ac:dyDescent="0.3">
      <c r="A1159" s="36">
        <v>44774</v>
      </c>
      <c r="B1159" s="37" t="s">
        <v>20</v>
      </c>
      <c r="C1159" s="37" t="s">
        <v>157</v>
      </c>
      <c r="D1159" s="37" t="s">
        <v>72</v>
      </c>
      <c r="E1159" s="37" t="s">
        <v>5</v>
      </c>
      <c r="F1159" s="37" t="s">
        <v>158</v>
      </c>
      <c r="G1159" s="37" t="s">
        <v>159</v>
      </c>
      <c r="H1159" s="37" t="s">
        <v>126</v>
      </c>
      <c r="I1159" s="37" t="s">
        <v>127</v>
      </c>
      <c r="J1159" s="37" t="s">
        <v>34</v>
      </c>
      <c r="K1159" s="38">
        <v>0</v>
      </c>
      <c r="L1159" s="39"/>
      <c r="M1159" s="37" t="s">
        <v>117</v>
      </c>
      <c r="N1159" s="40">
        <v>0</v>
      </c>
      <c r="O1159" s="38">
        <v>0</v>
      </c>
      <c r="P1159" s="38">
        <v>0</v>
      </c>
      <c r="Q1159" s="38">
        <v>0</v>
      </c>
      <c r="R1159" s="39" t="s">
        <v>117</v>
      </c>
      <c r="S1159" s="39"/>
      <c r="T1159" s="39"/>
      <c r="U1159" s="39"/>
      <c r="V1159" s="8">
        <f t="shared" si="18"/>
        <v>2022</v>
      </c>
    </row>
    <row r="1160" spans="1:22" s="41" customFormat="1" ht="14.4" hidden="1" x14ac:dyDescent="0.3">
      <c r="A1160" s="36">
        <v>44805</v>
      </c>
      <c r="B1160" s="37" t="s">
        <v>19</v>
      </c>
      <c r="C1160" s="37" t="s">
        <v>157</v>
      </c>
      <c r="D1160" s="37" t="s">
        <v>72</v>
      </c>
      <c r="E1160" s="37" t="s">
        <v>5</v>
      </c>
      <c r="F1160" s="37" t="s">
        <v>158</v>
      </c>
      <c r="G1160" s="37" t="s">
        <v>159</v>
      </c>
      <c r="H1160" s="37" t="s">
        <v>126</v>
      </c>
      <c r="I1160" s="37" t="s">
        <v>127</v>
      </c>
      <c r="J1160" s="37" t="s">
        <v>34</v>
      </c>
      <c r="K1160" s="38">
        <v>4.4201560000000004</v>
      </c>
      <c r="L1160" s="42">
        <v>235.86</v>
      </c>
      <c r="M1160" s="37" t="s">
        <v>117</v>
      </c>
      <c r="N1160" s="40">
        <v>0.80100000000000005</v>
      </c>
      <c r="O1160" s="38">
        <v>0.80026200000000003</v>
      </c>
      <c r="P1160" s="38">
        <v>4.1199999999999999E-4</v>
      </c>
      <c r="Q1160" s="38">
        <v>4.4900000000000002E-4</v>
      </c>
      <c r="R1160" s="40">
        <v>0.80100000000000005</v>
      </c>
      <c r="S1160" s="38">
        <v>0.80026200000000003</v>
      </c>
      <c r="T1160" s="38">
        <v>4.1199999999999999E-4</v>
      </c>
      <c r="U1160" s="38">
        <v>4.4900000000000002E-4</v>
      </c>
      <c r="V1160" s="8">
        <f t="shared" si="18"/>
        <v>2022</v>
      </c>
    </row>
    <row r="1161" spans="1:22" s="41" customFormat="1" ht="14.4" hidden="1" x14ac:dyDescent="0.3">
      <c r="A1161" s="36">
        <v>44805</v>
      </c>
      <c r="B1161" s="37" t="s">
        <v>20</v>
      </c>
      <c r="C1161" s="37" t="s">
        <v>157</v>
      </c>
      <c r="D1161" s="37" t="s">
        <v>72</v>
      </c>
      <c r="E1161" s="37" t="s">
        <v>5</v>
      </c>
      <c r="F1161" s="37" t="s">
        <v>158</v>
      </c>
      <c r="G1161" s="37" t="s">
        <v>159</v>
      </c>
      <c r="H1161" s="37" t="s">
        <v>126</v>
      </c>
      <c r="I1161" s="37" t="s">
        <v>127</v>
      </c>
      <c r="J1161" s="37" t="s">
        <v>34</v>
      </c>
      <c r="K1161" s="38">
        <v>0</v>
      </c>
      <c r="L1161" s="39"/>
      <c r="M1161" s="37" t="s">
        <v>117</v>
      </c>
      <c r="N1161" s="40">
        <v>0</v>
      </c>
      <c r="O1161" s="38">
        <v>0</v>
      </c>
      <c r="P1161" s="38">
        <v>0</v>
      </c>
      <c r="Q1161" s="38">
        <v>0</v>
      </c>
      <c r="R1161" s="39" t="s">
        <v>117</v>
      </c>
      <c r="S1161" s="39"/>
      <c r="T1161" s="39"/>
      <c r="U1161" s="39"/>
      <c r="V1161" s="8">
        <f t="shared" si="18"/>
        <v>2022</v>
      </c>
    </row>
    <row r="1162" spans="1:22" s="41" customFormat="1" ht="14.4" hidden="1" x14ac:dyDescent="0.3">
      <c r="A1162" s="36">
        <v>44835</v>
      </c>
      <c r="B1162" s="37" t="s">
        <v>19</v>
      </c>
      <c r="C1162" s="37" t="s">
        <v>157</v>
      </c>
      <c r="D1162" s="37" t="s">
        <v>72</v>
      </c>
      <c r="E1162" s="37" t="s">
        <v>5</v>
      </c>
      <c r="F1162" s="37" t="s">
        <v>158</v>
      </c>
      <c r="G1162" s="37" t="s">
        <v>159</v>
      </c>
      <c r="H1162" s="37" t="s">
        <v>126</v>
      </c>
      <c r="I1162" s="37" t="s">
        <v>127</v>
      </c>
      <c r="J1162" s="37" t="s">
        <v>34</v>
      </c>
      <c r="K1162" s="38">
        <v>16.89883</v>
      </c>
      <c r="L1162" s="42">
        <v>770.53</v>
      </c>
      <c r="M1162" s="37" t="s">
        <v>117</v>
      </c>
      <c r="N1162" s="40">
        <v>3.0630000000000002</v>
      </c>
      <c r="O1162" s="38">
        <v>3.0595029999999999</v>
      </c>
      <c r="P1162" s="38">
        <v>1.5740000000000001E-3</v>
      </c>
      <c r="Q1162" s="38">
        <v>1.7179999999999999E-3</v>
      </c>
      <c r="R1162" s="40">
        <v>3.0630000000000002</v>
      </c>
      <c r="S1162" s="38">
        <v>3.0595029999999999</v>
      </c>
      <c r="T1162" s="38">
        <v>1.5740000000000001E-3</v>
      </c>
      <c r="U1162" s="38">
        <v>1.7179999999999999E-3</v>
      </c>
      <c r="V1162" s="8">
        <f t="shared" si="18"/>
        <v>2022</v>
      </c>
    </row>
    <row r="1163" spans="1:22" s="41" customFormat="1" ht="14.4" hidden="1" x14ac:dyDescent="0.3">
      <c r="A1163" s="36">
        <v>44835</v>
      </c>
      <c r="B1163" s="37" t="s">
        <v>20</v>
      </c>
      <c r="C1163" s="37" t="s">
        <v>157</v>
      </c>
      <c r="D1163" s="37" t="s">
        <v>72</v>
      </c>
      <c r="E1163" s="37" t="s">
        <v>5</v>
      </c>
      <c r="F1163" s="37" t="s">
        <v>158</v>
      </c>
      <c r="G1163" s="37" t="s">
        <v>159</v>
      </c>
      <c r="H1163" s="37" t="s">
        <v>126</v>
      </c>
      <c r="I1163" s="37" t="s">
        <v>127</v>
      </c>
      <c r="J1163" s="37" t="s">
        <v>34</v>
      </c>
      <c r="K1163" s="38">
        <v>0</v>
      </c>
      <c r="L1163" s="39"/>
      <c r="M1163" s="37" t="s">
        <v>117</v>
      </c>
      <c r="N1163" s="40">
        <v>0</v>
      </c>
      <c r="O1163" s="38">
        <v>0</v>
      </c>
      <c r="P1163" s="38">
        <v>0</v>
      </c>
      <c r="Q1163" s="38">
        <v>0</v>
      </c>
      <c r="R1163" s="39" t="s">
        <v>117</v>
      </c>
      <c r="S1163" s="39"/>
      <c r="T1163" s="39"/>
      <c r="U1163" s="39"/>
      <c r="V1163" s="8">
        <f t="shared" si="18"/>
        <v>2022</v>
      </c>
    </row>
    <row r="1164" spans="1:22" s="41" customFormat="1" ht="14.4" hidden="1" x14ac:dyDescent="0.3">
      <c r="A1164" s="36">
        <v>44866</v>
      </c>
      <c r="B1164" s="37" t="s">
        <v>19</v>
      </c>
      <c r="C1164" s="37" t="s">
        <v>157</v>
      </c>
      <c r="D1164" s="37" t="s">
        <v>72</v>
      </c>
      <c r="E1164" s="37" t="s">
        <v>5</v>
      </c>
      <c r="F1164" s="37" t="s">
        <v>158</v>
      </c>
      <c r="G1164" s="37" t="s">
        <v>159</v>
      </c>
      <c r="H1164" s="37" t="s">
        <v>126</v>
      </c>
      <c r="I1164" s="37" t="s">
        <v>127</v>
      </c>
      <c r="J1164" s="37" t="s">
        <v>34</v>
      </c>
      <c r="K1164" s="38">
        <v>46.907783000000002</v>
      </c>
      <c r="L1164" s="42">
        <v>2068.2600000000002</v>
      </c>
      <c r="M1164" s="37" t="s">
        <v>117</v>
      </c>
      <c r="N1164" s="40">
        <v>8.5020000000000007</v>
      </c>
      <c r="O1164" s="38">
        <v>8.4925709999999999</v>
      </c>
      <c r="P1164" s="38">
        <v>4.3699999999999998E-3</v>
      </c>
      <c r="Q1164" s="38">
        <v>4.7699999999999999E-3</v>
      </c>
      <c r="R1164" s="40">
        <v>8.5020000000000007</v>
      </c>
      <c r="S1164" s="38">
        <v>8.4925709999999999</v>
      </c>
      <c r="T1164" s="38">
        <v>4.3699999999999998E-3</v>
      </c>
      <c r="U1164" s="38">
        <v>4.7699999999999999E-3</v>
      </c>
      <c r="V1164" s="8">
        <f t="shared" si="18"/>
        <v>2022</v>
      </c>
    </row>
    <row r="1165" spans="1:22" s="41" customFormat="1" ht="14.4" hidden="1" x14ac:dyDescent="0.3">
      <c r="A1165" s="36">
        <v>44866</v>
      </c>
      <c r="B1165" s="37" t="s">
        <v>20</v>
      </c>
      <c r="C1165" s="37" t="s">
        <v>157</v>
      </c>
      <c r="D1165" s="37" t="s">
        <v>72</v>
      </c>
      <c r="E1165" s="37" t="s">
        <v>5</v>
      </c>
      <c r="F1165" s="37" t="s">
        <v>158</v>
      </c>
      <c r="G1165" s="37" t="s">
        <v>159</v>
      </c>
      <c r="H1165" s="37" t="s">
        <v>126</v>
      </c>
      <c r="I1165" s="37" t="s">
        <v>127</v>
      </c>
      <c r="J1165" s="37" t="s">
        <v>34</v>
      </c>
      <c r="K1165" s="38">
        <v>0</v>
      </c>
      <c r="L1165" s="39"/>
      <c r="M1165" s="37" t="s">
        <v>117</v>
      </c>
      <c r="N1165" s="40">
        <v>0</v>
      </c>
      <c r="O1165" s="38">
        <v>0</v>
      </c>
      <c r="P1165" s="38">
        <v>0</v>
      </c>
      <c r="Q1165" s="38">
        <v>0</v>
      </c>
      <c r="R1165" s="39" t="s">
        <v>117</v>
      </c>
      <c r="S1165" s="39"/>
      <c r="T1165" s="39"/>
      <c r="U1165" s="39"/>
      <c r="V1165" s="8">
        <f t="shared" si="18"/>
        <v>2022</v>
      </c>
    </row>
    <row r="1166" spans="1:22" s="41" customFormat="1" ht="14.4" hidden="1" x14ac:dyDescent="0.3">
      <c r="A1166" s="36">
        <v>44896</v>
      </c>
      <c r="B1166" s="37" t="s">
        <v>19</v>
      </c>
      <c r="C1166" s="37" t="s">
        <v>157</v>
      </c>
      <c r="D1166" s="37" t="s">
        <v>72</v>
      </c>
      <c r="E1166" s="37" t="s">
        <v>5</v>
      </c>
      <c r="F1166" s="37" t="s">
        <v>158</v>
      </c>
      <c r="G1166" s="37" t="s">
        <v>159</v>
      </c>
      <c r="H1166" s="37" t="s">
        <v>126</v>
      </c>
      <c r="I1166" s="37" t="s">
        <v>127</v>
      </c>
      <c r="J1166" s="37" t="s">
        <v>34</v>
      </c>
      <c r="K1166" s="38">
        <v>62.333227000000001</v>
      </c>
      <c r="L1166" s="42">
        <v>2583.88</v>
      </c>
      <c r="M1166" s="37" t="s">
        <v>117</v>
      </c>
      <c r="N1166" s="40">
        <v>11.297000000000001</v>
      </c>
      <c r="O1166" s="38">
        <v>11.285321</v>
      </c>
      <c r="P1166" s="38">
        <v>5.8060000000000004E-3</v>
      </c>
      <c r="Q1166" s="38">
        <v>6.3379999999999999E-3</v>
      </c>
      <c r="R1166" s="40">
        <v>11.297000000000001</v>
      </c>
      <c r="S1166" s="38">
        <v>11.285321</v>
      </c>
      <c r="T1166" s="38">
        <v>5.8060000000000004E-3</v>
      </c>
      <c r="U1166" s="38">
        <v>6.3379999999999999E-3</v>
      </c>
      <c r="V1166" s="8">
        <f t="shared" si="18"/>
        <v>2022</v>
      </c>
    </row>
    <row r="1167" spans="1:22" s="41" customFormat="1" ht="14.4" hidden="1" x14ac:dyDescent="0.3">
      <c r="A1167" s="36">
        <v>44896</v>
      </c>
      <c r="B1167" s="37" t="s">
        <v>20</v>
      </c>
      <c r="C1167" s="37" t="s">
        <v>157</v>
      </c>
      <c r="D1167" s="37" t="s">
        <v>72</v>
      </c>
      <c r="E1167" s="37" t="s">
        <v>5</v>
      </c>
      <c r="F1167" s="37" t="s">
        <v>158</v>
      </c>
      <c r="G1167" s="37" t="s">
        <v>159</v>
      </c>
      <c r="H1167" s="37" t="s">
        <v>126</v>
      </c>
      <c r="I1167" s="37" t="s">
        <v>127</v>
      </c>
      <c r="J1167" s="37" t="s">
        <v>34</v>
      </c>
      <c r="K1167" s="38">
        <v>0</v>
      </c>
      <c r="L1167" s="39"/>
      <c r="M1167" s="37" t="s">
        <v>117</v>
      </c>
      <c r="N1167" s="40">
        <v>0</v>
      </c>
      <c r="O1167" s="38">
        <v>0</v>
      </c>
      <c r="P1167" s="38">
        <v>0</v>
      </c>
      <c r="Q1167" s="38">
        <v>0</v>
      </c>
      <c r="R1167" s="39" t="s">
        <v>117</v>
      </c>
      <c r="S1167" s="39"/>
      <c r="T1167" s="39"/>
      <c r="U1167" s="39"/>
      <c r="V1167" s="8">
        <f t="shared" si="18"/>
        <v>2022</v>
      </c>
    </row>
    <row r="1168" spans="1:22" s="41" customFormat="1" ht="14.4" hidden="1" x14ac:dyDescent="0.3">
      <c r="A1168" s="36">
        <v>44927</v>
      </c>
      <c r="B1168" s="37" t="s">
        <v>19</v>
      </c>
      <c r="C1168" s="37" t="s">
        <v>157</v>
      </c>
      <c r="D1168" s="37" t="s">
        <v>72</v>
      </c>
      <c r="E1168" s="37" t="s">
        <v>5</v>
      </c>
      <c r="F1168" s="37" t="s">
        <v>158</v>
      </c>
      <c r="G1168" s="37" t="s">
        <v>159</v>
      </c>
      <c r="H1168" s="37" t="s">
        <v>126</v>
      </c>
      <c r="I1168" s="37" t="s">
        <v>127</v>
      </c>
      <c r="J1168" s="37" t="s">
        <v>34</v>
      </c>
      <c r="K1168" s="38">
        <v>47.118267000000003</v>
      </c>
      <c r="L1168" s="42">
        <v>1848.5</v>
      </c>
      <c r="M1168" s="37" t="s">
        <v>117</v>
      </c>
      <c r="N1168" s="40">
        <v>8.5399999999999991</v>
      </c>
      <c r="O1168" s="38">
        <v>8.5306789999999992</v>
      </c>
      <c r="P1168" s="38">
        <v>4.3889999999999997E-3</v>
      </c>
      <c r="Q1168" s="38">
        <v>4.7910000000000001E-3</v>
      </c>
      <c r="R1168" s="40">
        <v>8.5399999999999991</v>
      </c>
      <c r="S1168" s="38">
        <v>8.5306789999999992</v>
      </c>
      <c r="T1168" s="38">
        <v>4.3889999999999997E-3</v>
      </c>
      <c r="U1168" s="38">
        <v>4.7910000000000001E-3</v>
      </c>
      <c r="V1168" s="8">
        <f t="shared" si="18"/>
        <v>2023</v>
      </c>
    </row>
    <row r="1169" spans="1:22" s="41" customFormat="1" ht="14.4" hidden="1" x14ac:dyDescent="0.3">
      <c r="A1169" s="36">
        <v>44958</v>
      </c>
      <c r="B1169" s="37" t="s">
        <v>19</v>
      </c>
      <c r="C1169" s="37" t="s">
        <v>157</v>
      </c>
      <c r="D1169" s="37" t="s">
        <v>72</v>
      </c>
      <c r="E1169" s="37" t="s">
        <v>5</v>
      </c>
      <c r="F1169" s="37" t="s">
        <v>158</v>
      </c>
      <c r="G1169" s="37" t="s">
        <v>159</v>
      </c>
      <c r="H1169" s="37" t="s">
        <v>126</v>
      </c>
      <c r="I1169" s="37" t="s">
        <v>127</v>
      </c>
      <c r="J1169" s="37" t="s">
        <v>34</v>
      </c>
      <c r="K1169" s="38">
        <v>39.480718000000003</v>
      </c>
      <c r="L1169" s="42">
        <v>1555.33</v>
      </c>
      <c r="M1169" s="37" t="s">
        <v>117</v>
      </c>
      <c r="N1169" s="40">
        <v>7.1559999999999997</v>
      </c>
      <c r="O1169" s="38">
        <v>7.1479140000000001</v>
      </c>
      <c r="P1169" s="38">
        <v>3.6779999999999998E-3</v>
      </c>
      <c r="Q1169" s="38">
        <v>4.0140000000000002E-3</v>
      </c>
      <c r="R1169" s="40">
        <v>7.1559999999999997</v>
      </c>
      <c r="S1169" s="38">
        <v>7.1479140000000001</v>
      </c>
      <c r="T1169" s="38">
        <v>3.6779999999999998E-3</v>
      </c>
      <c r="U1169" s="38">
        <v>4.0140000000000002E-3</v>
      </c>
      <c r="V1169" s="8">
        <f t="shared" si="18"/>
        <v>2023</v>
      </c>
    </row>
    <row r="1170" spans="1:22" s="41" customFormat="1" ht="14.4" hidden="1" x14ac:dyDescent="0.3">
      <c r="A1170" s="36">
        <v>44986</v>
      </c>
      <c r="B1170" s="37" t="s">
        <v>19</v>
      </c>
      <c r="C1170" s="37" t="s">
        <v>157</v>
      </c>
      <c r="D1170" s="37" t="s">
        <v>72</v>
      </c>
      <c r="E1170" s="37" t="s">
        <v>5</v>
      </c>
      <c r="F1170" s="37" t="s">
        <v>158</v>
      </c>
      <c r="G1170" s="37" t="s">
        <v>159</v>
      </c>
      <c r="H1170" s="37" t="s">
        <v>126</v>
      </c>
      <c r="I1170" s="37" t="s">
        <v>127</v>
      </c>
      <c r="J1170" s="37" t="s">
        <v>34</v>
      </c>
      <c r="K1170" s="38">
        <v>23.514030000000002</v>
      </c>
      <c r="L1170" s="42">
        <v>759.06</v>
      </c>
      <c r="M1170" s="37" t="s">
        <v>117</v>
      </c>
      <c r="N1170" s="40">
        <v>4.2619999999999996</v>
      </c>
      <c r="O1170" s="38">
        <v>4.257174</v>
      </c>
      <c r="P1170" s="38">
        <v>2.1900000000000001E-3</v>
      </c>
      <c r="Q1170" s="38">
        <v>2.3909999999999999E-3</v>
      </c>
      <c r="R1170" s="40">
        <v>4.2619999999999996</v>
      </c>
      <c r="S1170" s="38">
        <v>4.257174</v>
      </c>
      <c r="T1170" s="38">
        <v>2.1900000000000001E-3</v>
      </c>
      <c r="U1170" s="38">
        <v>2.3909999999999999E-3</v>
      </c>
      <c r="V1170" s="8">
        <f t="shared" si="18"/>
        <v>2023</v>
      </c>
    </row>
    <row r="1171" spans="1:22" s="41" customFormat="1" ht="14.4" hidden="1" x14ac:dyDescent="0.3">
      <c r="A1171" s="36">
        <v>45017</v>
      </c>
      <c r="B1171" s="37" t="s">
        <v>19</v>
      </c>
      <c r="C1171" s="37" t="s">
        <v>157</v>
      </c>
      <c r="D1171" s="37" t="s">
        <v>72</v>
      </c>
      <c r="E1171" s="37" t="s">
        <v>5</v>
      </c>
      <c r="F1171" s="37" t="s">
        <v>158</v>
      </c>
      <c r="G1171" s="37" t="s">
        <v>159</v>
      </c>
      <c r="H1171" s="37" t="s">
        <v>126</v>
      </c>
      <c r="I1171" s="37" t="s">
        <v>127</v>
      </c>
      <c r="J1171" s="37" t="s">
        <v>34</v>
      </c>
      <c r="K1171" s="38">
        <v>11.125564000000001</v>
      </c>
      <c r="L1171" s="42">
        <v>303.86</v>
      </c>
      <c r="M1171" s="37" t="s">
        <v>117</v>
      </c>
      <c r="N1171" s="40">
        <v>2.016</v>
      </c>
      <c r="O1171" s="38">
        <v>2.0142639999999998</v>
      </c>
      <c r="P1171" s="38">
        <v>1.036E-3</v>
      </c>
      <c r="Q1171" s="38">
        <v>1.1310000000000001E-3</v>
      </c>
      <c r="R1171" s="40">
        <v>2.016</v>
      </c>
      <c r="S1171" s="38">
        <v>2.0142639999999998</v>
      </c>
      <c r="T1171" s="38">
        <v>1.036E-3</v>
      </c>
      <c r="U1171" s="38">
        <v>1.1310000000000001E-3</v>
      </c>
      <c r="V1171" s="8">
        <f t="shared" si="18"/>
        <v>2023</v>
      </c>
    </row>
    <row r="1172" spans="1:22" s="41" customFormat="1" ht="14.4" hidden="1" x14ac:dyDescent="0.3">
      <c r="A1172" s="36">
        <v>45047</v>
      </c>
      <c r="B1172" s="37" t="s">
        <v>19</v>
      </c>
      <c r="C1172" s="37" t="s">
        <v>157</v>
      </c>
      <c r="D1172" s="37" t="s">
        <v>72</v>
      </c>
      <c r="E1172" s="37" t="s">
        <v>5</v>
      </c>
      <c r="F1172" s="37" t="s">
        <v>158</v>
      </c>
      <c r="G1172" s="37" t="s">
        <v>159</v>
      </c>
      <c r="H1172" s="37" t="s">
        <v>126</v>
      </c>
      <c r="I1172" s="37" t="s">
        <v>127</v>
      </c>
      <c r="J1172" s="37" t="s">
        <v>34</v>
      </c>
      <c r="K1172" s="38">
        <v>0.36082900000000001</v>
      </c>
      <c r="L1172" s="42">
        <v>48.43</v>
      </c>
      <c r="M1172" s="37" t="s">
        <v>117</v>
      </c>
      <c r="N1172" s="40">
        <v>6.5000000000000002E-2</v>
      </c>
      <c r="O1172" s="38">
        <v>6.5326999999999996E-2</v>
      </c>
      <c r="P1172" s="38">
        <v>3.4E-5</v>
      </c>
      <c r="Q1172" s="38">
        <v>3.6999999999999998E-5</v>
      </c>
      <c r="R1172" s="40">
        <v>6.5000000000000002E-2</v>
      </c>
      <c r="S1172" s="38">
        <v>6.5326999999999996E-2</v>
      </c>
      <c r="T1172" s="38">
        <v>3.4E-5</v>
      </c>
      <c r="U1172" s="38">
        <v>3.6999999999999998E-5</v>
      </c>
      <c r="V1172" s="8">
        <f t="shared" si="18"/>
        <v>2023</v>
      </c>
    </row>
    <row r="1173" spans="1:22" s="41" customFormat="1" ht="14.4" hidden="1" x14ac:dyDescent="0.3">
      <c r="A1173" s="36">
        <v>45078</v>
      </c>
      <c r="B1173" s="37" t="s">
        <v>19</v>
      </c>
      <c r="C1173" s="37" t="s">
        <v>157</v>
      </c>
      <c r="D1173" s="37" t="s">
        <v>72</v>
      </c>
      <c r="E1173" s="37" t="s">
        <v>5</v>
      </c>
      <c r="F1173" s="37" t="s">
        <v>158</v>
      </c>
      <c r="G1173" s="37" t="s">
        <v>159</v>
      </c>
      <c r="H1173" s="37" t="s">
        <v>126</v>
      </c>
      <c r="I1173" s="37" t="s">
        <v>127</v>
      </c>
      <c r="J1173" s="37" t="s">
        <v>34</v>
      </c>
      <c r="K1173" s="38">
        <v>0</v>
      </c>
      <c r="L1173" s="42">
        <v>42.01</v>
      </c>
      <c r="M1173" s="37" t="s">
        <v>117</v>
      </c>
      <c r="N1173" s="40">
        <v>0</v>
      </c>
      <c r="O1173" s="38">
        <v>0</v>
      </c>
      <c r="P1173" s="38">
        <v>0</v>
      </c>
      <c r="Q1173" s="38">
        <v>0</v>
      </c>
      <c r="R1173" s="40">
        <v>0</v>
      </c>
      <c r="S1173" s="38">
        <v>0</v>
      </c>
      <c r="T1173" s="38">
        <v>0</v>
      </c>
      <c r="U1173" s="38">
        <v>0</v>
      </c>
      <c r="V1173" s="8">
        <f t="shared" si="18"/>
        <v>2023</v>
      </c>
    </row>
    <row r="1174" spans="1:22" s="41" customFormat="1" ht="14.4" hidden="1" x14ac:dyDescent="0.3">
      <c r="A1174" s="36">
        <v>45108</v>
      </c>
      <c r="B1174" s="37" t="s">
        <v>19</v>
      </c>
      <c r="C1174" s="37" t="s">
        <v>157</v>
      </c>
      <c r="D1174" s="37" t="s">
        <v>72</v>
      </c>
      <c r="E1174" s="37" t="s">
        <v>5</v>
      </c>
      <c r="F1174" s="37" t="s">
        <v>158</v>
      </c>
      <c r="G1174" s="37" t="s">
        <v>159</v>
      </c>
      <c r="H1174" s="37" t="s">
        <v>126</v>
      </c>
      <c r="I1174" s="37" t="s">
        <v>127</v>
      </c>
      <c r="J1174" s="37" t="s">
        <v>34</v>
      </c>
      <c r="K1174" s="38">
        <v>0</v>
      </c>
      <c r="L1174" s="42">
        <v>42.01</v>
      </c>
      <c r="M1174" s="37" t="s">
        <v>117</v>
      </c>
      <c r="N1174" s="40">
        <v>0</v>
      </c>
      <c r="O1174" s="38">
        <v>0</v>
      </c>
      <c r="P1174" s="38">
        <v>0</v>
      </c>
      <c r="Q1174" s="38">
        <v>0</v>
      </c>
      <c r="R1174" s="40">
        <v>0</v>
      </c>
      <c r="S1174" s="38">
        <v>0</v>
      </c>
      <c r="T1174" s="38">
        <v>0</v>
      </c>
      <c r="U1174" s="38">
        <v>0</v>
      </c>
      <c r="V1174" s="8">
        <f t="shared" si="18"/>
        <v>2023</v>
      </c>
    </row>
    <row r="1175" spans="1:22" s="41" customFormat="1" ht="14.4" hidden="1" x14ac:dyDescent="0.3">
      <c r="A1175" s="36">
        <v>45139</v>
      </c>
      <c r="B1175" s="37" t="s">
        <v>19</v>
      </c>
      <c r="C1175" s="37" t="s">
        <v>157</v>
      </c>
      <c r="D1175" s="37" t="s">
        <v>72</v>
      </c>
      <c r="E1175" s="37" t="s">
        <v>5</v>
      </c>
      <c r="F1175" s="37" t="s">
        <v>158</v>
      </c>
      <c r="G1175" s="37" t="s">
        <v>159</v>
      </c>
      <c r="H1175" s="37" t="s">
        <v>126</v>
      </c>
      <c r="I1175" s="37" t="s">
        <v>127</v>
      </c>
      <c r="J1175" s="37" t="s">
        <v>34</v>
      </c>
      <c r="K1175" s="38">
        <v>0</v>
      </c>
      <c r="L1175" s="42">
        <v>42.01</v>
      </c>
      <c r="M1175" s="37" t="s">
        <v>117</v>
      </c>
      <c r="N1175" s="40">
        <v>0</v>
      </c>
      <c r="O1175" s="38">
        <v>0</v>
      </c>
      <c r="P1175" s="38">
        <v>0</v>
      </c>
      <c r="Q1175" s="38">
        <v>0</v>
      </c>
      <c r="R1175" s="40">
        <v>0</v>
      </c>
      <c r="S1175" s="38">
        <v>0</v>
      </c>
      <c r="T1175" s="38">
        <v>0</v>
      </c>
      <c r="U1175" s="38">
        <v>0</v>
      </c>
      <c r="V1175" s="8">
        <f t="shared" si="18"/>
        <v>2023</v>
      </c>
    </row>
    <row r="1176" spans="1:22" s="41" customFormat="1" ht="14.4" hidden="1" x14ac:dyDescent="0.3">
      <c r="A1176" s="36">
        <v>45170</v>
      </c>
      <c r="B1176" s="37" t="s">
        <v>19</v>
      </c>
      <c r="C1176" s="37" t="s">
        <v>157</v>
      </c>
      <c r="D1176" s="37" t="s">
        <v>72</v>
      </c>
      <c r="E1176" s="37" t="s">
        <v>5</v>
      </c>
      <c r="F1176" s="37" t="s">
        <v>158</v>
      </c>
      <c r="G1176" s="37" t="s">
        <v>159</v>
      </c>
      <c r="H1176" s="37" t="s">
        <v>126</v>
      </c>
      <c r="I1176" s="37" t="s">
        <v>127</v>
      </c>
      <c r="J1176" s="37" t="s">
        <v>34</v>
      </c>
      <c r="K1176" s="38">
        <v>1.8642840000000001</v>
      </c>
      <c r="L1176" s="42">
        <v>72.7</v>
      </c>
      <c r="M1176" s="37" t="s">
        <v>117</v>
      </c>
      <c r="N1176" s="40">
        <v>0.33800000000000002</v>
      </c>
      <c r="O1176" s="38">
        <v>0.33752500000000002</v>
      </c>
      <c r="P1176" s="38">
        <v>1.74E-4</v>
      </c>
      <c r="Q1176" s="38">
        <v>1.9000000000000001E-4</v>
      </c>
      <c r="R1176" s="40">
        <v>0.33800000000000002</v>
      </c>
      <c r="S1176" s="38">
        <v>0.33752500000000002</v>
      </c>
      <c r="T1176" s="38">
        <v>1.74E-4</v>
      </c>
      <c r="U1176" s="38">
        <v>1.9000000000000001E-4</v>
      </c>
      <c r="V1176" s="8">
        <f t="shared" si="18"/>
        <v>2023</v>
      </c>
    </row>
    <row r="1177" spans="1:22" s="41" customFormat="1" ht="14.4" hidden="1" x14ac:dyDescent="0.3">
      <c r="A1177" s="36">
        <v>45200</v>
      </c>
      <c r="B1177" s="37" t="s">
        <v>19</v>
      </c>
      <c r="C1177" s="37" t="s">
        <v>157</v>
      </c>
      <c r="D1177" s="37" t="s">
        <v>72</v>
      </c>
      <c r="E1177" s="37" t="s">
        <v>5</v>
      </c>
      <c r="F1177" s="37" t="s">
        <v>158</v>
      </c>
      <c r="G1177" s="37" t="s">
        <v>159</v>
      </c>
      <c r="H1177" s="37" t="s">
        <v>126</v>
      </c>
      <c r="I1177" s="37" t="s">
        <v>127</v>
      </c>
      <c r="J1177" s="37" t="s">
        <v>34</v>
      </c>
      <c r="K1177" s="38">
        <v>19.304357</v>
      </c>
      <c r="L1177" s="42">
        <v>291.43</v>
      </c>
      <c r="M1177" s="37" t="s">
        <v>117</v>
      </c>
      <c r="N1177" s="40">
        <v>3.4990000000000001</v>
      </c>
      <c r="O1177" s="38">
        <v>3.4950199999999998</v>
      </c>
      <c r="P1177" s="38">
        <v>1.7979999999999999E-3</v>
      </c>
      <c r="Q1177" s="38">
        <v>1.9629999999999999E-3</v>
      </c>
      <c r="R1177" s="40">
        <v>3.4990000000000001</v>
      </c>
      <c r="S1177" s="38">
        <v>3.4950199999999998</v>
      </c>
      <c r="T1177" s="38">
        <v>1.7979999999999999E-3</v>
      </c>
      <c r="U1177" s="38">
        <v>1.9629999999999999E-3</v>
      </c>
      <c r="V1177" s="8">
        <f t="shared" si="18"/>
        <v>2023</v>
      </c>
    </row>
    <row r="1178" spans="1:22" s="41" customFormat="1" ht="14.4" hidden="1" x14ac:dyDescent="0.3">
      <c r="A1178" s="36">
        <v>45231</v>
      </c>
      <c r="B1178" s="37" t="s">
        <v>19</v>
      </c>
      <c r="C1178" s="37" t="s">
        <v>157</v>
      </c>
      <c r="D1178" s="37" t="s">
        <v>72</v>
      </c>
      <c r="E1178" s="37" t="s">
        <v>5</v>
      </c>
      <c r="F1178" s="37" t="s">
        <v>158</v>
      </c>
      <c r="G1178" s="37" t="s">
        <v>159</v>
      </c>
      <c r="H1178" s="37" t="s">
        <v>126</v>
      </c>
      <c r="I1178" s="37" t="s">
        <v>127</v>
      </c>
      <c r="J1178" s="37" t="s">
        <v>34</v>
      </c>
      <c r="K1178" s="38">
        <v>44.141427</v>
      </c>
      <c r="L1178" s="42">
        <v>612.35</v>
      </c>
      <c r="M1178" s="37" t="s">
        <v>117</v>
      </c>
      <c r="N1178" s="40">
        <v>8</v>
      </c>
      <c r="O1178" s="38">
        <v>7.991727</v>
      </c>
      <c r="P1178" s="38">
        <v>4.1120000000000002E-3</v>
      </c>
      <c r="Q1178" s="38">
        <v>4.4879999999999998E-3</v>
      </c>
      <c r="R1178" s="40">
        <v>8</v>
      </c>
      <c r="S1178" s="38">
        <v>7.991727</v>
      </c>
      <c r="T1178" s="38">
        <v>4.1120000000000002E-3</v>
      </c>
      <c r="U1178" s="38">
        <v>4.4879999999999998E-3</v>
      </c>
      <c r="V1178" s="8">
        <f t="shared" si="18"/>
        <v>2023</v>
      </c>
    </row>
    <row r="1179" spans="1:22" s="41" customFormat="1" ht="14.4" hidden="1" x14ac:dyDescent="0.3">
      <c r="A1179" s="36">
        <v>45261</v>
      </c>
      <c r="B1179" s="37" t="s">
        <v>19</v>
      </c>
      <c r="C1179" s="37" t="s">
        <v>157</v>
      </c>
      <c r="D1179" s="37" t="s">
        <v>72</v>
      </c>
      <c r="E1179" s="37" t="s">
        <v>5</v>
      </c>
      <c r="F1179" s="37" t="s">
        <v>158</v>
      </c>
      <c r="G1179" s="37" t="s">
        <v>159</v>
      </c>
      <c r="H1179" s="37" t="s">
        <v>126</v>
      </c>
      <c r="I1179" s="37" t="s">
        <v>127</v>
      </c>
      <c r="J1179" s="37" t="s">
        <v>34</v>
      </c>
      <c r="K1179" s="38">
        <v>60.559151</v>
      </c>
      <c r="L1179" s="42">
        <v>1228.1500000000001</v>
      </c>
      <c r="M1179" s="37" t="s">
        <v>117</v>
      </c>
      <c r="N1179" s="40">
        <v>10.976000000000001</v>
      </c>
      <c r="O1179" s="38">
        <v>10.964127</v>
      </c>
      <c r="P1179" s="38">
        <v>5.6410000000000002E-3</v>
      </c>
      <c r="Q1179" s="38">
        <v>6.1580000000000003E-3</v>
      </c>
      <c r="R1179" s="40">
        <v>10.976000000000001</v>
      </c>
      <c r="S1179" s="38">
        <v>10.964127</v>
      </c>
      <c r="T1179" s="38">
        <v>5.6410000000000002E-3</v>
      </c>
      <c r="U1179" s="38">
        <v>6.1580000000000003E-3</v>
      </c>
      <c r="V1179" s="8">
        <f t="shared" si="18"/>
        <v>2023</v>
      </c>
    </row>
    <row r="1180" spans="1:22" s="41" customFormat="1" ht="14.4" hidden="1" x14ac:dyDescent="0.3">
      <c r="A1180" s="36">
        <v>44562</v>
      </c>
      <c r="B1180" s="37" t="s">
        <v>23</v>
      </c>
      <c r="C1180" s="37" t="s">
        <v>157</v>
      </c>
      <c r="D1180" s="37" t="s">
        <v>72</v>
      </c>
      <c r="E1180" s="37" t="s">
        <v>6</v>
      </c>
      <c r="F1180" s="37" t="s">
        <v>158</v>
      </c>
      <c r="G1180" s="37" t="s">
        <v>159</v>
      </c>
      <c r="H1180" s="37" t="s">
        <v>126</v>
      </c>
      <c r="I1180" s="37" t="s">
        <v>127</v>
      </c>
      <c r="J1180" s="37" t="s">
        <v>34</v>
      </c>
      <c r="K1180" s="38">
        <v>124.66524</v>
      </c>
      <c r="L1180" s="42">
        <v>13388.83</v>
      </c>
      <c r="M1180" s="37" t="s">
        <v>117</v>
      </c>
      <c r="N1180" s="40">
        <v>59.26</v>
      </c>
      <c r="O1180" s="38">
        <v>59.260195000000003</v>
      </c>
      <c r="P1180" s="39"/>
      <c r="Q1180" s="39"/>
      <c r="R1180" s="40">
        <v>59.521999999999998</v>
      </c>
      <c r="S1180" s="38">
        <v>59.155836999999998</v>
      </c>
      <c r="T1180" s="38">
        <v>0.21612300000000001</v>
      </c>
      <c r="U1180" s="38">
        <v>0.14987800000000001</v>
      </c>
      <c r="V1180" s="8">
        <f t="shared" si="18"/>
        <v>2022</v>
      </c>
    </row>
    <row r="1181" spans="1:22" s="41" customFormat="1" ht="14.4" hidden="1" x14ac:dyDescent="0.3">
      <c r="A1181" s="36">
        <v>44593</v>
      </c>
      <c r="B1181" s="37" t="s">
        <v>23</v>
      </c>
      <c r="C1181" s="37" t="s">
        <v>157</v>
      </c>
      <c r="D1181" s="37" t="s">
        <v>72</v>
      </c>
      <c r="E1181" s="37" t="s">
        <v>6</v>
      </c>
      <c r="F1181" s="37" t="s">
        <v>158</v>
      </c>
      <c r="G1181" s="37" t="s">
        <v>159</v>
      </c>
      <c r="H1181" s="37" t="s">
        <v>126</v>
      </c>
      <c r="I1181" s="37" t="s">
        <v>127</v>
      </c>
      <c r="J1181" s="37" t="s">
        <v>34</v>
      </c>
      <c r="K1181" s="38">
        <v>126.23650000000001</v>
      </c>
      <c r="L1181" s="42">
        <v>13529.52</v>
      </c>
      <c r="M1181" s="37" t="s">
        <v>117</v>
      </c>
      <c r="N1181" s="40">
        <v>60.006999999999998</v>
      </c>
      <c r="O1181" s="38">
        <v>60.007100999999999</v>
      </c>
      <c r="P1181" s="39"/>
      <c r="Q1181" s="39"/>
      <c r="R1181" s="40">
        <v>60.271999999999998</v>
      </c>
      <c r="S1181" s="38">
        <v>59.901428000000003</v>
      </c>
      <c r="T1181" s="38">
        <v>0.21884700000000001</v>
      </c>
      <c r="U1181" s="38">
        <v>0.15176700000000001</v>
      </c>
      <c r="V1181" s="8">
        <f t="shared" si="18"/>
        <v>2022</v>
      </c>
    </row>
    <row r="1182" spans="1:22" s="41" customFormat="1" ht="14.4" hidden="1" x14ac:dyDescent="0.3">
      <c r="A1182" s="36">
        <v>44621</v>
      </c>
      <c r="B1182" s="37" t="s">
        <v>23</v>
      </c>
      <c r="C1182" s="37" t="s">
        <v>157</v>
      </c>
      <c r="D1182" s="37" t="s">
        <v>72</v>
      </c>
      <c r="E1182" s="37" t="s">
        <v>6</v>
      </c>
      <c r="F1182" s="37" t="s">
        <v>158</v>
      </c>
      <c r="G1182" s="37" t="s">
        <v>159</v>
      </c>
      <c r="H1182" s="37" t="s">
        <v>126</v>
      </c>
      <c r="I1182" s="37" t="s">
        <v>127</v>
      </c>
      <c r="J1182" s="37" t="s">
        <v>34</v>
      </c>
      <c r="K1182" s="38">
        <v>211.87961000000001</v>
      </c>
      <c r="L1182" s="42">
        <v>22595.54</v>
      </c>
      <c r="M1182" s="37" t="s">
        <v>117</v>
      </c>
      <c r="N1182" s="40">
        <v>100.718</v>
      </c>
      <c r="O1182" s="38">
        <v>100.717947</v>
      </c>
      <c r="P1182" s="39"/>
      <c r="Q1182" s="39"/>
      <c r="R1182" s="40">
        <v>101.163</v>
      </c>
      <c r="S1182" s="38">
        <v>100.540581</v>
      </c>
      <c r="T1182" s="38">
        <v>0.36732100000000001</v>
      </c>
      <c r="U1182" s="38">
        <v>0.25473200000000001</v>
      </c>
      <c r="V1182" s="8">
        <f t="shared" si="18"/>
        <v>2022</v>
      </c>
    </row>
    <row r="1183" spans="1:22" s="41" customFormat="1" ht="14.4" hidden="1" x14ac:dyDescent="0.3">
      <c r="A1183" s="36">
        <v>44652</v>
      </c>
      <c r="B1183" s="37" t="s">
        <v>23</v>
      </c>
      <c r="C1183" s="37" t="s">
        <v>157</v>
      </c>
      <c r="D1183" s="37" t="s">
        <v>72</v>
      </c>
      <c r="E1183" s="37" t="s">
        <v>6</v>
      </c>
      <c r="F1183" s="37" t="s">
        <v>158</v>
      </c>
      <c r="G1183" s="37" t="s">
        <v>159</v>
      </c>
      <c r="H1183" s="37" t="s">
        <v>126</v>
      </c>
      <c r="I1183" s="37" t="s">
        <v>127</v>
      </c>
      <c r="J1183" s="37" t="s">
        <v>34</v>
      </c>
      <c r="K1183" s="38">
        <v>9.6556499999999996</v>
      </c>
      <c r="L1183" s="42">
        <v>1232.33</v>
      </c>
      <c r="M1183" s="37" t="s">
        <v>117</v>
      </c>
      <c r="N1183" s="40">
        <v>4.59</v>
      </c>
      <c r="O1183" s="38">
        <v>4.5898580000000004</v>
      </c>
      <c r="P1183" s="39"/>
      <c r="Q1183" s="39"/>
      <c r="R1183" s="40">
        <v>4.6100000000000003</v>
      </c>
      <c r="S1183" s="38">
        <v>4.5817750000000004</v>
      </c>
      <c r="T1183" s="38">
        <v>1.6739E-2</v>
      </c>
      <c r="U1183" s="38">
        <v>1.1608E-2</v>
      </c>
      <c r="V1183" s="8">
        <f t="shared" si="18"/>
        <v>2022</v>
      </c>
    </row>
    <row r="1184" spans="1:22" s="41" customFormat="1" ht="14.4" hidden="1" x14ac:dyDescent="0.3">
      <c r="A1184" s="36">
        <v>44682</v>
      </c>
      <c r="B1184" s="37" t="s">
        <v>23</v>
      </c>
      <c r="C1184" s="37" t="s">
        <v>157</v>
      </c>
      <c r="D1184" s="37" t="s">
        <v>72</v>
      </c>
      <c r="E1184" s="37" t="s">
        <v>6</v>
      </c>
      <c r="F1184" s="37" t="s">
        <v>158</v>
      </c>
      <c r="G1184" s="37" t="s">
        <v>159</v>
      </c>
      <c r="H1184" s="37" t="s">
        <v>126</v>
      </c>
      <c r="I1184" s="37" t="s">
        <v>127</v>
      </c>
      <c r="J1184" s="37" t="s">
        <v>34</v>
      </c>
      <c r="K1184" s="38">
        <v>9.7034000000000002</v>
      </c>
      <c r="L1184" s="42">
        <v>1238.32</v>
      </c>
      <c r="M1184" s="37" t="s">
        <v>117</v>
      </c>
      <c r="N1184" s="40">
        <v>4.6130000000000004</v>
      </c>
      <c r="O1184" s="38">
        <v>4.6125559999999997</v>
      </c>
      <c r="P1184" s="39"/>
      <c r="Q1184" s="39"/>
      <c r="R1184" s="40">
        <v>4.633</v>
      </c>
      <c r="S1184" s="38">
        <v>4.6044330000000002</v>
      </c>
      <c r="T1184" s="38">
        <v>1.6822E-2</v>
      </c>
      <c r="U1184" s="38">
        <v>1.1665999999999999E-2</v>
      </c>
      <c r="V1184" s="8">
        <f t="shared" si="18"/>
        <v>2022</v>
      </c>
    </row>
    <row r="1185" spans="1:22" s="41" customFormat="1" ht="14.4" hidden="1" x14ac:dyDescent="0.3">
      <c r="A1185" s="36">
        <v>44713</v>
      </c>
      <c r="B1185" s="37" t="s">
        <v>23</v>
      </c>
      <c r="C1185" s="37" t="s">
        <v>157</v>
      </c>
      <c r="D1185" s="37" t="s">
        <v>72</v>
      </c>
      <c r="E1185" s="37" t="s">
        <v>6</v>
      </c>
      <c r="F1185" s="37" t="s">
        <v>158</v>
      </c>
      <c r="G1185" s="37" t="s">
        <v>159</v>
      </c>
      <c r="H1185" s="37" t="s">
        <v>126</v>
      </c>
      <c r="I1185" s="37" t="s">
        <v>127</v>
      </c>
      <c r="J1185" s="37" t="s">
        <v>34</v>
      </c>
      <c r="K1185" s="38">
        <v>12.07025</v>
      </c>
      <c r="L1185" s="42">
        <v>1570.69</v>
      </c>
      <c r="M1185" s="37" t="s">
        <v>117</v>
      </c>
      <c r="N1185" s="40">
        <v>5.7380000000000004</v>
      </c>
      <c r="O1185" s="38">
        <v>5.7376490000000002</v>
      </c>
      <c r="P1185" s="39"/>
      <c r="Q1185" s="39"/>
      <c r="R1185" s="40">
        <v>5.7629999999999999</v>
      </c>
      <c r="S1185" s="38">
        <v>5.7275450000000001</v>
      </c>
      <c r="T1185" s="38">
        <v>2.0924999999999999E-2</v>
      </c>
      <c r="U1185" s="38">
        <v>1.4511E-2</v>
      </c>
      <c r="V1185" s="8">
        <f t="shared" si="18"/>
        <v>2022</v>
      </c>
    </row>
    <row r="1186" spans="1:22" s="41" customFormat="1" ht="14.4" hidden="1" x14ac:dyDescent="0.3">
      <c r="A1186" s="36">
        <v>44743</v>
      </c>
      <c r="B1186" s="37" t="s">
        <v>23</v>
      </c>
      <c r="C1186" s="37" t="s">
        <v>157</v>
      </c>
      <c r="D1186" s="37" t="s">
        <v>72</v>
      </c>
      <c r="E1186" s="37" t="s">
        <v>6</v>
      </c>
      <c r="F1186" s="37" t="s">
        <v>158</v>
      </c>
      <c r="G1186" s="37" t="s">
        <v>159</v>
      </c>
      <c r="H1186" s="37" t="s">
        <v>126</v>
      </c>
      <c r="I1186" s="37" t="s">
        <v>127</v>
      </c>
      <c r="J1186" s="37" t="s">
        <v>34</v>
      </c>
      <c r="K1186" s="38">
        <v>12.1874</v>
      </c>
      <c r="L1186" s="42">
        <v>1611</v>
      </c>
      <c r="M1186" s="37" t="s">
        <v>117</v>
      </c>
      <c r="N1186" s="40">
        <v>5.7930000000000001</v>
      </c>
      <c r="O1186" s="38">
        <v>5.7933370000000002</v>
      </c>
      <c r="P1186" s="39"/>
      <c r="Q1186" s="39"/>
      <c r="R1186" s="40">
        <v>5.819</v>
      </c>
      <c r="S1186" s="38">
        <v>5.7831349999999997</v>
      </c>
      <c r="T1186" s="38">
        <v>2.1128000000000001E-2</v>
      </c>
      <c r="U1186" s="38">
        <v>1.4652E-2</v>
      </c>
      <c r="V1186" s="8">
        <f t="shared" si="18"/>
        <v>2022</v>
      </c>
    </row>
    <row r="1187" spans="1:22" s="41" customFormat="1" ht="14.4" hidden="1" x14ac:dyDescent="0.3">
      <c r="A1187" s="36">
        <v>44774</v>
      </c>
      <c r="B1187" s="37" t="s">
        <v>23</v>
      </c>
      <c r="C1187" s="37" t="s">
        <v>157</v>
      </c>
      <c r="D1187" s="37" t="s">
        <v>72</v>
      </c>
      <c r="E1187" s="37" t="s">
        <v>6</v>
      </c>
      <c r="F1187" s="37" t="s">
        <v>158</v>
      </c>
      <c r="G1187" s="37" t="s">
        <v>159</v>
      </c>
      <c r="H1187" s="37" t="s">
        <v>126</v>
      </c>
      <c r="I1187" s="37" t="s">
        <v>127</v>
      </c>
      <c r="J1187" s="37" t="s">
        <v>34</v>
      </c>
      <c r="K1187" s="38">
        <v>11.748200000000001</v>
      </c>
      <c r="L1187" s="42">
        <v>1575.58</v>
      </c>
      <c r="M1187" s="37" t="s">
        <v>117</v>
      </c>
      <c r="N1187" s="40">
        <v>5.585</v>
      </c>
      <c r="O1187" s="38">
        <v>5.5845609999999999</v>
      </c>
      <c r="P1187" s="39"/>
      <c r="Q1187" s="39"/>
      <c r="R1187" s="40">
        <v>5.609</v>
      </c>
      <c r="S1187" s="38">
        <v>5.5747260000000001</v>
      </c>
      <c r="T1187" s="38">
        <v>2.0367E-2</v>
      </c>
      <c r="U1187" s="38">
        <v>1.4123999999999999E-2</v>
      </c>
      <c r="V1187" s="8">
        <f t="shared" si="18"/>
        <v>2022</v>
      </c>
    </row>
    <row r="1188" spans="1:22" s="41" customFormat="1" ht="14.4" hidden="1" x14ac:dyDescent="0.3">
      <c r="A1188" s="36">
        <v>44805</v>
      </c>
      <c r="B1188" s="37" t="s">
        <v>23</v>
      </c>
      <c r="C1188" s="37" t="s">
        <v>157</v>
      </c>
      <c r="D1188" s="37" t="s">
        <v>72</v>
      </c>
      <c r="E1188" s="37" t="s">
        <v>6</v>
      </c>
      <c r="F1188" s="37" t="s">
        <v>158</v>
      </c>
      <c r="G1188" s="37" t="s">
        <v>159</v>
      </c>
      <c r="H1188" s="37" t="s">
        <v>126</v>
      </c>
      <c r="I1188" s="37" t="s">
        <v>127</v>
      </c>
      <c r="J1188" s="37" t="s">
        <v>34</v>
      </c>
      <c r="K1188" s="38">
        <v>12.058149999999999</v>
      </c>
      <c r="L1188" s="42">
        <v>1594.05</v>
      </c>
      <c r="M1188" s="37" t="s">
        <v>117</v>
      </c>
      <c r="N1188" s="40">
        <v>5.7320000000000002</v>
      </c>
      <c r="O1188" s="38">
        <v>5.731897</v>
      </c>
      <c r="P1188" s="39"/>
      <c r="Q1188" s="39"/>
      <c r="R1188" s="40">
        <v>5.7569999999999997</v>
      </c>
      <c r="S1188" s="38">
        <v>5.7218030000000004</v>
      </c>
      <c r="T1188" s="38">
        <v>2.0903999999999999E-2</v>
      </c>
      <c r="U1188" s="38">
        <v>1.4496999999999999E-2</v>
      </c>
      <c r="V1188" s="8">
        <f t="shared" si="18"/>
        <v>2022</v>
      </c>
    </row>
    <row r="1189" spans="1:22" s="41" customFormat="1" ht="14.4" hidden="1" x14ac:dyDescent="0.3">
      <c r="A1189" s="36">
        <v>44835</v>
      </c>
      <c r="B1189" s="37" t="s">
        <v>23</v>
      </c>
      <c r="C1189" s="37" t="s">
        <v>157</v>
      </c>
      <c r="D1189" s="37" t="s">
        <v>72</v>
      </c>
      <c r="E1189" s="37" t="s">
        <v>6</v>
      </c>
      <c r="F1189" s="37" t="s">
        <v>158</v>
      </c>
      <c r="G1189" s="37" t="s">
        <v>159</v>
      </c>
      <c r="H1189" s="37" t="s">
        <v>126</v>
      </c>
      <c r="I1189" s="37" t="s">
        <v>127</v>
      </c>
      <c r="J1189" s="37" t="s">
        <v>34</v>
      </c>
      <c r="K1189" s="38">
        <v>9.1091999999999995</v>
      </c>
      <c r="L1189" s="42">
        <v>1273.76</v>
      </c>
      <c r="M1189" s="37" t="s">
        <v>117</v>
      </c>
      <c r="N1189" s="40">
        <v>4.33</v>
      </c>
      <c r="O1189" s="38">
        <v>4.3300999999999998</v>
      </c>
      <c r="P1189" s="39"/>
      <c r="Q1189" s="39"/>
      <c r="R1189" s="40">
        <v>4.3490000000000002</v>
      </c>
      <c r="S1189" s="38">
        <v>4.3224749999999998</v>
      </c>
      <c r="T1189" s="38">
        <v>1.5792E-2</v>
      </c>
      <c r="U1189" s="38">
        <v>1.0952E-2</v>
      </c>
      <c r="V1189" s="8">
        <f t="shared" si="18"/>
        <v>2022</v>
      </c>
    </row>
    <row r="1190" spans="1:22" s="41" customFormat="1" ht="14.4" hidden="1" x14ac:dyDescent="0.3">
      <c r="A1190" s="36">
        <v>44866</v>
      </c>
      <c r="B1190" s="37" t="s">
        <v>23</v>
      </c>
      <c r="C1190" s="37" t="s">
        <v>157</v>
      </c>
      <c r="D1190" s="37" t="s">
        <v>72</v>
      </c>
      <c r="E1190" s="37" t="s">
        <v>6</v>
      </c>
      <c r="F1190" s="37" t="s">
        <v>158</v>
      </c>
      <c r="G1190" s="37" t="s">
        <v>159</v>
      </c>
      <c r="H1190" s="37" t="s">
        <v>126</v>
      </c>
      <c r="I1190" s="37" t="s">
        <v>127</v>
      </c>
      <c r="J1190" s="37" t="s">
        <v>34</v>
      </c>
      <c r="K1190" s="38">
        <v>10.1333</v>
      </c>
      <c r="L1190" s="42">
        <v>1394.54</v>
      </c>
      <c r="M1190" s="37" t="s">
        <v>117</v>
      </c>
      <c r="N1190" s="40">
        <v>4.8170000000000002</v>
      </c>
      <c r="O1190" s="38">
        <v>4.8169110000000002</v>
      </c>
      <c r="P1190" s="39"/>
      <c r="Q1190" s="39"/>
      <c r="R1190" s="40">
        <v>4.8380000000000001</v>
      </c>
      <c r="S1190" s="38">
        <v>4.8084280000000001</v>
      </c>
      <c r="T1190" s="38">
        <v>1.7566999999999999E-2</v>
      </c>
      <c r="U1190" s="38">
        <v>1.2182999999999999E-2</v>
      </c>
      <c r="V1190" s="8">
        <f t="shared" si="18"/>
        <v>2022</v>
      </c>
    </row>
    <row r="1191" spans="1:22" s="41" customFormat="1" ht="14.4" hidden="1" x14ac:dyDescent="0.3">
      <c r="A1191" s="36">
        <v>44896</v>
      </c>
      <c r="B1191" s="37" t="s">
        <v>23</v>
      </c>
      <c r="C1191" s="37" t="s">
        <v>157</v>
      </c>
      <c r="D1191" s="37" t="s">
        <v>72</v>
      </c>
      <c r="E1191" s="37" t="s">
        <v>6</v>
      </c>
      <c r="F1191" s="37" t="s">
        <v>158</v>
      </c>
      <c r="G1191" s="37" t="s">
        <v>159</v>
      </c>
      <c r="H1191" s="37" t="s">
        <v>126</v>
      </c>
      <c r="I1191" s="37" t="s">
        <v>127</v>
      </c>
      <c r="J1191" s="37" t="s">
        <v>34</v>
      </c>
      <c r="K1191" s="38">
        <v>10.1341</v>
      </c>
      <c r="L1191" s="42">
        <v>1587.4</v>
      </c>
      <c r="M1191" s="37" t="s">
        <v>117</v>
      </c>
      <c r="N1191" s="40">
        <v>4.8170000000000002</v>
      </c>
      <c r="O1191" s="38">
        <v>4.817291</v>
      </c>
      <c r="P1191" s="39"/>
      <c r="Q1191" s="39"/>
      <c r="R1191" s="40">
        <v>4.8390000000000004</v>
      </c>
      <c r="S1191" s="38">
        <v>4.808808</v>
      </c>
      <c r="T1191" s="38">
        <v>1.7569000000000001E-2</v>
      </c>
      <c r="U1191" s="38">
        <v>1.2184E-2</v>
      </c>
      <c r="V1191" s="8">
        <f t="shared" si="18"/>
        <v>2022</v>
      </c>
    </row>
    <row r="1192" spans="1:22" s="41" customFormat="1" ht="14.4" hidden="1" x14ac:dyDescent="0.3">
      <c r="A1192" s="36">
        <v>44927</v>
      </c>
      <c r="B1192" s="37" t="s">
        <v>23</v>
      </c>
      <c r="C1192" s="37" t="s">
        <v>157</v>
      </c>
      <c r="D1192" s="37" t="s">
        <v>72</v>
      </c>
      <c r="E1192" s="37" t="s">
        <v>6</v>
      </c>
      <c r="F1192" s="37" t="s">
        <v>158</v>
      </c>
      <c r="G1192" s="37" t="s">
        <v>159</v>
      </c>
      <c r="H1192" s="37" t="s">
        <v>126</v>
      </c>
      <c r="I1192" s="37" t="s">
        <v>127</v>
      </c>
      <c r="J1192" s="37" t="s">
        <v>34</v>
      </c>
      <c r="K1192" s="38">
        <v>10.932399999999999</v>
      </c>
      <c r="L1192" s="42">
        <v>1732.97</v>
      </c>
      <c r="M1192" s="37" t="s">
        <v>117</v>
      </c>
      <c r="N1192" s="40">
        <v>5.1970000000000001</v>
      </c>
      <c r="O1192" s="38">
        <v>5.1967670000000004</v>
      </c>
      <c r="P1192" s="39"/>
      <c r="Q1192" s="39"/>
      <c r="R1192" s="40">
        <v>5.22</v>
      </c>
      <c r="S1192" s="38">
        <v>5.1876150000000001</v>
      </c>
      <c r="T1192" s="38">
        <v>1.8953000000000001E-2</v>
      </c>
      <c r="U1192" s="38">
        <v>1.3143E-2</v>
      </c>
      <c r="V1192" s="8">
        <f t="shared" si="18"/>
        <v>2023</v>
      </c>
    </row>
    <row r="1193" spans="1:22" s="41" customFormat="1" ht="14.4" hidden="1" x14ac:dyDescent="0.3">
      <c r="A1193" s="36">
        <v>44958</v>
      </c>
      <c r="B1193" s="37" t="s">
        <v>23</v>
      </c>
      <c r="C1193" s="37" t="s">
        <v>157</v>
      </c>
      <c r="D1193" s="37" t="s">
        <v>72</v>
      </c>
      <c r="E1193" s="37" t="s">
        <v>6</v>
      </c>
      <c r="F1193" s="37" t="s">
        <v>158</v>
      </c>
      <c r="G1193" s="37" t="s">
        <v>159</v>
      </c>
      <c r="H1193" s="37" t="s">
        <v>126</v>
      </c>
      <c r="I1193" s="37" t="s">
        <v>127</v>
      </c>
      <c r="J1193" s="37" t="s">
        <v>34</v>
      </c>
      <c r="K1193" s="38">
        <v>9.5213000000000001</v>
      </c>
      <c r="L1193" s="42">
        <v>1522.04</v>
      </c>
      <c r="M1193" s="37" t="s">
        <v>117</v>
      </c>
      <c r="N1193" s="40">
        <v>4.5259999999999998</v>
      </c>
      <c r="O1193" s="38">
        <v>4.5259939999999999</v>
      </c>
      <c r="P1193" s="39"/>
      <c r="Q1193" s="39"/>
      <c r="R1193" s="40">
        <v>4.5460000000000003</v>
      </c>
      <c r="S1193" s="38">
        <v>4.5180230000000003</v>
      </c>
      <c r="T1193" s="38">
        <v>1.6506E-2</v>
      </c>
      <c r="U1193" s="38">
        <v>1.1447000000000001E-2</v>
      </c>
      <c r="V1193" s="8">
        <f t="shared" si="18"/>
        <v>2023</v>
      </c>
    </row>
    <row r="1194" spans="1:22" s="41" customFormat="1" ht="14.4" hidden="1" x14ac:dyDescent="0.3">
      <c r="A1194" s="36">
        <v>44986</v>
      </c>
      <c r="B1194" s="37" t="s">
        <v>23</v>
      </c>
      <c r="C1194" s="37" t="s">
        <v>157</v>
      </c>
      <c r="D1194" s="37" t="s">
        <v>72</v>
      </c>
      <c r="E1194" s="37" t="s">
        <v>6</v>
      </c>
      <c r="F1194" s="37" t="s">
        <v>158</v>
      </c>
      <c r="G1194" s="37" t="s">
        <v>159</v>
      </c>
      <c r="H1194" s="37" t="s">
        <v>126</v>
      </c>
      <c r="I1194" s="37" t="s">
        <v>127</v>
      </c>
      <c r="J1194" s="37" t="s">
        <v>34</v>
      </c>
      <c r="K1194" s="38">
        <v>9.5334000000000003</v>
      </c>
      <c r="L1194" s="42">
        <v>1565.34</v>
      </c>
      <c r="M1194" s="37" t="s">
        <v>117</v>
      </c>
      <c r="N1194" s="40">
        <v>4.532</v>
      </c>
      <c r="O1194" s="38">
        <v>4.5317460000000001</v>
      </c>
      <c r="P1194" s="39"/>
      <c r="Q1194" s="39"/>
      <c r="R1194" s="40">
        <v>4.5519999999999996</v>
      </c>
      <c r="S1194" s="38">
        <v>4.523765</v>
      </c>
      <c r="T1194" s="38">
        <v>1.6527E-2</v>
      </c>
      <c r="U1194" s="38">
        <v>1.1461000000000001E-2</v>
      </c>
      <c r="V1194" s="8">
        <f t="shared" si="18"/>
        <v>2023</v>
      </c>
    </row>
    <row r="1195" spans="1:22" s="41" customFormat="1" ht="14.4" hidden="1" x14ac:dyDescent="0.3">
      <c r="A1195" s="36">
        <v>45017</v>
      </c>
      <c r="B1195" s="37" t="s">
        <v>23</v>
      </c>
      <c r="C1195" s="37" t="s">
        <v>157</v>
      </c>
      <c r="D1195" s="37" t="s">
        <v>72</v>
      </c>
      <c r="E1195" s="37" t="s">
        <v>6</v>
      </c>
      <c r="F1195" s="37" t="s">
        <v>158</v>
      </c>
      <c r="G1195" s="37" t="s">
        <v>159</v>
      </c>
      <c r="H1195" s="37" t="s">
        <v>126</v>
      </c>
      <c r="I1195" s="37" t="s">
        <v>127</v>
      </c>
      <c r="J1195" s="37" t="s">
        <v>34</v>
      </c>
      <c r="K1195" s="38">
        <v>10.32865</v>
      </c>
      <c r="L1195" s="42">
        <v>1762.75</v>
      </c>
      <c r="M1195" s="37" t="s">
        <v>117</v>
      </c>
      <c r="N1195" s="40">
        <v>4.91</v>
      </c>
      <c r="O1195" s="38">
        <v>4.9097710000000001</v>
      </c>
      <c r="P1195" s="39"/>
      <c r="Q1195" s="39"/>
      <c r="R1195" s="40">
        <v>4.931</v>
      </c>
      <c r="S1195" s="38">
        <v>4.9011250000000004</v>
      </c>
      <c r="T1195" s="38">
        <v>1.7905999999999998E-2</v>
      </c>
      <c r="U1195" s="38">
        <v>1.2418E-2</v>
      </c>
      <c r="V1195" s="8">
        <f t="shared" si="18"/>
        <v>2023</v>
      </c>
    </row>
    <row r="1196" spans="1:22" s="41" customFormat="1" ht="14.4" hidden="1" x14ac:dyDescent="0.3">
      <c r="A1196" s="36">
        <v>45047</v>
      </c>
      <c r="B1196" s="37" t="s">
        <v>23</v>
      </c>
      <c r="C1196" s="37" t="s">
        <v>157</v>
      </c>
      <c r="D1196" s="37" t="s">
        <v>72</v>
      </c>
      <c r="E1196" s="37" t="s">
        <v>6</v>
      </c>
      <c r="F1196" s="37" t="s">
        <v>158</v>
      </c>
      <c r="G1196" s="37" t="s">
        <v>159</v>
      </c>
      <c r="H1196" s="37" t="s">
        <v>126</v>
      </c>
      <c r="I1196" s="37" t="s">
        <v>127</v>
      </c>
      <c r="J1196" s="37" t="s">
        <v>34</v>
      </c>
      <c r="K1196" s="38">
        <v>10.9566</v>
      </c>
      <c r="L1196" s="42">
        <v>1794.77</v>
      </c>
      <c r="M1196" s="37" t="s">
        <v>117</v>
      </c>
      <c r="N1196" s="40">
        <v>5.2080000000000002</v>
      </c>
      <c r="O1196" s="38">
        <v>5.2082699999999997</v>
      </c>
      <c r="P1196" s="39"/>
      <c r="Q1196" s="39"/>
      <c r="R1196" s="40">
        <v>5.2309999999999999</v>
      </c>
      <c r="S1196" s="38">
        <v>5.1990980000000002</v>
      </c>
      <c r="T1196" s="38">
        <v>1.8995000000000001E-2</v>
      </c>
      <c r="U1196" s="38">
        <v>1.3173000000000001E-2</v>
      </c>
      <c r="V1196" s="8">
        <f t="shared" si="18"/>
        <v>2023</v>
      </c>
    </row>
    <row r="1197" spans="1:22" s="41" customFormat="1" ht="14.4" hidden="1" x14ac:dyDescent="0.3">
      <c r="A1197" s="36">
        <v>45078</v>
      </c>
      <c r="B1197" s="37" t="s">
        <v>23</v>
      </c>
      <c r="C1197" s="37" t="s">
        <v>157</v>
      </c>
      <c r="D1197" s="37" t="s">
        <v>72</v>
      </c>
      <c r="E1197" s="37" t="s">
        <v>6</v>
      </c>
      <c r="F1197" s="37" t="s">
        <v>158</v>
      </c>
      <c r="G1197" s="37" t="s">
        <v>159</v>
      </c>
      <c r="H1197" s="37" t="s">
        <v>126</v>
      </c>
      <c r="I1197" s="37" t="s">
        <v>127</v>
      </c>
      <c r="J1197" s="37" t="s">
        <v>34</v>
      </c>
      <c r="K1197" s="38">
        <v>10.467449999999999</v>
      </c>
      <c r="L1197" s="42">
        <v>1853.38</v>
      </c>
      <c r="M1197" s="37" t="s">
        <v>117</v>
      </c>
      <c r="N1197" s="40">
        <v>4.976</v>
      </c>
      <c r="O1197" s="38">
        <v>4.9757499999999997</v>
      </c>
      <c r="P1197" s="39"/>
      <c r="Q1197" s="39"/>
      <c r="R1197" s="40">
        <v>4.9980000000000002</v>
      </c>
      <c r="S1197" s="38">
        <v>4.9669879999999997</v>
      </c>
      <c r="T1197" s="38">
        <v>1.8147E-2</v>
      </c>
      <c r="U1197" s="38">
        <v>1.2584E-2</v>
      </c>
      <c r="V1197" s="8">
        <f t="shared" si="18"/>
        <v>2023</v>
      </c>
    </row>
    <row r="1198" spans="1:22" s="41" customFormat="1" ht="14.4" hidden="1" x14ac:dyDescent="0.3">
      <c r="A1198" s="36">
        <v>45108</v>
      </c>
      <c r="B1198" s="37" t="s">
        <v>23</v>
      </c>
      <c r="C1198" s="37" t="s">
        <v>157</v>
      </c>
      <c r="D1198" s="37" t="s">
        <v>72</v>
      </c>
      <c r="E1198" s="37" t="s">
        <v>6</v>
      </c>
      <c r="F1198" s="37" t="s">
        <v>158</v>
      </c>
      <c r="G1198" s="37" t="s">
        <v>159</v>
      </c>
      <c r="H1198" s="37" t="s">
        <v>126</v>
      </c>
      <c r="I1198" s="37" t="s">
        <v>127</v>
      </c>
      <c r="J1198" s="37" t="s">
        <v>34</v>
      </c>
      <c r="K1198" s="38">
        <v>12.0756</v>
      </c>
      <c r="L1198" s="42">
        <v>2143.41</v>
      </c>
      <c r="M1198" s="37" t="s">
        <v>117</v>
      </c>
      <c r="N1198" s="40">
        <v>5.74</v>
      </c>
      <c r="O1198" s="38">
        <v>5.7401920000000004</v>
      </c>
      <c r="P1198" s="39"/>
      <c r="Q1198" s="39"/>
      <c r="R1198" s="40">
        <v>5.766</v>
      </c>
      <c r="S1198" s="38">
        <v>5.7300829999999996</v>
      </c>
      <c r="T1198" s="38">
        <v>2.0934999999999999E-2</v>
      </c>
      <c r="U1198" s="38">
        <v>1.4518E-2</v>
      </c>
      <c r="V1198" s="8">
        <f t="shared" si="18"/>
        <v>2023</v>
      </c>
    </row>
    <row r="1199" spans="1:22" s="41" customFormat="1" ht="14.4" hidden="1" x14ac:dyDescent="0.3">
      <c r="A1199" s="36">
        <v>45139</v>
      </c>
      <c r="B1199" s="37" t="s">
        <v>23</v>
      </c>
      <c r="C1199" s="37" t="s">
        <v>157</v>
      </c>
      <c r="D1199" s="37" t="s">
        <v>72</v>
      </c>
      <c r="E1199" s="37" t="s">
        <v>6</v>
      </c>
      <c r="F1199" s="37" t="s">
        <v>158</v>
      </c>
      <c r="G1199" s="37" t="s">
        <v>159</v>
      </c>
      <c r="H1199" s="37" t="s">
        <v>126</v>
      </c>
      <c r="I1199" s="37" t="s">
        <v>127</v>
      </c>
      <c r="J1199" s="37" t="s">
        <v>34</v>
      </c>
      <c r="K1199" s="38">
        <v>12.510400000000001</v>
      </c>
      <c r="L1199" s="42">
        <v>2203.87</v>
      </c>
      <c r="M1199" s="37" t="s">
        <v>117</v>
      </c>
      <c r="N1199" s="40">
        <v>5.9470000000000001</v>
      </c>
      <c r="O1199" s="38">
        <v>5.9468759999999996</v>
      </c>
      <c r="P1199" s="39"/>
      <c r="Q1199" s="39"/>
      <c r="R1199" s="40">
        <v>5.9729999999999999</v>
      </c>
      <c r="S1199" s="38">
        <v>5.9364039999999996</v>
      </c>
      <c r="T1199" s="38">
        <v>2.1687999999999999E-2</v>
      </c>
      <c r="U1199" s="38">
        <v>1.5041000000000001E-2</v>
      </c>
      <c r="V1199" s="8">
        <f t="shared" si="18"/>
        <v>2023</v>
      </c>
    </row>
    <row r="1200" spans="1:22" s="41" customFormat="1" ht="14.4" hidden="1" x14ac:dyDescent="0.3">
      <c r="A1200" s="36">
        <v>45170</v>
      </c>
      <c r="B1200" s="37" t="s">
        <v>23</v>
      </c>
      <c r="C1200" s="37" t="s">
        <v>157</v>
      </c>
      <c r="D1200" s="37" t="s">
        <v>72</v>
      </c>
      <c r="E1200" s="37" t="s">
        <v>6</v>
      </c>
      <c r="F1200" s="37" t="s">
        <v>158</v>
      </c>
      <c r="G1200" s="37" t="s">
        <v>159</v>
      </c>
      <c r="H1200" s="37" t="s">
        <v>126</v>
      </c>
      <c r="I1200" s="37" t="s">
        <v>127</v>
      </c>
      <c r="J1200" s="37" t="s">
        <v>34</v>
      </c>
      <c r="K1200" s="38">
        <v>11.637449999999999</v>
      </c>
      <c r="L1200" s="42">
        <v>2100.16</v>
      </c>
      <c r="M1200" s="37" t="s">
        <v>117</v>
      </c>
      <c r="N1200" s="40">
        <v>5.532</v>
      </c>
      <c r="O1200" s="38">
        <v>5.5319149999999997</v>
      </c>
      <c r="P1200" s="39"/>
      <c r="Q1200" s="39"/>
      <c r="R1200" s="40">
        <v>5.556</v>
      </c>
      <c r="S1200" s="38">
        <v>5.5221739999999997</v>
      </c>
      <c r="T1200" s="38">
        <v>2.0174999999999998E-2</v>
      </c>
      <c r="U1200" s="38">
        <v>1.3991E-2</v>
      </c>
      <c r="V1200" s="8">
        <f t="shared" si="18"/>
        <v>2023</v>
      </c>
    </row>
    <row r="1201" spans="1:22" s="41" customFormat="1" ht="14.4" hidden="1" x14ac:dyDescent="0.3">
      <c r="A1201" s="36">
        <v>45200</v>
      </c>
      <c r="B1201" s="37" t="s">
        <v>23</v>
      </c>
      <c r="C1201" s="37" t="s">
        <v>157</v>
      </c>
      <c r="D1201" s="37" t="s">
        <v>72</v>
      </c>
      <c r="E1201" s="37" t="s">
        <v>6</v>
      </c>
      <c r="F1201" s="37" t="s">
        <v>158</v>
      </c>
      <c r="G1201" s="37" t="s">
        <v>159</v>
      </c>
      <c r="H1201" s="37" t="s">
        <v>126</v>
      </c>
      <c r="I1201" s="37" t="s">
        <v>127</v>
      </c>
      <c r="J1201" s="37" t="s">
        <v>34</v>
      </c>
      <c r="K1201" s="38">
        <v>9.7694500000000009</v>
      </c>
      <c r="L1201" s="42">
        <v>1807.51</v>
      </c>
      <c r="M1201" s="37" t="s">
        <v>117</v>
      </c>
      <c r="N1201" s="40">
        <v>4.6440000000000001</v>
      </c>
      <c r="O1201" s="38">
        <v>4.6439529999999998</v>
      </c>
      <c r="P1201" s="39"/>
      <c r="Q1201" s="39"/>
      <c r="R1201" s="40">
        <v>4.6639999999999997</v>
      </c>
      <c r="S1201" s="38">
        <v>4.6357749999999998</v>
      </c>
      <c r="T1201" s="38">
        <v>1.6937000000000001E-2</v>
      </c>
      <c r="U1201" s="38">
        <v>1.1745E-2</v>
      </c>
      <c r="V1201" s="8">
        <f t="shared" si="18"/>
        <v>2023</v>
      </c>
    </row>
    <row r="1202" spans="1:22" s="41" customFormat="1" ht="14.4" hidden="1" x14ac:dyDescent="0.3">
      <c r="A1202" s="36">
        <v>45231</v>
      </c>
      <c r="B1202" s="37" t="s">
        <v>23</v>
      </c>
      <c r="C1202" s="37" t="s">
        <v>157</v>
      </c>
      <c r="D1202" s="37" t="s">
        <v>72</v>
      </c>
      <c r="E1202" s="37" t="s">
        <v>6</v>
      </c>
      <c r="F1202" s="37" t="s">
        <v>158</v>
      </c>
      <c r="G1202" s="37" t="s">
        <v>159</v>
      </c>
      <c r="H1202" s="37" t="s">
        <v>126</v>
      </c>
      <c r="I1202" s="37" t="s">
        <v>127</v>
      </c>
      <c r="J1202" s="37" t="s">
        <v>34</v>
      </c>
      <c r="K1202" s="38">
        <v>9.9039999999999999</v>
      </c>
      <c r="L1202" s="42">
        <v>1766.11</v>
      </c>
      <c r="M1202" s="37" t="s">
        <v>117</v>
      </c>
      <c r="N1202" s="40">
        <v>4.7080000000000002</v>
      </c>
      <c r="O1202" s="38">
        <v>4.7079120000000003</v>
      </c>
      <c r="P1202" s="39"/>
      <c r="Q1202" s="39"/>
      <c r="R1202" s="40">
        <v>4.7290000000000001</v>
      </c>
      <c r="S1202" s="38">
        <v>4.6996209999999996</v>
      </c>
      <c r="T1202" s="38">
        <v>1.7170000000000001E-2</v>
      </c>
      <c r="U1202" s="38">
        <v>1.1906999999999999E-2</v>
      </c>
      <c r="V1202" s="8">
        <f t="shared" si="18"/>
        <v>2023</v>
      </c>
    </row>
    <row r="1203" spans="1:22" s="41" customFormat="1" ht="14.4" hidden="1" x14ac:dyDescent="0.3">
      <c r="A1203" s="36">
        <v>45261</v>
      </c>
      <c r="B1203" s="37" t="s">
        <v>23</v>
      </c>
      <c r="C1203" s="37" t="s">
        <v>157</v>
      </c>
      <c r="D1203" s="37" t="s">
        <v>72</v>
      </c>
      <c r="E1203" s="37" t="s">
        <v>6</v>
      </c>
      <c r="F1203" s="37" t="s">
        <v>158</v>
      </c>
      <c r="G1203" s="37" t="s">
        <v>159</v>
      </c>
      <c r="H1203" s="37" t="s">
        <v>126</v>
      </c>
      <c r="I1203" s="37" t="s">
        <v>127</v>
      </c>
      <c r="J1203" s="37" t="s">
        <v>34</v>
      </c>
      <c r="K1203" s="38">
        <v>9.5680999999999994</v>
      </c>
      <c r="L1203" s="42">
        <v>1607.49</v>
      </c>
      <c r="M1203" s="37" t="s">
        <v>117</v>
      </c>
      <c r="N1203" s="40">
        <v>4.548</v>
      </c>
      <c r="O1203" s="38">
        <v>4.5482399999999998</v>
      </c>
      <c r="P1203" s="39"/>
      <c r="Q1203" s="39"/>
      <c r="R1203" s="40">
        <v>4.5679999999999996</v>
      </c>
      <c r="S1203" s="38">
        <v>4.5402310000000003</v>
      </c>
      <c r="T1203" s="38">
        <v>1.6587000000000001E-2</v>
      </c>
      <c r="U1203" s="38">
        <v>1.1502999999999999E-2</v>
      </c>
      <c r="V1203" s="8">
        <f t="shared" si="18"/>
        <v>2023</v>
      </c>
    </row>
    <row r="1204" spans="1:22" s="41" customFormat="1" ht="14.4" hidden="1" x14ac:dyDescent="0.3">
      <c r="A1204" s="36">
        <v>44927</v>
      </c>
      <c r="B1204" s="37" t="s">
        <v>27</v>
      </c>
      <c r="C1204" s="37" t="s">
        <v>157</v>
      </c>
      <c r="D1204" s="37" t="s">
        <v>72</v>
      </c>
      <c r="E1204" s="37" t="s">
        <v>7</v>
      </c>
      <c r="F1204" s="37" t="s">
        <v>158</v>
      </c>
      <c r="G1204" s="37" t="s">
        <v>159</v>
      </c>
      <c r="H1204" s="37" t="s">
        <v>126</v>
      </c>
      <c r="I1204" s="37" t="s">
        <v>127</v>
      </c>
      <c r="J1204" s="37" t="s">
        <v>36</v>
      </c>
      <c r="K1204" s="38">
        <v>4.3241639999999997</v>
      </c>
      <c r="L1204" s="39"/>
      <c r="M1204" s="37" t="s">
        <v>117</v>
      </c>
      <c r="N1204" s="40">
        <v>2.25</v>
      </c>
      <c r="O1204" s="38">
        <v>2.250013</v>
      </c>
      <c r="P1204" s="39"/>
      <c r="Q1204" s="39"/>
      <c r="R1204" s="40">
        <v>2.25</v>
      </c>
      <c r="S1204" s="38">
        <v>2.250013</v>
      </c>
      <c r="T1204" s="39"/>
      <c r="U1204" s="39"/>
      <c r="V1204" s="8">
        <f t="shared" ref="V1204:V1267" si="19">YEAR(A1204)</f>
        <v>2023</v>
      </c>
    </row>
    <row r="1205" spans="1:22" s="41" customFormat="1" ht="14.4" hidden="1" x14ac:dyDescent="0.3">
      <c r="A1205" s="36">
        <v>44927</v>
      </c>
      <c r="B1205" s="37" t="s">
        <v>28</v>
      </c>
      <c r="C1205" s="37" t="s">
        <v>157</v>
      </c>
      <c r="D1205" s="37" t="s">
        <v>72</v>
      </c>
      <c r="E1205" s="37" t="s">
        <v>7</v>
      </c>
      <c r="F1205" s="37" t="s">
        <v>158</v>
      </c>
      <c r="G1205" s="37" t="s">
        <v>159</v>
      </c>
      <c r="H1205" s="37" t="s">
        <v>126</v>
      </c>
      <c r="I1205" s="37" t="s">
        <v>127</v>
      </c>
      <c r="J1205" s="37" t="s">
        <v>36</v>
      </c>
      <c r="K1205" s="38">
        <v>8.6485780000000005</v>
      </c>
      <c r="L1205" s="39"/>
      <c r="M1205" s="37" t="s">
        <v>117</v>
      </c>
      <c r="N1205" s="40">
        <v>0.184</v>
      </c>
      <c r="O1205" s="38">
        <v>0.18404899999999999</v>
      </c>
      <c r="P1205" s="39"/>
      <c r="Q1205" s="39"/>
      <c r="R1205" s="40">
        <v>0.184</v>
      </c>
      <c r="S1205" s="38">
        <v>0.18404899999999999</v>
      </c>
      <c r="T1205" s="39"/>
      <c r="U1205" s="39"/>
      <c r="V1205" s="8">
        <f t="shared" si="19"/>
        <v>2023</v>
      </c>
    </row>
    <row r="1206" spans="1:22" s="41" customFormat="1" ht="14.4" hidden="1" x14ac:dyDescent="0.3">
      <c r="A1206" s="36">
        <v>44958</v>
      </c>
      <c r="B1206" s="37" t="s">
        <v>27</v>
      </c>
      <c r="C1206" s="37" t="s">
        <v>157</v>
      </c>
      <c r="D1206" s="37" t="s">
        <v>72</v>
      </c>
      <c r="E1206" s="37" t="s">
        <v>7</v>
      </c>
      <c r="F1206" s="37" t="s">
        <v>158</v>
      </c>
      <c r="G1206" s="37" t="s">
        <v>159</v>
      </c>
      <c r="H1206" s="37" t="s">
        <v>126</v>
      </c>
      <c r="I1206" s="37" t="s">
        <v>127</v>
      </c>
      <c r="J1206" s="37" t="s">
        <v>36</v>
      </c>
      <c r="K1206" s="38">
        <v>4.3241639999999997</v>
      </c>
      <c r="L1206" s="39"/>
      <c r="M1206" s="37" t="s">
        <v>117</v>
      </c>
      <c r="N1206" s="40">
        <v>2.25</v>
      </c>
      <c r="O1206" s="38">
        <v>2.250013</v>
      </c>
      <c r="P1206" s="39"/>
      <c r="Q1206" s="39"/>
      <c r="R1206" s="40">
        <v>2.25</v>
      </c>
      <c r="S1206" s="38">
        <v>2.250013</v>
      </c>
      <c r="T1206" s="39"/>
      <c r="U1206" s="39"/>
      <c r="V1206" s="8">
        <f t="shared" si="19"/>
        <v>2023</v>
      </c>
    </row>
    <row r="1207" spans="1:22" s="41" customFormat="1" ht="14.4" hidden="1" x14ac:dyDescent="0.3">
      <c r="A1207" s="36">
        <v>44958</v>
      </c>
      <c r="B1207" s="37" t="s">
        <v>28</v>
      </c>
      <c r="C1207" s="37" t="s">
        <v>157</v>
      </c>
      <c r="D1207" s="37" t="s">
        <v>72</v>
      </c>
      <c r="E1207" s="37" t="s">
        <v>7</v>
      </c>
      <c r="F1207" s="37" t="s">
        <v>158</v>
      </c>
      <c r="G1207" s="37" t="s">
        <v>159</v>
      </c>
      <c r="H1207" s="37" t="s">
        <v>126</v>
      </c>
      <c r="I1207" s="37" t="s">
        <v>127</v>
      </c>
      <c r="J1207" s="37" t="s">
        <v>36</v>
      </c>
      <c r="K1207" s="38">
        <v>8.6485780000000005</v>
      </c>
      <c r="L1207" s="39"/>
      <c r="M1207" s="37" t="s">
        <v>117</v>
      </c>
      <c r="N1207" s="40">
        <v>0.184</v>
      </c>
      <c r="O1207" s="38">
        <v>0.18404899999999999</v>
      </c>
      <c r="P1207" s="39"/>
      <c r="Q1207" s="39"/>
      <c r="R1207" s="40">
        <v>0.184</v>
      </c>
      <c r="S1207" s="38">
        <v>0.18404899999999999</v>
      </c>
      <c r="T1207" s="39"/>
      <c r="U1207" s="39"/>
      <c r="V1207" s="8">
        <f t="shared" si="19"/>
        <v>2023</v>
      </c>
    </row>
    <row r="1208" spans="1:22" s="41" customFormat="1" ht="14.4" hidden="1" x14ac:dyDescent="0.3">
      <c r="A1208" s="36">
        <v>44986</v>
      </c>
      <c r="B1208" s="37" t="s">
        <v>27</v>
      </c>
      <c r="C1208" s="37" t="s">
        <v>157</v>
      </c>
      <c r="D1208" s="37" t="s">
        <v>72</v>
      </c>
      <c r="E1208" s="37" t="s">
        <v>7</v>
      </c>
      <c r="F1208" s="37" t="s">
        <v>158</v>
      </c>
      <c r="G1208" s="37" t="s">
        <v>159</v>
      </c>
      <c r="H1208" s="37" t="s">
        <v>126</v>
      </c>
      <c r="I1208" s="37" t="s">
        <v>127</v>
      </c>
      <c r="J1208" s="37" t="s">
        <v>36</v>
      </c>
      <c r="K1208" s="38">
        <v>4.3241639999999997</v>
      </c>
      <c r="L1208" s="39"/>
      <c r="M1208" s="37" t="s">
        <v>117</v>
      </c>
      <c r="N1208" s="40">
        <v>2.25</v>
      </c>
      <c r="O1208" s="38">
        <v>2.250013</v>
      </c>
      <c r="P1208" s="39"/>
      <c r="Q1208" s="39"/>
      <c r="R1208" s="40">
        <v>2.25</v>
      </c>
      <c r="S1208" s="38">
        <v>2.250013</v>
      </c>
      <c r="T1208" s="39"/>
      <c r="U1208" s="39"/>
      <c r="V1208" s="8">
        <f t="shared" si="19"/>
        <v>2023</v>
      </c>
    </row>
    <row r="1209" spans="1:22" s="41" customFormat="1" ht="14.4" hidden="1" x14ac:dyDescent="0.3">
      <c r="A1209" s="36">
        <v>44986</v>
      </c>
      <c r="B1209" s="37" t="s">
        <v>28</v>
      </c>
      <c r="C1209" s="37" t="s">
        <v>157</v>
      </c>
      <c r="D1209" s="37" t="s">
        <v>72</v>
      </c>
      <c r="E1209" s="37" t="s">
        <v>7</v>
      </c>
      <c r="F1209" s="37" t="s">
        <v>158</v>
      </c>
      <c r="G1209" s="37" t="s">
        <v>159</v>
      </c>
      <c r="H1209" s="37" t="s">
        <v>126</v>
      </c>
      <c r="I1209" s="37" t="s">
        <v>127</v>
      </c>
      <c r="J1209" s="37" t="s">
        <v>36</v>
      </c>
      <c r="K1209" s="38">
        <v>8.6485780000000005</v>
      </c>
      <c r="L1209" s="39"/>
      <c r="M1209" s="37" t="s">
        <v>117</v>
      </c>
      <c r="N1209" s="40">
        <v>0.184</v>
      </c>
      <c r="O1209" s="38">
        <v>0.18404899999999999</v>
      </c>
      <c r="P1209" s="39"/>
      <c r="Q1209" s="39"/>
      <c r="R1209" s="40">
        <v>0.184</v>
      </c>
      <c r="S1209" s="38">
        <v>0.18404899999999999</v>
      </c>
      <c r="T1209" s="39"/>
      <c r="U1209" s="39"/>
      <c r="V1209" s="8">
        <f t="shared" si="19"/>
        <v>2023</v>
      </c>
    </row>
    <row r="1210" spans="1:22" s="41" customFormat="1" ht="14.4" hidden="1" x14ac:dyDescent="0.3">
      <c r="A1210" s="36">
        <v>45017</v>
      </c>
      <c r="B1210" s="37" t="s">
        <v>27</v>
      </c>
      <c r="C1210" s="37" t="s">
        <v>157</v>
      </c>
      <c r="D1210" s="37" t="s">
        <v>72</v>
      </c>
      <c r="E1210" s="37" t="s">
        <v>7</v>
      </c>
      <c r="F1210" s="37" t="s">
        <v>158</v>
      </c>
      <c r="G1210" s="37" t="s">
        <v>159</v>
      </c>
      <c r="H1210" s="37" t="s">
        <v>126</v>
      </c>
      <c r="I1210" s="37" t="s">
        <v>127</v>
      </c>
      <c r="J1210" s="37" t="s">
        <v>36</v>
      </c>
      <c r="K1210" s="38">
        <v>4.3241639999999997</v>
      </c>
      <c r="L1210" s="39"/>
      <c r="M1210" s="37" t="s">
        <v>117</v>
      </c>
      <c r="N1210" s="40">
        <v>2.25</v>
      </c>
      <c r="O1210" s="38">
        <v>2.250013</v>
      </c>
      <c r="P1210" s="39"/>
      <c r="Q1210" s="39"/>
      <c r="R1210" s="40">
        <v>2.25</v>
      </c>
      <c r="S1210" s="38">
        <v>2.250013</v>
      </c>
      <c r="T1210" s="39"/>
      <c r="U1210" s="39"/>
      <c r="V1210" s="8">
        <f t="shared" si="19"/>
        <v>2023</v>
      </c>
    </row>
    <row r="1211" spans="1:22" s="41" customFormat="1" ht="14.4" hidden="1" x14ac:dyDescent="0.3">
      <c r="A1211" s="36">
        <v>45017</v>
      </c>
      <c r="B1211" s="37" t="s">
        <v>28</v>
      </c>
      <c r="C1211" s="37" t="s">
        <v>157</v>
      </c>
      <c r="D1211" s="37" t="s">
        <v>72</v>
      </c>
      <c r="E1211" s="37" t="s">
        <v>7</v>
      </c>
      <c r="F1211" s="37" t="s">
        <v>158</v>
      </c>
      <c r="G1211" s="37" t="s">
        <v>159</v>
      </c>
      <c r="H1211" s="37" t="s">
        <v>126</v>
      </c>
      <c r="I1211" s="37" t="s">
        <v>127</v>
      </c>
      <c r="J1211" s="37" t="s">
        <v>36</v>
      </c>
      <c r="K1211" s="38">
        <v>8.6485780000000005</v>
      </c>
      <c r="L1211" s="39"/>
      <c r="M1211" s="37" t="s">
        <v>117</v>
      </c>
      <c r="N1211" s="40">
        <v>0.184</v>
      </c>
      <c r="O1211" s="38">
        <v>0.18404899999999999</v>
      </c>
      <c r="P1211" s="39"/>
      <c r="Q1211" s="39"/>
      <c r="R1211" s="40">
        <v>0.184</v>
      </c>
      <c r="S1211" s="38">
        <v>0.18404899999999999</v>
      </c>
      <c r="T1211" s="39"/>
      <c r="U1211" s="39"/>
      <c r="V1211" s="8">
        <f t="shared" si="19"/>
        <v>2023</v>
      </c>
    </row>
    <row r="1212" spans="1:22" s="41" customFormat="1" ht="14.4" hidden="1" x14ac:dyDescent="0.3">
      <c r="A1212" s="36">
        <v>45047</v>
      </c>
      <c r="B1212" s="37" t="s">
        <v>27</v>
      </c>
      <c r="C1212" s="37" t="s">
        <v>157</v>
      </c>
      <c r="D1212" s="37" t="s">
        <v>72</v>
      </c>
      <c r="E1212" s="37" t="s">
        <v>7</v>
      </c>
      <c r="F1212" s="37" t="s">
        <v>158</v>
      </c>
      <c r="G1212" s="37" t="s">
        <v>159</v>
      </c>
      <c r="H1212" s="37" t="s">
        <v>126</v>
      </c>
      <c r="I1212" s="37" t="s">
        <v>127</v>
      </c>
      <c r="J1212" s="37" t="s">
        <v>36</v>
      </c>
      <c r="K1212" s="38">
        <v>4.3241639999999997</v>
      </c>
      <c r="L1212" s="39"/>
      <c r="M1212" s="37" t="s">
        <v>117</v>
      </c>
      <c r="N1212" s="40">
        <v>2.25</v>
      </c>
      <c r="O1212" s="38">
        <v>2.250013</v>
      </c>
      <c r="P1212" s="39"/>
      <c r="Q1212" s="39"/>
      <c r="R1212" s="40">
        <v>2.25</v>
      </c>
      <c r="S1212" s="38">
        <v>2.250013</v>
      </c>
      <c r="T1212" s="39"/>
      <c r="U1212" s="39"/>
      <c r="V1212" s="8">
        <f t="shared" si="19"/>
        <v>2023</v>
      </c>
    </row>
    <row r="1213" spans="1:22" s="41" customFormat="1" ht="14.4" hidden="1" x14ac:dyDescent="0.3">
      <c r="A1213" s="36">
        <v>45047</v>
      </c>
      <c r="B1213" s="37" t="s">
        <v>28</v>
      </c>
      <c r="C1213" s="37" t="s">
        <v>157</v>
      </c>
      <c r="D1213" s="37" t="s">
        <v>72</v>
      </c>
      <c r="E1213" s="37" t="s">
        <v>7</v>
      </c>
      <c r="F1213" s="37" t="s">
        <v>158</v>
      </c>
      <c r="G1213" s="37" t="s">
        <v>159</v>
      </c>
      <c r="H1213" s="37" t="s">
        <v>126</v>
      </c>
      <c r="I1213" s="37" t="s">
        <v>127</v>
      </c>
      <c r="J1213" s="37" t="s">
        <v>36</v>
      </c>
      <c r="K1213" s="38">
        <v>8.6485780000000005</v>
      </c>
      <c r="L1213" s="39"/>
      <c r="M1213" s="37" t="s">
        <v>117</v>
      </c>
      <c r="N1213" s="40">
        <v>0.184</v>
      </c>
      <c r="O1213" s="38">
        <v>0.18404899999999999</v>
      </c>
      <c r="P1213" s="39"/>
      <c r="Q1213" s="39"/>
      <c r="R1213" s="40">
        <v>0.184</v>
      </c>
      <c r="S1213" s="38">
        <v>0.18404899999999999</v>
      </c>
      <c r="T1213" s="39"/>
      <c r="U1213" s="39"/>
      <c r="V1213" s="8">
        <f t="shared" si="19"/>
        <v>2023</v>
      </c>
    </row>
    <row r="1214" spans="1:22" s="41" customFormat="1" ht="14.4" hidden="1" x14ac:dyDescent="0.3">
      <c r="A1214" s="36">
        <v>45078</v>
      </c>
      <c r="B1214" s="37" t="s">
        <v>27</v>
      </c>
      <c r="C1214" s="37" t="s">
        <v>157</v>
      </c>
      <c r="D1214" s="37" t="s">
        <v>72</v>
      </c>
      <c r="E1214" s="37" t="s">
        <v>7</v>
      </c>
      <c r="F1214" s="37" t="s">
        <v>158</v>
      </c>
      <c r="G1214" s="37" t="s">
        <v>159</v>
      </c>
      <c r="H1214" s="37" t="s">
        <v>126</v>
      </c>
      <c r="I1214" s="37" t="s">
        <v>127</v>
      </c>
      <c r="J1214" s="37" t="s">
        <v>36</v>
      </c>
      <c r="K1214" s="38">
        <v>4.3241639999999997</v>
      </c>
      <c r="L1214" s="39"/>
      <c r="M1214" s="37" t="s">
        <v>117</v>
      </c>
      <c r="N1214" s="40">
        <v>2.25</v>
      </c>
      <c r="O1214" s="38">
        <v>2.250013</v>
      </c>
      <c r="P1214" s="39"/>
      <c r="Q1214" s="39"/>
      <c r="R1214" s="40">
        <v>2.25</v>
      </c>
      <c r="S1214" s="38">
        <v>2.250013</v>
      </c>
      <c r="T1214" s="39"/>
      <c r="U1214" s="39"/>
      <c r="V1214" s="8">
        <f t="shared" si="19"/>
        <v>2023</v>
      </c>
    </row>
    <row r="1215" spans="1:22" s="41" customFormat="1" ht="14.4" hidden="1" x14ac:dyDescent="0.3">
      <c r="A1215" s="36">
        <v>45078</v>
      </c>
      <c r="B1215" s="37" t="s">
        <v>28</v>
      </c>
      <c r="C1215" s="37" t="s">
        <v>157</v>
      </c>
      <c r="D1215" s="37" t="s">
        <v>72</v>
      </c>
      <c r="E1215" s="37" t="s">
        <v>7</v>
      </c>
      <c r="F1215" s="37" t="s">
        <v>158</v>
      </c>
      <c r="G1215" s="37" t="s">
        <v>159</v>
      </c>
      <c r="H1215" s="37" t="s">
        <v>126</v>
      </c>
      <c r="I1215" s="37" t="s">
        <v>127</v>
      </c>
      <c r="J1215" s="37" t="s">
        <v>36</v>
      </c>
      <c r="K1215" s="38">
        <v>8.6485780000000005</v>
      </c>
      <c r="L1215" s="39"/>
      <c r="M1215" s="37" t="s">
        <v>117</v>
      </c>
      <c r="N1215" s="40">
        <v>0.184</v>
      </c>
      <c r="O1215" s="38">
        <v>0.18404899999999999</v>
      </c>
      <c r="P1215" s="39"/>
      <c r="Q1215" s="39"/>
      <c r="R1215" s="40">
        <v>0.184</v>
      </c>
      <c r="S1215" s="38">
        <v>0.18404899999999999</v>
      </c>
      <c r="T1215" s="39"/>
      <c r="U1215" s="39"/>
      <c r="V1215" s="8">
        <f t="shared" si="19"/>
        <v>2023</v>
      </c>
    </row>
    <row r="1216" spans="1:22" s="41" customFormat="1" ht="14.4" hidden="1" x14ac:dyDescent="0.3">
      <c r="A1216" s="36">
        <v>45108</v>
      </c>
      <c r="B1216" s="37" t="s">
        <v>27</v>
      </c>
      <c r="C1216" s="37" t="s">
        <v>157</v>
      </c>
      <c r="D1216" s="37" t="s">
        <v>72</v>
      </c>
      <c r="E1216" s="37" t="s">
        <v>7</v>
      </c>
      <c r="F1216" s="37" t="s">
        <v>158</v>
      </c>
      <c r="G1216" s="37" t="s">
        <v>159</v>
      </c>
      <c r="H1216" s="37" t="s">
        <v>126</v>
      </c>
      <c r="I1216" s="37" t="s">
        <v>127</v>
      </c>
      <c r="J1216" s="37" t="s">
        <v>36</v>
      </c>
      <c r="K1216" s="38">
        <v>4.3241639999999997</v>
      </c>
      <c r="L1216" s="39"/>
      <c r="M1216" s="37" t="s">
        <v>117</v>
      </c>
      <c r="N1216" s="40">
        <v>2.25</v>
      </c>
      <c r="O1216" s="38">
        <v>2.250013</v>
      </c>
      <c r="P1216" s="39"/>
      <c r="Q1216" s="39"/>
      <c r="R1216" s="40">
        <v>2.25</v>
      </c>
      <c r="S1216" s="38">
        <v>2.250013</v>
      </c>
      <c r="T1216" s="39"/>
      <c r="U1216" s="39"/>
      <c r="V1216" s="8">
        <f t="shared" si="19"/>
        <v>2023</v>
      </c>
    </row>
    <row r="1217" spans="1:22" s="41" customFormat="1" ht="14.4" hidden="1" x14ac:dyDescent="0.3">
      <c r="A1217" s="36">
        <v>45108</v>
      </c>
      <c r="B1217" s="37" t="s">
        <v>28</v>
      </c>
      <c r="C1217" s="37" t="s">
        <v>157</v>
      </c>
      <c r="D1217" s="37" t="s">
        <v>72</v>
      </c>
      <c r="E1217" s="37" t="s">
        <v>7</v>
      </c>
      <c r="F1217" s="37" t="s">
        <v>158</v>
      </c>
      <c r="G1217" s="37" t="s">
        <v>159</v>
      </c>
      <c r="H1217" s="37" t="s">
        <v>126</v>
      </c>
      <c r="I1217" s="37" t="s">
        <v>127</v>
      </c>
      <c r="J1217" s="37" t="s">
        <v>36</v>
      </c>
      <c r="K1217" s="38">
        <v>8.6485780000000005</v>
      </c>
      <c r="L1217" s="39"/>
      <c r="M1217" s="37" t="s">
        <v>117</v>
      </c>
      <c r="N1217" s="40">
        <v>0.184</v>
      </c>
      <c r="O1217" s="38">
        <v>0.18404899999999999</v>
      </c>
      <c r="P1217" s="39"/>
      <c r="Q1217" s="39"/>
      <c r="R1217" s="40">
        <v>0.184</v>
      </c>
      <c r="S1217" s="38">
        <v>0.18404899999999999</v>
      </c>
      <c r="T1217" s="39"/>
      <c r="U1217" s="39"/>
      <c r="V1217" s="8">
        <f t="shared" si="19"/>
        <v>2023</v>
      </c>
    </row>
    <row r="1218" spans="1:22" s="41" customFormat="1" ht="14.4" hidden="1" x14ac:dyDescent="0.3">
      <c r="A1218" s="36">
        <v>45139</v>
      </c>
      <c r="B1218" s="37" t="s">
        <v>27</v>
      </c>
      <c r="C1218" s="37" t="s">
        <v>157</v>
      </c>
      <c r="D1218" s="37" t="s">
        <v>72</v>
      </c>
      <c r="E1218" s="37" t="s">
        <v>7</v>
      </c>
      <c r="F1218" s="37" t="s">
        <v>158</v>
      </c>
      <c r="G1218" s="37" t="s">
        <v>159</v>
      </c>
      <c r="H1218" s="37" t="s">
        <v>126</v>
      </c>
      <c r="I1218" s="37" t="s">
        <v>127</v>
      </c>
      <c r="J1218" s="37" t="s">
        <v>36</v>
      </c>
      <c r="K1218" s="38">
        <v>4.3241639999999997</v>
      </c>
      <c r="L1218" s="39"/>
      <c r="M1218" s="37" t="s">
        <v>117</v>
      </c>
      <c r="N1218" s="40">
        <v>2.25</v>
      </c>
      <c r="O1218" s="38">
        <v>2.250013</v>
      </c>
      <c r="P1218" s="39"/>
      <c r="Q1218" s="39"/>
      <c r="R1218" s="40">
        <v>2.25</v>
      </c>
      <c r="S1218" s="38">
        <v>2.250013</v>
      </c>
      <c r="T1218" s="39"/>
      <c r="U1218" s="39"/>
      <c r="V1218" s="8">
        <f t="shared" si="19"/>
        <v>2023</v>
      </c>
    </row>
    <row r="1219" spans="1:22" s="41" customFormat="1" ht="14.4" hidden="1" x14ac:dyDescent="0.3">
      <c r="A1219" s="36">
        <v>45139</v>
      </c>
      <c r="B1219" s="37" t="s">
        <v>28</v>
      </c>
      <c r="C1219" s="37" t="s">
        <v>157</v>
      </c>
      <c r="D1219" s="37" t="s">
        <v>72</v>
      </c>
      <c r="E1219" s="37" t="s">
        <v>7</v>
      </c>
      <c r="F1219" s="37" t="s">
        <v>158</v>
      </c>
      <c r="G1219" s="37" t="s">
        <v>159</v>
      </c>
      <c r="H1219" s="37" t="s">
        <v>126</v>
      </c>
      <c r="I1219" s="37" t="s">
        <v>127</v>
      </c>
      <c r="J1219" s="37" t="s">
        <v>36</v>
      </c>
      <c r="K1219" s="38">
        <v>8.6485780000000005</v>
      </c>
      <c r="L1219" s="39"/>
      <c r="M1219" s="37" t="s">
        <v>117</v>
      </c>
      <c r="N1219" s="40">
        <v>0.184</v>
      </c>
      <c r="O1219" s="38">
        <v>0.18404899999999999</v>
      </c>
      <c r="P1219" s="39"/>
      <c r="Q1219" s="39"/>
      <c r="R1219" s="40">
        <v>0.184</v>
      </c>
      <c r="S1219" s="38">
        <v>0.18404899999999999</v>
      </c>
      <c r="T1219" s="39"/>
      <c r="U1219" s="39"/>
      <c r="V1219" s="8">
        <f t="shared" si="19"/>
        <v>2023</v>
      </c>
    </row>
    <row r="1220" spans="1:22" s="41" customFormat="1" ht="14.4" hidden="1" x14ac:dyDescent="0.3">
      <c r="A1220" s="36">
        <v>45170</v>
      </c>
      <c r="B1220" s="37" t="s">
        <v>27</v>
      </c>
      <c r="C1220" s="37" t="s">
        <v>157</v>
      </c>
      <c r="D1220" s="37" t="s">
        <v>72</v>
      </c>
      <c r="E1220" s="37" t="s">
        <v>7</v>
      </c>
      <c r="F1220" s="37" t="s">
        <v>158</v>
      </c>
      <c r="G1220" s="37" t="s">
        <v>159</v>
      </c>
      <c r="H1220" s="37" t="s">
        <v>126</v>
      </c>
      <c r="I1220" s="37" t="s">
        <v>127</v>
      </c>
      <c r="J1220" s="37" t="s">
        <v>36</v>
      </c>
      <c r="K1220" s="38">
        <v>4.3241639999999997</v>
      </c>
      <c r="L1220" s="39"/>
      <c r="M1220" s="37" t="s">
        <v>117</v>
      </c>
      <c r="N1220" s="40">
        <v>2.25</v>
      </c>
      <c r="O1220" s="38">
        <v>2.250013</v>
      </c>
      <c r="P1220" s="39"/>
      <c r="Q1220" s="39"/>
      <c r="R1220" s="40">
        <v>2.25</v>
      </c>
      <c r="S1220" s="38">
        <v>2.250013</v>
      </c>
      <c r="T1220" s="39"/>
      <c r="U1220" s="39"/>
      <c r="V1220" s="8">
        <f t="shared" si="19"/>
        <v>2023</v>
      </c>
    </row>
    <row r="1221" spans="1:22" s="41" customFormat="1" ht="14.4" hidden="1" x14ac:dyDescent="0.3">
      <c r="A1221" s="36">
        <v>45170</v>
      </c>
      <c r="B1221" s="37" t="s">
        <v>28</v>
      </c>
      <c r="C1221" s="37" t="s">
        <v>157</v>
      </c>
      <c r="D1221" s="37" t="s">
        <v>72</v>
      </c>
      <c r="E1221" s="37" t="s">
        <v>7</v>
      </c>
      <c r="F1221" s="37" t="s">
        <v>158</v>
      </c>
      <c r="G1221" s="37" t="s">
        <v>159</v>
      </c>
      <c r="H1221" s="37" t="s">
        <v>126</v>
      </c>
      <c r="I1221" s="37" t="s">
        <v>127</v>
      </c>
      <c r="J1221" s="37" t="s">
        <v>36</v>
      </c>
      <c r="K1221" s="38">
        <v>8.6485780000000005</v>
      </c>
      <c r="L1221" s="39"/>
      <c r="M1221" s="37" t="s">
        <v>117</v>
      </c>
      <c r="N1221" s="40">
        <v>0.184</v>
      </c>
      <c r="O1221" s="38">
        <v>0.18404899999999999</v>
      </c>
      <c r="P1221" s="39"/>
      <c r="Q1221" s="39"/>
      <c r="R1221" s="40">
        <v>0.184</v>
      </c>
      <c r="S1221" s="38">
        <v>0.18404899999999999</v>
      </c>
      <c r="T1221" s="39"/>
      <c r="U1221" s="39"/>
      <c r="V1221" s="8">
        <f t="shared" si="19"/>
        <v>2023</v>
      </c>
    </row>
    <row r="1222" spans="1:22" s="41" customFormat="1" ht="14.4" hidden="1" x14ac:dyDescent="0.3">
      <c r="A1222" s="36">
        <v>45200</v>
      </c>
      <c r="B1222" s="37" t="s">
        <v>27</v>
      </c>
      <c r="C1222" s="37" t="s">
        <v>157</v>
      </c>
      <c r="D1222" s="37" t="s">
        <v>72</v>
      </c>
      <c r="E1222" s="37" t="s">
        <v>7</v>
      </c>
      <c r="F1222" s="37" t="s">
        <v>158</v>
      </c>
      <c r="G1222" s="37" t="s">
        <v>159</v>
      </c>
      <c r="H1222" s="37" t="s">
        <v>126</v>
      </c>
      <c r="I1222" s="37" t="s">
        <v>127</v>
      </c>
      <c r="J1222" s="37" t="s">
        <v>36</v>
      </c>
      <c r="K1222" s="38">
        <v>4.3241639999999997</v>
      </c>
      <c r="L1222" s="39"/>
      <c r="M1222" s="37" t="s">
        <v>117</v>
      </c>
      <c r="N1222" s="40">
        <v>2.25</v>
      </c>
      <c r="O1222" s="38">
        <v>2.250013</v>
      </c>
      <c r="P1222" s="39"/>
      <c r="Q1222" s="39"/>
      <c r="R1222" s="40">
        <v>2.25</v>
      </c>
      <c r="S1222" s="38">
        <v>2.250013</v>
      </c>
      <c r="T1222" s="39"/>
      <c r="U1222" s="39"/>
      <c r="V1222" s="8">
        <f t="shared" si="19"/>
        <v>2023</v>
      </c>
    </row>
    <row r="1223" spans="1:22" s="41" customFormat="1" ht="14.4" hidden="1" x14ac:dyDescent="0.3">
      <c r="A1223" s="36">
        <v>45200</v>
      </c>
      <c r="B1223" s="37" t="s">
        <v>28</v>
      </c>
      <c r="C1223" s="37" t="s">
        <v>157</v>
      </c>
      <c r="D1223" s="37" t="s">
        <v>72</v>
      </c>
      <c r="E1223" s="37" t="s">
        <v>7</v>
      </c>
      <c r="F1223" s="37" t="s">
        <v>158</v>
      </c>
      <c r="G1223" s="37" t="s">
        <v>159</v>
      </c>
      <c r="H1223" s="37" t="s">
        <v>126</v>
      </c>
      <c r="I1223" s="37" t="s">
        <v>127</v>
      </c>
      <c r="J1223" s="37" t="s">
        <v>36</v>
      </c>
      <c r="K1223" s="38">
        <v>8.6485780000000005</v>
      </c>
      <c r="L1223" s="39"/>
      <c r="M1223" s="37" t="s">
        <v>117</v>
      </c>
      <c r="N1223" s="40">
        <v>0.184</v>
      </c>
      <c r="O1223" s="38">
        <v>0.18404899999999999</v>
      </c>
      <c r="P1223" s="39"/>
      <c r="Q1223" s="39"/>
      <c r="R1223" s="40">
        <v>0.184</v>
      </c>
      <c r="S1223" s="38">
        <v>0.18404899999999999</v>
      </c>
      <c r="T1223" s="39"/>
      <c r="U1223" s="39"/>
      <c r="V1223" s="8">
        <f t="shared" si="19"/>
        <v>2023</v>
      </c>
    </row>
    <row r="1224" spans="1:22" s="41" customFormat="1" ht="14.4" hidden="1" x14ac:dyDescent="0.3">
      <c r="A1224" s="36">
        <v>45231</v>
      </c>
      <c r="B1224" s="37" t="s">
        <v>27</v>
      </c>
      <c r="C1224" s="37" t="s">
        <v>157</v>
      </c>
      <c r="D1224" s="37" t="s">
        <v>72</v>
      </c>
      <c r="E1224" s="37" t="s">
        <v>7</v>
      </c>
      <c r="F1224" s="37" t="s">
        <v>158</v>
      </c>
      <c r="G1224" s="37" t="s">
        <v>159</v>
      </c>
      <c r="H1224" s="37" t="s">
        <v>126</v>
      </c>
      <c r="I1224" s="37" t="s">
        <v>127</v>
      </c>
      <c r="J1224" s="37" t="s">
        <v>36</v>
      </c>
      <c r="K1224" s="38">
        <v>4.3241639999999997</v>
      </c>
      <c r="L1224" s="39"/>
      <c r="M1224" s="37" t="s">
        <v>117</v>
      </c>
      <c r="N1224" s="40">
        <v>2.25</v>
      </c>
      <c r="O1224" s="38">
        <v>2.250013</v>
      </c>
      <c r="P1224" s="39"/>
      <c r="Q1224" s="39"/>
      <c r="R1224" s="40">
        <v>2.25</v>
      </c>
      <c r="S1224" s="38">
        <v>2.250013</v>
      </c>
      <c r="T1224" s="39"/>
      <c r="U1224" s="39"/>
      <c r="V1224" s="8">
        <f t="shared" si="19"/>
        <v>2023</v>
      </c>
    </row>
    <row r="1225" spans="1:22" s="41" customFormat="1" ht="14.4" hidden="1" x14ac:dyDescent="0.3">
      <c r="A1225" s="36">
        <v>45231</v>
      </c>
      <c r="B1225" s="37" t="s">
        <v>28</v>
      </c>
      <c r="C1225" s="37" t="s">
        <v>157</v>
      </c>
      <c r="D1225" s="37" t="s">
        <v>72</v>
      </c>
      <c r="E1225" s="37" t="s">
        <v>7</v>
      </c>
      <c r="F1225" s="37" t="s">
        <v>158</v>
      </c>
      <c r="G1225" s="37" t="s">
        <v>159</v>
      </c>
      <c r="H1225" s="37" t="s">
        <v>126</v>
      </c>
      <c r="I1225" s="37" t="s">
        <v>127</v>
      </c>
      <c r="J1225" s="37" t="s">
        <v>36</v>
      </c>
      <c r="K1225" s="38">
        <v>0</v>
      </c>
      <c r="L1225" s="42">
        <v>754.1</v>
      </c>
      <c r="M1225" s="37" t="s">
        <v>117</v>
      </c>
      <c r="N1225" s="40">
        <v>0</v>
      </c>
      <c r="O1225" s="38">
        <v>0</v>
      </c>
      <c r="P1225" s="39"/>
      <c r="Q1225" s="39"/>
      <c r="R1225" s="40">
        <v>0</v>
      </c>
      <c r="S1225" s="38">
        <v>0</v>
      </c>
      <c r="T1225" s="39"/>
      <c r="U1225" s="39"/>
      <c r="V1225" s="8">
        <f t="shared" si="19"/>
        <v>2023</v>
      </c>
    </row>
    <row r="1226" spans="1:22" s="41" customFormat="1" ht="14.4" hidden="1" x14ac:dyDescent="0.3">
      <c r="A1226" s="36">
        <v>45261</v>
      </c>
      <c r="B1226" s="37" t="s">
        <v>27</v>
      </c>
      <c r="C1226" s="37" t="s">
        <v>157</v>
      </c>
      <c r="D1226" s="37" t="s">
        <v>72</v>
      </c>
      <c r="E1226" s="37" t="s">
        <v>7</v>
      </c>
      <c r="F1226" s="37" t="s">
        <v>158</v>
      </c>
      <c r="G1226" s="37" t="s">
        <v>159</v>
      </c>
      <c r="H1226" s="37" t="s">
        <v>126</v>
      </c>
      <c r="I1226" s="37" t="s">
        <v>127</v>
      </c>
      <c r="J1226" s="37" t="s">
        <v>36</v>
      </c>
      <c r="K1226" s="38">
        <v>4.3241639999999997</v>
      </c>
      <c r="L1226" s="39"/>
      <c r="M1226" s="37" t="s">
        <v>117</v>
      </c>
      <c r="N1226" s="40">
        <v>2.25</v>
      </c>
      <c r="O1226" s="38">
        <v>2.250013</v>
      </c>
      <c r="P1226" s="39"/>
      <c r="Q1226" s="39"/>
      <c r="R1226" s="40">
        <v>2.25</v>
      </c>
      <c r="S1226" s="38">
        <v>2.250013</v>
      </c>
      <c r="T1226" s="39"/>
      <c r="U1226" s="39"/>
      <c r="V1226" s="8">
        <f t="shared" si="19"/>
        <v>2023</v>
      </c>
    </row>
    <row r="1227" spans="1:22" s="41" customFormat="1" ht="14.4" hidden="1" x14ac:dyDescent="0.3">
      <c r="A1227" s="36">
        <v>45261</v>
      </c>
      <c r="B1227" s="37" t="s">
        <v>28</v>
      </c>
      <c r="C1227" s="37" t="s">
        <v>157</v>
      </c>
      <c r="D1227" s="37" t="s">
        <v>72</v>
      </c>
      <c r="E1227" s="37" t="s">
        <v>7</v>
      </c>
      <c r="F1227" s="37" t="s">
        <v>158</v>
      </c>
      <c r="G1227" s="37" t="s">
        <v>159</v>
      </c>
      <c r="H1227" s="37" t="s">
        <v>126</v>
      </c>
      <c r="I1227" s="37" t="s">
        <v>127</v>
      </c>
      <c r="J1227" s="37" t="s">
        <v>36</v>
      </c>
      <c r="K1227" s="38">
        <v>8.6485780000000005</v>
      </c>
      <c r="L1227" s="39"/>
      <c r="M1227" s="37" t="s">
        <v>117</v>
      </c>
      <c r="N1227" s="40">
        <v>0.184</v>
      </c>
      <c r="O1227" s="38">
        <v>0.18404899999999999</v>
      </c>
      <c r="P1227" s="39"/>
      <c r="Q1227" s="39"/>
      <c r="R1227" s="40">
        <v>0.184</v>
      </c>
      <c r="S1227" s="38">
        <v>0.18404899999999999</v>
      </c>
      <c r="T1227" s="39"/>
      <c r="U1227" s="39"/>
      <c r="V1227" s="8">
        <f t="shared" si="19"/>
        <v>2023</v>
      </c>
    </row>
    <row r="1228" spans="1:22" s="41" customFormat="1" ht="40.799999999999997" hidden="1" x14ac:dyDescent="0.3">
      <c r="A1228" s="36">
        <v>44562</v>
      </c>
      <c r="B1228" s="37" t="s">
        <v>23</v>
      </c>
      <c r="C1228" s="37" t="s">
        <v>118</v>
      </c>
      <c r="D1228" s="37" t="s">
        <v>73</v>
      </c>
      <c r="E1228" s="37" t="s">
        <v>6</v>
      </c>
      <c r="F1228" s="37" t="s">
        <v>160</v>
      </c>
      <c r="G1228" s="37" t="s">
        <v>73</v>
      </c>
      <c r="H1228" s="37" t="s">
        <v>161</v>
      </c>
      <c r="I1228" s="37" t="s">
        <v>161</v>
      </c>
      <c r="J1228" s="37" t="s">
        <v>34</v>
      </c>
      <c r="K1228" s="38">
        <v>1.0096670000000001</v>
      </c>
      <c r="L1228" s="39"/>
      <c r="M1228" s="37"/>
      <c r="N1228" s="40">
        <v>0.378</v>
      </c>
      <c r="O1228" s="38">
        <v>0.376303</v>
      </c>
      <c r="P1228" s="38">
        <v>1.2960000000000001E-3</v>
      </c>
      <c r="Q1228" s="38">
        <v>1.13E-4</v>
      </c>
      <c r="R1228" s="40">
        <v>0.378</v>
      </c>
      <c r="S1228" s="38">
        <v>0.376303</v>
      </c>
      <c r="T1228" s="38">
        <v>1.2960000000000001E-3</v>
      </c>
      <c r="U1228" s="38">
        <v>1.13E-4</v>
      </c>
      <c r="V1228" s="8">
        <f t="shared" si="19"/>
        <v>2022</v>
      </c>
    </row>
    <row r="1229" spans="1:22" s="41" customFormat="1" ht="40.799999999999997" hidden="1" x14ac:dyDescent="0.3">
      <c r="A1229" s="36">
        <v>44593</v>
      </c>
      <c r="B1229" s="37" t="s">
        <v>23</v>
      </c>
      <c r="C1229" s="37" t="s">
        <v>118</v>
      </c>
      <c r="D1229" s="37" t="s">
        <v>73</v>
      </c>
      <c r="E1229" s="37" t="s">
        <v>6</v>
      </c>
      <c r="F1229" s="37" t="s">
        <v>160</v>
      </c>
      <c r="G1229" s="37" t="s">
        <v>73</v>
      </c>
      <c r="H1229" s="37" t="s">
        <v>161</v>
      </c>
      <c r="I1229" s="37" t="s">
        <v>161</v>
      </c>
      <c r="J1229" s="37" t="s">
        <v>34</v>
      </c>
      <c r="K1229" s="38">
        <v>1.0096670000000001</v>
      </c>
      <c r="L1229" s="39"/>
      <c r="M1229" s="37"/>
      <c r="N1229" s="40">
        <v>0.378</v>
      </c>
      <c r="O1229" s="38">
        <v>0.376303</v>
      </c>
      <c r="P1229" s="38">
        <v>1.2960000000000001E-3</v>
      </c>
      <c r="Q1229" s="38">
        <v>1.13E-4</v>
      </c>
      <c r="R1229" s="40">
        <v>0.378</v>
      </c>
      <c r="S1229" s="38">
        <v>0.376303</v>
      </c>
      <c r="T1229" s="38">
        <v>1.2960000000000001E-3</v>
      </c>
      <c r="U1229" s="38">
        <v>1.13E-4</v>
      </c>
      <c r="V1229" s="8">
        <f t="shared" si="19"/>
        <v>2022</v>
      </c>
    </row>
    <row r="1230" spans="1:22" s="41" customFormat="1" ht="40.799999999999997" hidden="1" x14ac:dyDescent="0.3">
      <c r="A1230" s="36">
        <v>44621</v>
      </c>
      <c r="B1230" s="37" t="s">
        <v>23</v>
      </c>
      <c r="C1230" s="37" t="s">
        <v>118</v>
      </c>
      <c r="D1230" s="37" t="s">
        <v>73</v>
      </c>
      <c r="E1230" s="37" t="s">
        <v>6</v>
      </c>
      <c r="F1230" s="37" t="s">
        <v>160</v>
      </c>
      <c r="G1230" s="37" t="s">
        <v>73</v>
      </c>
      <c r="H1230" s="37" t="s">
        <v>161</v>
      </c>
      <c r="I1230" s="37" t="s">
        <v>161</v>
      </c>
      <c r="J1230" s="37" t="s">
        <v>34</v>
      </c>
      <c r="K1230" s="38">
        <v>1.0096670000000001</v>
      </c>
      <c r="L1230" s="39"/>
      <c r="M1230" s="37"/>
      <c r="N1230" s="40">
        <v>0.378</v>
      </c>
      <c r="O1230" s="38">
        <v>0.376303</v>
      </c>
      <c r="P1230" s="38">
        <v>1.2960000000000001E-3</v>
      </c>
      <c r="Q1230" s="38">
        <v>1.13E-4</v>
      </c>
      <c r="R1230" s="40">
        <v>0.378</v>
      </c>
      <c r="S1230" s="38">
        <v>0.376303</v>
      </c>
      <c r="T1230" s="38">
        <v>1.2960000000000001E-3</v>
      </c>
      <c r="U1230" s="38">
        <v>1.13E-4</v>
      </c>
      <c r="V1230" s="8">
        <f t="shared" si="19"/>
        <v>2022</v>
      </c>
    </row>
    <row r="1231" spans="1:22" s="41" customFormat="1" ht="40.799999999999997" hidden="1" x14ac:dyDescent="0.3">
      <c r="A1231" s="36">
        <v>44652</v>
      </c>
      <c r="B1231" s="37" t="s">
        <v>23</v>
      </c>
      <c r="C1231" s="37" t="s">
        <v>118</v>
      </c>
      <c r="D1231" s="37" t="s">
        <v>73</v>
      </c>
      <c r="E1231" s="37" t="s">
        <v>6</v>
      </c>
      <c r="F1231" s="37" t="s">
        <v>160</v>
      </c>
      <c r="G1231" s="37" t="s">
        <v>73</v>
      </c>
      <c r="H1231" s="37" t="s">
        <v>161</v>
      </c>
      <c r="I1231" s="37" t="s">
        <v>161</v>
      </c>
      <c r="J1231" s="37" t="s">
        <v>34</v>
      </c>
      <c r="K1231" s="38">
        <v>1.0096670000000001</v>
      </c>
      <c r="L1231" s="39"/>
      <c r="M1231" s="37"/>
      <c r="N1231" s="40">
        <v>0.378</v>
      </c>
      <c r="O1231" s="38">
        <v>0.376303</v>
      </c>
      <c r="P1231" s="38">
        <v>1.2960000000000001E-3</v>
      </c>
      <c r="Q1231" s="38">
        <v>1.13E-4</v>
      </c>
      <c r="R1231" s="40">
        <v>0.378</v>
      </c>
      <c r="S1231" s="38">
        <v>0.376303</v>
      </c>
      <c r="T1231" s="38">
        <v>1.2960000000000001E-3</v>
      </c>
      <c r="U1231" s="38">
        <v>1.13E-4</v>
      </c>
      <c r="V1231" s="8">
        <f t="shared" si="19"/>
        <v>2022</v>
      </c>
    </row>
    <row r="1232" spans="1:22" s="41" customFormat="1" ht="40.799999999999997" hidden="1" x14ac:dyDescent="0.3">
      <c r="A1232" s="36">
        <v>44682</v>
      </c>
      <c r="B1232" s="37" t="s">
        <v>23</v>
      </c>
      <c r="C1232" s="37" t="s">
        <v>118</v>
      </c>
      <c r="D1232" s="37" t="s">
        <v>73</v>
      </c>
      <c r="E1232" s="37" t="s">
        <v>6</v>
      </c>
      <c r="F1232" s="37" t="s">
        <v>160</v>
      </c>
      <c r="G1232" s="37" t="s">
        <v>73</v>
      </c>
      <c r="H1232" s="37" t="s">
        <v>161</v>
      </c>
      <c r="I1232" s="37" t="s">
        <v>161</v>
      </c>
      <c r="J1232" s="37" t="s">
        <v>34</v>
      </c>
      <c r="K1232" s="38">
        <v>1.0096670000000001</v>
      </c>
      <c r="L1232" s="39"/>
      <c r="M1232" s="37"/>
      <c r="N1232" s="40">
        <v>0.378</v>
      </c>
      <c r="O1232" s="38">
        <v>0.376303</v>
      </c>
      <c r="P1232" s="38">
        <v>1.2960000000000001E-3</v>
      </c>
      <c r="Q1232" s="38">
        <v>1.13E-4</v>
      </c>
      <c r="R1232" s="40">
        <v>0.378</v>
      </c>
      <c r="S1232" s="38">
        <v>0.376303</v>
      </c>
      <c r="T1232" s="38">
        <v>1.2960000000000001E-3</v>
      </c>
      <c r="U1232" s="38">
        <v>1.13E-4</v>
      </c>
      <c r="V1232" s="8">
        <f t="shared" si="19"/>
        <v>2022</v>
      </c>
    </row>
    <row r="1233" spans="1:22" s="41" customFormat="1" ht="40.799999999999997" hidden="1" x14ac:dyDescent="0.3">
      <c r="A1233" s="36">
        <v>44713</v>
      </c>
      <c r="B1233" s="37" t="s">
        <v>23</v>
      </c>
      <c r="C1233" s="37" t="s">
        <v>118</v>
      </c>
      <c r="D1233" s="37" t="s">
        <v>73</v>
      </c>
      <c r="E1233" s="37" t="s">
        <v>6</v>
      </c>
      <c r="F1233" s="37" t="s">
        <v>160</v>
      </c>
      <c r="G1233" s="37" t="s">
        <v>73</v>
      </c>
      <c r="H1233" s="37" t="s">
        <v>161</v>
      </c>
      <c r="I1233" s="37" t="s">
        <v>161</v>
      </c>
      <c r="J1233" s="37" t="s">
        <v>34</v>
      </c>
      <c r="K1233" s="38">
        <v>1.0096670000000001</v>
      </c>
      <c r="L1233" s="39"/>
      <c r="M1233" s="37"/>
      <c r="N1233" s="40">
        <v>0.378</v>
      </c>
      <c r="O1233" s="38">
        <v>0.376303</v>
      </c>
      <c r="P1233" s="38">
        <v>1.2960000000000001E-3</v>
      </c>
      <c r="Q1233" s="38">
        <v>1.13E-4</v>
      </c>
      <c r="R1233" s="40">
        <v>0.378</v>
      </c>
      <c r="S1233" s="38">
        <v>0.376303</v>
      </c>
      <c r="T1233" s="38">
        <v>1.2960000000000001E-3</v>
      </c>
      <c r="U1233" s="38">
        <v>1.13E-4</v>
      </c>
      <c r="V1233" s="8">
        <f t="shared" si="19"/>
        <v>2022</v>
      </c>
    </row>
    <row r="1234" spans="1:22" s="41" customFormat="1" ht="40.799999999999997" hidden="1" x14ac:dyDescent="0.3">
      <c r="A1234" s="36">
        <v>44743</v>
      </c>
      <c r="B1234" s="37" t="s">
        <v>23</v>
      </c>
      <c r="C1234" s="37" t="s">
        <v>118</v>
      </c>
      <c r="D1234" s="37" t="s">
        <v>73</v>
      </c>
      <c r="E1234" s="37" t="s">
        <v>6</v>
      </c>
      <c r="F1234" s="37" t="s">
        <v>160</v>
      </c>
      <c r="G1234" s="37" t="s">
        <v>73</v>
      </c>
      <c r="H1234" s="37" t="s">
        <v>161</v>
      </c>
      <c r="I1234" s="37" t="s">
        <v>161</v>
      </c>
      <c r="J1234" s="37" t="s">
        <v>34</v>
      </c>
      <c r="K1234" s="38">
        <v>1.0096670000000001</v>
      </c>
      <c r="L1234" s="39"/>
      <c r="M1234" s="37"/>
      <c r="N1234" s="40">
        <v>0.378</v>
      </c>
      <c r="O1234" s="38">
        <v>0.376303</v>
      </c>
      <c r="P1234" s="38">
        <v>1.2960000000000001E-3</v>
      </c>
      <c r="Q1234" s="38">
        <v>1.13E-4</v>
      </c>
      <c r="R1234" s="40">
        <v>0.378</v>
      </c>
      <c r="S1234" s="38">
        <v>0.376303</v>
      </c>
      <c r="T1234" s="38">
        <v>1.2960000000000001E-3</v>
      </c>
      <c r="U1234" s="38">
        <v>1.13E-4</v>
      </c>
      <c r="V1234" s="8">
        <f t="shared" si="19"/>
        <v>2022</v>
      </c>
    </row>
    <row r="1235" spans="1:22" s="41" customFormat="1" ht="40.799999999999997" hidden="1" x14ac:dyDescent="0.3">
      <c r="A1235" s="36">
        <v>44774</v>
      </c>
      <c r="B1235" s="37" t="s">
        <v>23</v>
      </c>
      <c r="C1235" s="37" t="s">
        <v>118</v>
      </c>
      <c r="D1235" s="37" t="s">
        <v>73</v>
      </c>
      <c r="E1235" s="37" t="s">
        <v>6</v>
      </c>
      <c r="F1235" s="37" t="s">
        <v>160</v>
      </c>
      <c r="G1235" s="37" t="s">
        <v>73</v>
      </c>
      <c r="H1235" s="37" t="s">
        <v>161</v>
      </c>
      <c r="I1235" s="37" t="s">
        <v>161</v>
      </c>
      <c r="J1235" s="37" t="s">
        <v>34</v>
      </c>
      <c r="K1235" s="38">
        <v>1.0096670000000001</v>
      </c>
      <c r="L1235" s="39"/>
      <c r="M1235" s="37"/>
      <c r="N1235" s="40">
        <v>0.378</v>
      </c>
      <c r="O1235" s="38">
        <v>0.376303</v>
      </c>
      <c r="P1235" s="38">
        <v>1.2960000000000001E-3</v>
      </c>
      <c r="Q1235" s="38">
        <v>1.13E-4</v>
      </c>
      <c r="R1235" s="40">
        <v>0.378</v>
      </c>
      <c r="S1235" s="38">
        <v>0.376303</v>
      </c>
      <c r="T1235" s="38">
        <v>1.2960000000000001E-3</v>
      </c>
      <c r="U1235" s="38">
        <v>1.13E-4</v>
      </c>
      <c r="V1235" s="8">
        <f t="shared" si="19"/>
        <v>2022</v>
      </c>
    </row>
    <row r="1236" spans="1:22" s="41" customFormat="1" ht="40.799999999999997" hidden="1" x14ac:dyDescent="0.3">
      <c r="A1236" s="36">
        <v>44805</v>
      </c>
      <c r="B1236" s="37" t="s">
        <v>23</v>
      </c>
      <c r="C1236" s="37" t="s">
        <v>118</v>
      </c>
      <c r="D1236" s="37" t="s">
        <v>73</v>
      </c>
      <c r="E1236" s="37" t="s">
        <v>6</v>
      </c>
      <c r="F1236" s="37" t="s">
        <v>160</v>
      </c>
      <c r="G1236" s="37" t="s">
        <v>73</v>
      </c>
      <c r="H1236" s="37" t="s">
        <v>161</v>
      </c>
      <c r="I1236" s="37" t="s">
        <v>161</v>
      </c>
      <c r="J1236" s="37" t="s">
        <v>34</v>
      </c>
      <c r="K1236" s="38">
        <v>1.0096670000000001</v>
      </c>
      <c r="L1236" s="39"/>
      <c r="M1236" s="37"/>
      <c r="N1236" s="40">
        <v>0.378</v>
      </c>
      <c r="O1236" s="38">
        <v>0.376303</v>
      </c>
      <c r="P1236" s="38">
        <v>1.2960000000000001E-3</v>
      </c>
      <c r="Q1236" s="38">
        <v>1.13E-4</v>
      </c>
      <c r="R1236" s="40">
        <v>0.378</v>
      </c>
      <c r="S1236" s="38">
        <v>0.376303</v>
      </c>
      <c r="T1236" s="38">
        <v>1.2960000000000001E-3</v>
      </c>
      <c r="U1236" s="38">
        <v>1.13E-4</v>
      </c>
      <c r="V1236" s="8">
        <f t="shared" si="19"/>
        <v>2022</v>
      </c>
    </row>
    <row r="1237" spans="1:22" s="41" customFormat="1" ht="40.799999999999997" hidden="1" x14ac:dyDescent="0.3">
      <c r="A1237" s="36">
        <v>44835</v>
      </c>
      <c r="B1237" s="37" t="s">
        <v>23</v>
      </c>
      <c r="C1237" s="37" t="s">
        <v>118</v>
      </c>
      <c r="D1237" s="37" t="s">
        <v>73</v>
      </c>
      <c r="E1237" s="37" t="s">
        <v>6</v>
      </c>
      <c r="F1237" s="37" t="s">
        <v>160</v>
      </c>
      <c r="G1237" s="37" t="s">
        <v>73</v>
      </c>
      <c r="H1237" s="37" t="s">
        <v>161</v>
      </c>
      <c r="I1237" s="37" t="s">
        <v>161</v>
      </c>
      <c r="J1237" s="37" t="s">
        <v>34</v>
      </c>
      <c r="K1237" s="38">
        <v>1.0096670000000001</v>
      </c>
      <c r="L1237" s="39"/>
      <c r="M1237" s="37"/>
      <c r="N1237" s="40">
        <v>0.378</v>
      </c>
      <c r="O1237" s="38">
        <v>0.376303</v>
      </c>
      <c r="P1237" s="38">
        <v>1.2960000000000001E-3</v>
      </c>
      <c r="Q1237" s="38">
        <v>1.13E-4</v>
      </c>
      <c r="R1237" s="40">
        <v>0.378</v>
      </c>
      <c r="S1237" s="38">
        <v>0.376303</v>
      </c>
      <c r="T1237" s="38">
        <v>1.2960000000000001E-3</v>
      </c>
      <c r="U1237" s="38">
        <v>1.13E-4</v>
      </c>
      <c r="V1237" s="8">
        <f t="shared" si="19"/>
        <v>2022</v>
      </c>
    </row>
    <row r="1238" spans="1:22" s="41" customFormat="1" ht="40.799999999999997" hidden="1" x14ac:dyDescent="0.3">
      <c r="A1238" s="36">
        <v>44866</v>
      </c>
      <c r="B1238" s="37" t="s">
        <v>23</v>
      </c>
      <c r="C1238" s="37" t="s">
        <v>118</v>
      </c>
      <c r="D1238" s="37" t="s">
        <v>73</v>
      </c>
      <c r="E1238" s="37" t="s">
        <v>6</v>
      </c>
      <c r="F1238" s="37" t="s">
        <v>160</v>
      </c>
      <c r="G1238" s="37" t="s">
        <v>73</v>
      </c>
      <c r="H1238" s="37" t="s">
        <v>161</v>
      </c>
      <c r="I1238" s="37" t="s">
        <v>161</v>
      </c>
      <c r="J1238" s="37" t="s">
        <v>34</v>
      </c>
      <c r="K1238" s="38">
        <v>1.0096670000000001</v>
      </c>
      <c r="L1238" s="39"/>
      <c r="M1238" s="37"/>
      <c r="N1238" s="40">
        <v>0.378</v>
      </c>
      <c r="O1238" s="38">
        <v>0.376303</v>
      </c>
      <c r="P1238" s="38">
        <v>1.2960000000000001E-3</v>
      </c>
      <c r="Q1238" s="38">
        <v>1.13E-4</v>
      </c>
      <c r="R1238" s="40">
        <v>0.378</v>
      </c>
      <c r="S1238" s="38">
        <v>0.376303</v>
      </c>
      <c r="T1238" s="38">
        <v>1.2960000000000001E-3</v>
      </c>
      <c r="U1238" s="38">
        <v>1.13E-4</v>
      </c>
      <c r="V1238" s="8">
        <f t="shared" si="19"/>
        <v>2022</v>
      </c>
    </row>
    <row r="1239" spans="1:22" s="41" customFormat="1" ht="40.799999999999997" hidden="1" x14ac:dyDescent="0.3">
      <c r="A1239" s="36">
        <v>44896</v>
      </c>
      <c r="B1239" s="37" t="s">
        <v>23</v>
      </c>
      <c r="C1239" s="37" t="s">
        <v>118</v>
      </c>
      <c r="D1239" s="37" t="s">
        <v>73</v>
      </c>
      <c r="E1239" s="37" t="s">
        <v>6</v>
      </c>
      <c r="F1239" s="37" t="s">
        <v>160</v>
      </c>
      <c r="G1239" s="37" t="s">
        <v>73</v>
      </c>
      <c r="H1239" s="37" t="s">
        <v>161</v>
      </c>
      <c r="I1239" s="37" t="s">
        <v>161</v>
      </c>
      <c r="J1239" s="37" t="s">
        <v>34</v>
      </c>
      <c r="K1239" s="38">
        <v>1.0096670000000001</v>
      </c>
      <c r="L1239" s="39"/>
      <c r="M1239" s="37"/>
      <c r="N1239" s="40">
        <v>0.378</v>
      </c>
      <c r="O1239" s="38">
        <v>0.376303</v>
      </c>
      <c r="P1239" s="38">
        <v>1.2960000000000001E-3</v>
      </c>
      <c r="Q1239" s="38">
        <v>1.13E-4</v>
      </c>
      <c r="R1239" s="40">
        <v>0.378</v>
      </c>
      <c r="S1239" s="38">
        <v>0.376303</v>
      </c>
      <c r="T1239" s="38">
        <v>1.2960000000000001E-3</v>
      </c>
      <c r="U1239" s="38">
        <v>1.13E-4</v>
      </c>
      <c r="V1239" s="8">
        <f t="shared" si="19"/>
        <v>2022</v>
      </c>
    </row>
    <row r="1240" spans="1:22" s="41" customFormat="1" ht="40.799999999999997" hidden="1" x14ac:dyDescent="0.3">
      <c r="A1240" s="36">
        <v>44927</v>
      </c>
      <c r="B1240" s="37" t="s">
        <v>23</v>
      </c>
      <c r="C1240" s="37" t="s">
        <v>118</v>
      </c>
      <c r="D1240" s="37" t="s">
        <v>73</v>
      </c>
      <c r="E1240" s="37" t="s">
        <v>6</v>
      </c>
      <c r="F1240" s="37" t="s">
        <v>160</v>
      </c>
      <c r="G1240" s="37" t="s">
        <v>73</v>
      </c>
      <c r="H1240" s="37" t="s">
        <v>161</v>
      </c>
      <c r="I1240" s="37" t="s">
        <v>161</v>
      </c>
      <c r="J1240" s="37" t="s">
        <v>34</v>
      </c>
      <c r="K1240" s="38">
        <v>1.0096670000000001</v>
      </c>
      <c r="L1240" s="39"/>
      <c r="M1240" s="37"/>
      <c r="N1240" s="40">
        <v>0.378</v>
      </c>
      <c r="O1240" s="38">
        <v>0.376303</v>
      </c>
      <c r="P1240" s="38">
        <v>1.2960000000000001E-3</v>
      </c>
      <c r="Q1240" s="38">
        <v>1.13E-4</v>
      </c>
      <c r="R1240" s="40">
        <v>0.378</v>
      </c>
      <c r="S1240" s="38">
        <v>0.376303</v>
      </c>
      <c r="T1240" s="38">
        <v>1.2960000000000001E-3</v>
      </c>
      <c r="U1240" s="38">
        <v>1.13E-4</v>
      </c>
      <c r="V1240" s="8">
        <f t="shared" si="19"/>
        <v>2023</v>
      </c>
    </row>
    <row r="1241" spans="1:22" s="41" customFormat="1" ht="40.799999999999997" hidden="1" x14ac:dyDescent="0.3">
      <c r="A1241" s="36">
        <v>44958</v>
      </c>
      <c r="B1241" s="37" t="s">
        <v>23</v>
      </c>
      <c r="C1241" s="37" t="s">
        <v>118</v>
      </c>
      <c r="D1241" s="37" t="s">
        <v>73</v>
      </c>
      <c r="E1241" s="37" t="s">
        <v>6</v>
      </c>
      <c r="F1241" s="37" t="s">
        <v>160</v>
      </c>
      <c r="G1241" s="37" t="s">
        <v>73</v>
      </c>
      <c r="H1241" s="37" t="s">
        <v>161</v>
      </c>
      <c r="I1241" s="37" t="s">
        <v>161</v>
      </c>
      <c r="J1241" s="37" t="s">
        <v>34</v>
      </c>
      <c r="K1241" s="38">
        <v>1.0096670000000001</v>
      </c>
      <c r="L1241" s="39"/>
      <c r="M1241" s="37"/>
      <c r="N1241" s="40">
        <v>0.378</v>
      </c>
      <c r="O1241" s="38">
        <v>0.376303</v>
      </c>
      <c r="P1241" s="38">
        <v>1.2960000000000001E-3</v>
      </c>
      <c r="Q1241" s="38">
        <v>1.13E-4</v>
      </c>
      <c r="R1241" s="40">
        <v>0.378</v>
      </c>
      <c r="S1241" s="38">
        <v>0.376303</v>
      </c>
      <c r="T1241" s="38">
        <v>1.2960000000000001E-3</v>
      </c>
      <c r="U1241" s="38">
        <v>1.13E-4</v>
      </c>
      <c r="V1241" s="8">
        <f t="shared" si="19"/>
        <v>2023</v>
      </c>
    </row>
    <row r="1242" spans="1:22" s="41" customFormat="1" ht="40.799999999999997" hidden="1" x14ac:dyDescent="0.3">
      <c r="A1242" s="36">
        <v>44986</v>
      </c>
      <c r="B1242" s="37" t="s">
        <v>23</v>
      </c>
      <c r="C1242" s="37" t="s">
        <v>118</v>
      </c>
      <c r="D1242" s="37" t="s">
        <v>73</v>
      </c>
      <c r="E1242" s="37" t="s">
        <v>6</v>
      </c>
      <c r="F1242" s="37" t="s">
        <v>160</v>
      </c>
      <c r="G1242" s="37" t="s">
        <v>73</v>
      </c>
      <c r="H1242" s="37" t="s">
        <v>161</v>
      </c>
      <c r="I1242" s="37" t="s">
        <v>161</v>
      </c>
      <c r="J1242" s="37" t="s">
        <v>34</v>
      </c>
      <c r="K1242" s="38">
        <v>1.0096670000000001</v>
      </c>
      <c r="L1242" s="39"/>
      <c r="M1242" s="37"/>
      <c r="N1242" s="40">
        <v>0.378</v>
      </c>
      <c r="O1242" s="38">
        <v>0.376303</v>
      </c>
      <c r="P1242" s="38">
        <v>1.2960000000000001E-3</v>
      </c>
      <c r="Q1242" s="38">
        <v>1.13E-4</v>
      </c>
      <c r="R1242" s="40">
        <v>0.378</v>
      </c>
      <c r="S1242" s="38">
        <v>0.376303</v>
      </c>
      <c r="T1242" s="38">
        <v>1.2960000000000001E-3</v>
      </c>
      <c r="U1242" s="38">
        <v>1.13E-4</v>
      </c>
      <c r="V1242" s="8">
        <f t="shared" si="19"/>
        <v>2023</v>
      </c>
    </row>
    <row r="1243" spans="1:22" s="41" customFormat="1" ht="40.799999999999997" hidden="1" x14ac:dyDescent="0.3">
      <c r="A1243" s="36">
        <v>45017</v>
      </c>
      <c r="B1243" s="37" t="s">
        <v>23</v>
      </c>
      <c r="C1243" s="37" t="s">
        <v>118</v>
      </c>
      <c r="D1243" s="37" t="s">
        <v>73</v>
      </c>
      <c r="E1243" s="37" t="s">
        <v>6</v>
      </c>
      <c r="F1243" s="37" t="s">
        <v>160</v>
      </c>
      <c r="G1243" s="37" t="s">
        <v>73</v>
      </c>
      <c r="H1243" s="37" t="s">
        <v>161</v>
      </c>
      <c r="I1243" s="37" t="s">
        <v>161</v>
      </c>
      <c r="J1243" s="37" t="s">
        <v>34</v>
      </c>
      <c r="K1243" s="38">
        <v>1.0096670000000001</v>
      </c>
      <c r="L1243" s="39"/>
      <c r="M1243" s="37"/>
      <c r="N1243" s="40">
        <v>0.378</v>
      </c>
      <c r="O1243" s="38">
        <v>0.376303</v>
      </c>
      <c r="P1243" s="38">
        <v>1.2960000000000001E-3</v>
      </c>
      <c r="Q1243" s="38">
        <v>1.13E-4</v>
      </c>
      <c r="R1243" s="40">
        <v>0.378</v>
      </c>
      <c r="S1243" s="38">
        <v>0.376303</v>
      </c>
      <c r="T1243" s="38">
        <v>1.2960000000000001E-3</v>
      </c>
      <c r="U1243" s="38">
        <v>1.13E-4</v>
      </c>
      <c r="V1243" s="8">
        <f t="shared" si="19"/>
        <v>2023</v>
      </c>
    </row>
    <row r="1244" spans="1:22" s="41" customFormat="1" ht="40.799999999999997" hidden="1" x14ac:dyDescent="0.3">
      <c r="A1244" s="36">
        <v>45047</v>
      </c>
      <c r="B1244" s="37" t="s">
        <v>23</v>
      </c>
      <c r="C1244" s="37" t="s">
        <v>118</v>
      </c>
      <c r="D1244" s="37" t="s">
        <v>73</v>
      </c>
      <c r="E1244" s="37" t="s">
        <v>6</v>
      </c>
      <c r="F1244" s="37" t="s">
        <v>160</v>
      </c>
      <c r="G1244" s="37" t="s">
        <v>73</v>
      </c>
      <c r="H1244" s="37" t="s">
        <v>161</v>
      </c>
      <c r="I1244" s="37" t="s">
        <v>161</v>
      </c>
      <c r="J1244" s="37" t="s">
        <v>34</v>
      </c>
      <c r="K1244" s="38">
        <v>1.0096670000000001</v>
      </c>
      <c r="L1244" s="39"/>
      <c r="M1244" s="37"/>
      <c r="N1244" s="40">
        <v>0.378</v>
      </c>
      <c r="O1244" s="38">
        <v>0.376303</v>
      </c>
      <c r="P1244" s="38">
        <v>1.2960000000000001E-3</v>
      </c>
      <c r="Q1244" s="38">
        <v>1.13E-4</v>
      </c>
      <c r="R1244" s="40">
        <v>0.378</v>
      </c>
      <c r="S1244" s="38">
        <v>0.376303</v>
      </c>
      <c r="T1244" s="38">
        <v>1.2960000000000001E-3</v>
      </c>
      <c r="U1244" s="38">
        <v>1.13E-4</v>
      </c>
      <c r="V1244" s="8">
        <f t="shared" si="19"/>
        <v>2023</v>
      </c>
    </row>
    <row r="1245" spans="1:22" s="41" customFormat="1" ht="40.799999999999997" hidden="1" x14ac:dyDescent="0.3">
      <c r="A1245" s="36">
        <v>45078</v>
      </c>
      <c r="B1245" s="37" t="s">
        <v>23</v>
      </c>
      <c r="C1245" s="37" t="s">
        <v>118</v>
      </c>
      <c r="D1245" s="37" t="s">
        <v>73</v>
      </c>
      <c r="E1245" s="37" t="s">
        <v>6</v>
      </c>
      <c r="F1245" s="37" t="s">
        <v>160</v>
      </c>
      <c r="G1245" s="37" t="s">
        <v>73</v>
      </c>
      <c r="H1245" s="37" t="s">
        <v>161</v>
      </c>
      <c r="I1245" s="37" t="s">
        <v>161</v>
      </c>
      <c r="J1245" s="37" t="s">
        <v>34</v>
      </c>
      <c r="K1245" s="38">
        <v>1.0096670000000001</v>
      </c>
      <c r="L1245" s="39"/>
      <c r="M1245" s="37"/>
      <c r="N1245" s="40">
        <v>0.378</v>
      </c>
      <c r="O1245" s="38">
        <v>0.376303</v>
      </c>
      <c r="P1245" s="38">
        <v>1.2960000000000001E-3</v>
      </c>
      <c r="Q1245" s="38">
        <v>1.13E-4</v>
      </c>
      <c r="R1245" s="40">
        <v>0.378</v>
      </c>
      <c r="S1245" s="38">
        <v>0.376303</v>
      </c>
      <c r="T1245" s="38">
        <v>1.2960000000000001E-3</v>
      </c>
      <c r="U1245" s="38">
        <v>1.13E-4</v>
      </c>
      <c r="V1245" s="8">
        <f t="shared" si="19"/>
        <v>2023</v>
      </c>
    </row>
    <row r="1246" spans="1:22" s="41" customFormat="1" ht="40.799999999999997" hidden="1" x14ac:dyDescent="0.3">
      <c r="A1246" s="36">
        <v>45108</v>
      </c>
      <c r="B1246" s="37" t="s">
        <v>23</v>
      </c>
      <c r="C1246" s="37" t="s">
        <v>118</v>
      </c>
      <c r="D1246" s="37" t="s">
        <v>73</v>
      </c>
      <c r="E1246" s="37" t="s">
        <v>6</v>
      </c>
      <c r="F1246" s="37" t="s">
        <v>160</v>
      </c>
      <c r="G1246" s="37" t="s">
        <v>73</v>
      </c>
      <c r="H1246" s="37" t="s">
        <v>161</v>
      </c>
      <c r="I1246" s="37" t="s">
        <v>161</v>
      </c>
      <c r="J1246" s="37" t="s">
        <v>34</v>
      </c>
      <c r="K1246" s="38">
        <v>1.0096670000000001</v>
      </c>
      <c r="L1246" s="39"/>
      <c r="M1246" s="37"/>
      <c r="N1246" s="40">
        <v>0.378</v>
      </c>
      <c r="O1246" s="38">
        <v>0.376303</v>
      </c>
      <c r="P1246" s="38">
        <v>1.2960000000000001E-3</v>
      </c>
      <c r="Q1246" s="38">
        <v>1.13E-4</v>
      </c>
      <c r="R1246" s="40">
        <v>0.378</v>
      </c>
      <c r="S1246" s="38">
        <v>0.376303</v>
      </c>
      <c r="T1246" s="38">
        <v>1.2960000000000001E-3</v>
      </c>
      <c r="U1246" s="38">
        <v>1.13E-4</v>
      </c>
      <c r="V1246" s="8">
        <f t="shared" si="19"/>
        <v>2023</v>
      </c>
    </row>
    <row r="1247" spans="1:22" s="41" customFormat="1" ht="40.799999999999997" hidden="1" x14ac:dyDescent="0.3">
      <c r="A1247" s="36">
        <v>45139</v>
      </c>
      <c r="B1247" s="37" t="s">
        <v>23</v>
      </c>
      <c r="C1247" s="37" t="s">
        <v>118</v>
      </c>
      <c r="D1247" s="37" t="s">
        <v>73</v>
      </c>
      <c r="E1247" s="37" t="s">
        <v>6</v>
      </c>
      <c r="F1247" s="37" t="s">
        <v>160</v>
      </c>
      <c r="G1247" s="37" t="s">
        <v>73</v>
      </c>
      <c r="H1247" s="37" t="s">
        <v>161</v>
      </c>
      <c r="I1247" s="37" t="s">
        <v>161</v>
      </c>
      <c r="J1247" s="37" t="s">
        <v>34</v>
      </c>
      <c r="K1247" s="38">
        <v>1.0096670000000001</v>
      </c>
      <c r="L1247" s="39"/>
      <c r="M1247" s="37"/>
      <c r="N1247" s="40">
        <v>0.378</v>
      </c>
      <c r="O1247" s="38">
        <v>0.376303</v>
      </c>
      <c r="P1247" s="38">
        <v>1.2960000000000001E-3</v>
      </c>
      <c r="Q1247" s="38">
        <v>1.13E-4</v>
      </c>
      <c r="R1247" s="40">
        <v>0.378</v>
      </c>
      <c r="S1247" s="38">
        <v>0.376303</v>
      </c>
      <c r="T1247" s="38">
        <v>1.2960000000000001E-3</v>
      </c>
      <c r="U1247" s="38">
        <v>1.13E-4</v>
      </c>
      <c r="V1247" s="8">
        <f t="shared" si="19"/>
        <v>2023</v>
      </c>
    </row>
    <row r="1248" spans="1:22" s="41" customFormat="1" ht="40.799999999999997" hidden="1" x14ac:dyDescent="0.3">
      <c r="A1248" s="36">
        <v>45170</v>
      </c>
      <c r="B1248" s="37" t="s">
        <v>23</v>
      </c>
      <c r="C1248" s="37" t="s">
        <v>118</v>
      </c>
      <c r="D1248" s="37" t="s">
        <v>73</v>
      </c>
      <c r="E1248" s="37" t="s">
        <v>6</v>
      </c>
      <c r="F1248" s="37" t="s">
        <v>160</v>
      </c>
      <c r="G1248" s="37" t="s">
        <v>73</v>
      </c>
      <c r="H1248" s="37" t="s">
        <v>161</v>
      </c>
      <c r="I1248" s="37" t="s">
        <v>161</v>
      </c>
      <c r="J1248" s="37" t="s">
        <v>34</v>
      </c>
      <c r="K1248" s="38">
        <v>1.0096670000000001</v>
      </c>
      <c r="L1248" s="39"/>
      <c r="M1248" s="37"/>
      <c r="N1248" s="40">
        <v>0.378</v>
      </c>
      <c r="O1248" s="38">
        <v>0.376303</v>
      </c>
      <c r="P1248" s="38">
        <v>1.2960000000000001E-3</v>
      </c>
      <c r="Q1248" s="38">
        <v>1.13E-4</v>
      </c>
      <c r="R1248" s="40">
        <v>0.378</v>
      </c>
      <c r="S1248" s="38">
        <v>0.376303</v>
      </c>
      <c r="T1248" s="38">
        <v>1.2960000000000001E-3</v>
      </c>
      <c r="U1248" s="38">
        <v>1.13E-4</v>
      </c>
      <c r="V1248" s="8">
        <f t="shared" si="19"/>
        <v>2023</v>
      </c>
    </row>
    <row r="1249" spans="1:22" s="41" customFormat="1" ht="40.799999999999997" hidden="1" x14ac:dyDescent="0.3">
      <c r="A1249" s="36">
        <v>45200</v>
      </c>
      <c r="B1249" s="37" t="s">
        <v>23</v>
      </c>
      <c r="C1249" s="37" t="s">
        <v>118</v>
      </c>
      <c r="D1249" s="37" t="s">
        <v>73</v>
      </c>
      <c r="E1249" s="37" t="s">
        <v>6</v>
      </c>
      <c r="F1249" s="37" t="s">
        <v>160</v>
      </c>
      <c r="G1249" s="37" t="s">
        <v>73</v>
      </c>
      <c r="H1249" s="37" t="s">
        <v>161</v>
      </c>
      <c r="I1249" s="37" t="s">
        <v>161</v>
      </c>
      <c r="J1249" s="37" t="s">
        <v>34</v>
      </c>
      <c r="K1249" s="38">
        <v>1.0096670000000001</v>
      </c>
      <c r="L1249" s="39"/>
      <c r="M1249" s="37"/>
      <c r="N1249" s="40">
        <v>0.378</v>
      </c>
      <c r="O1249" s="38">
        <v>0.376303</v>
      </c>
      <c r="P1249" s="38">
        <v>1.2960000000000001E-3</v>
      </c>
      <c r="Q1249" s="38">
        <v>1.13E-4</v>
      </c>
      <c r="R1249" s="40">
        <v>0.378</v>
      </c>
      <c r="S1249" s="38">
        <v>0.376303</v>
      </c>
      <c r="T1249" s="38">
        <v>1.2960000000000001E-3</v>
      </c>
      <c r="U1249" s="38">
        <v>1.13E-4</v>
      </c>
      <c r="V1249" s="8">
        <f t="shared" si="19"/>
        <v>2023</v>
      </c>
    </row>
    <row r="1250" spans="1:22" s="41" customFormat="1" ht="40.799999999999997" hidden="1" x14ac:dyDescent="0.3">
      <c r="A1250" s="36">
        <v>45231</v>
      </c>
      <c r="B1250" s="37" t="s">
        <v>23</v>
      </c>
      <c r="C1250" s="37" t="s">
        <v>118</v>
      </c>
      <c r="D1250" s="37" t="s">
        <v>73</v>
      </c>
      <c r="E1250" s="37" t="s">
        <v>6</v>
      </c>
      <c r="F1250" s="37" t="s">
        <v>160</v>
      </c>
      <c r="G1250" s="37" t="s">
        <v>73</v>
      </c>
      <c r="H1250" s="37" t="s">
        <v>161</v>
      </c>
      <c r="I1250" s="37" t="s">
        <v>161</v>
      </c>
      <c r="J1250" s="37" t="s">
        <v>34</v>
      </c>
      <c r="K1250" s="38">
        <v>1.0096670000000001</v>
      </c>
      <c r="L1250" s="39"/>
      <c r="M1250" s="37"/>
      <c r="N1250" s="40">
        <v>0.378</v>
      </c>
      <c r="O1250" s="38">
        <v>0.376303</v>
      </c>
      <c r="P1250" s="38">
        <v>1.2960000000000001E-3</v>
      </c>
      <c r="Q1250" s="38">
        <v>1.13E-4</v>
      </c>
      <c r="R1250" s="40">
        <v>0.378</v>
      </c>
      <c r="S1250" s="38">
        <v>0.376303</v>
      </c>
      <c r="T1250" s="38">
        <v>1.2960000000000001E-3</v>
      </c>
      <c r="U1250" s="38">
        <v>1.13E-4</v>
      </c>
      <c r="V1250" s="8">
        <f t="shared" si="19"/>
        <v>2023</v>
      </c>
    </row>
    <row r="1251" spans="1:22" s="41" customFormat="1" ht="40.799999999999997" hidden="1" x14ac:dyDescent="0.3">
      <c r="A1251" s="36">
        <v>45261</v>
      </c>
      <c r="B1251" s="37" t="s">
        <v>23</v>
      </c>
      <c r="C1251" s="37" t="s">
        <v>118</v>
      </c>
      <c r="D1251" s="37" t="s">
        <v>73</v>
      </c>
      <c r="E1251" s="37" t="s">
        <v>6</v>
      </c>
      <c r="F1251" s="37" t="s">
        <v>160</v>
      </c>
      <c r="G1251" s="37" t="s">
        <v>73</v>
      </c>
      <c r="H1251" s="37" t="s">
        <v>161</v>
      </c>
      <c r="I1251" s="37" t="s">
        <v>161</v>
      </c>
      <c r="J1251" s="37" t="s">
        <v>34</v>
      </c>
      <c r="K1251" s="38">
        <v>1.0096670000000001</v>
      </c>
      <c r="L1251" s="39"/>
      <c r="M1251" s="37"/>
      <c r="N1251" s="40">
        <v>0.378</v>
      </c>
      <c r="O1251" s="38">
        <v>0.376303</v>
      </c>
      <c r="P1251" s="38">
        <v>1.2960000000000001E-3</v>
      </c>
      <c r="Q1251" s="38">
        <v>1.13E-4</v>
      </c>
      <c r="R1251" s="40">
        <v>0.378</v>
      </c>
      <c r="S1251" s="38">
        <v>0.376303</v>
      </c>
      <c r="T1251" s="38">
        <v>1.2960000000000001E-3</v>
      </c>
      <c r="U1251" s="38">
        <v>1.13E-4</v>
      </c>
      <c r="V1251" s="8">
        <f t="shared" si="19"/>
        <v>2023</v>
      </c>
    </row>
    <row r="1252" spans="1:22" s="41" customFormat="1" ht="51" hidden="1" x14ac:dyDescent="0.3">
      <c r="A1252" s="36">
        <v>44562</v>
      </c>
      <c r="B1252" s="37" t="s">
        <v>23</v>
      </c>
      <c r="C1252" s="37" t="s">
        <v>118</v>
      </c>
      <c r="D1252" s="37" t="s">
        <v>74</v>
      </c>
      <c r="E1252" s="37" t="s">
        <v>6</v>
      </c>
      <c r="F1252" s="37" t="s">
        <v>162</v>
      </c>
      <c r="G1252" s="37" t="s">
        <v>74</v>
      </c>
      <c r="H1252" s="37" t="s">
        <v>163</v>
      </c>
      <c r="I1252" s="37" t="s">
        <v>164</v>
      </c>
      <c r="J1252" s="37" t="s">
        <v>34</v>
      </c>
      <c r="K1252" s="38">
        <v>2.0722499999999999</v>
      </c>
      <c r="L1252" s="39"/>
      <c r="M1252" s="37"/>
      <c r="N1252" s="40">
        <v>8.7999999999999995E-2</v>
      </c>
      <c r="O1252" s="38">
        <v>8.8269E-2</v>
      </c>
      <c r="P1252" s="39"/>
      <c r="Q1252" s="39"/>
      <c r="R1252" s="40">
        <v>8.7999999999999995E-2</v>
      </c>
      <c r="S1252" s="38">
        <v>8.8269E-2</v>
      </c>
      <c r="T1252" s="39"/>
      <c r="U1252" s="39"/>
      <c r="V1252" s="8">
        <f t="shared" si="19"/>
        <v>2022</v>
      </c>
    </row>
    <row r="1253" spans="1:22" s="41" customFormat="1" ht="51" hidden="1" x14ac:dyDescent="0.3">
      <c r="A1253" s="36">
        <v>44593</v>
      </c>
      <c r="B1253" s="37" t="s">
        <v>23</v>
      </c>
      <c r="C1253" s="37" t="s">
        <v>118</v>
      </c>
      <c r="D1253" s="37" t="s">
        <v>74</v>
      </c>
      <c r="E1253" s="37" t="s">
        <v>6</v>
      </c>
      <c r="F1253" s="37" t="s">
        <v>162</v>
      </c>
      <c r="G1253" s="37" t="s">
        <v>74</v>
      </c>
      <c r="H1253" s="37" t="s">
        <v>163</v>
      </c>
      <c r="I1253" s="37" t="s">
        <v>164</v>
      </c>
      <c r="J1253" s="37" t="s">
        <v>34</v>
      </c>
      <c r="K1253" s="38">
        <v>2.0722499999999999</v>
      </c>
      <c r="L1253" s="39"/>
      <c r="M1253" s="37"/>
      <c r="N1253" s="40">
        <v>8.7999999999999995E-2</v>
      </c>
      <c r="O1253" s="38">
        <v>8.8269E-2</v>
      </c>
      <c r="P1253" s="39"/>
      <c r="Q1253" s="39"/>
      <c r="R1253" s="40">
        <v>8.7999999999999995E-2</v>
      </c>
      <c r="S1253" s="38">
        <v>8.8269E-2</v>
      </c>
      <c r="T1253" s="39"/>
      <c r="U1253" s="39"/>
      <c r="V1253" s="8">
        <f t="shared" si="19"/>
        <v>2022</v>
      </c>
    </row>
    <row r="1254" spans="1:22" s="41" customFormat="1" ht="51" hidden="1" x14ac:dyDescent="0.3">
      <c r="A1254" s="36">
        <v>44621</v>
      </c>
      <c r="B1254" s="37" t="s">
        <v>23</v>
      </c>
      <c r="C1254" s="37" t="s">
        <v>118</v>
      </c>
      <c r="D1254" s="37" t="s">
        <v>74</v>
      </c>
      <c r="E1254" s="37" t="s">
        <v>6</v>
      </c>
      <c r="F1254" s="37" t="s">
        <v>162</v>
      </c>
      <c r="G1254" s="37" t="s">
        <v>74</v>
      </c>
      <c r="H1254" s="37" t="s">
        <v>163</v>
      </c>
      <c r="I1254" s="37" t="s">
        <v>164</v>
      </c>
      <c r="J1254" s="37" t="s">
        <v>34</v>
      </c>
      <c r="K1254" s="38">
        <v>2.0722499999999999</v>
      </c>
      <c r="L1254" s="39"/>
      <c r="M1254" s="37"/>
      <c r="N1254" s="40">
        <v>8.7999999999999995E-2</v>
      </c>
      <c r="O1254" s="38">
        <v>8.8269E-2</v>
      </c>
      <c r="P1254" s="39"/>
      <c r="Q1254" s="39"/>
      <c r="R1254" s="40">
        <v>8.7999999999999995E-2</v>
      </c>
      <c r="S1254" s="38">
        <v>8.8269E-2</v>
      </c>
      <c r="T1254" s="39"/>
      <c r="U1254" s="39"/>
      <c r="V1254" s="8">
        <f t="shared" si="19"/>
        <v>2022</v>
      </c>
    </row>
    <row r="1255" spans="1:22" s="41" customFormat="1" ht="51" hidden="1" x14ac:dyDescent="0.3">
      <c r="A1255" s="36">
        <v>44652</v>
      </c>
      <c r="B1255" s="37" t="s">
        <v>23</v>
      </c>
      <c r="C1255" s="37" t="s">
        <v>118</v>
      </c>
      <c r="D1255" s="37" t="s">
        <v>74</v>
      </c>
      <c r="E1255" s="37" t="s">
        <v>6</v>
      </c>
      <c r="F1255" s="37" t="s">
        <v>162</v>
      </c>
      <c r="G1255" s="37" t="s">
        <v>74</v>
      </c>
      <c r="H1255" s="37" t="s">
        <v>163</v>
      </c>
      <c r="I1255" s="37" t="s">
        <v>164</v>
      </c>
      <c r="J1255" s="37" t="s">
        <v>34</v>
      </c>
      <c r="K1255" s="38">
        <v>2.0722499999999999</v>
      </c>
      <c r="L1255" s="39"/>
      <c r="M1255" s="37"/>
      <c r="N1255" s="40">
        <v>8.7999999999999995E-2</v>
      </c>
      <c r="O1255" s="38">
        <v>8.8269E-2</v>
      </c>
      <c r="P1255" s="39"/>
      <c r="Q1255" s="39"/>
      <c r="R1255" s="40">
        <v>8.7999999999999995E-2</v>
      </c>
      <c r="S1255" s="38">
        <v>8.8269E-2</v>
      </c>
      <c r="T1255" s="39"/>
      <c r="U1255" s="39"/>
      <c r="V1255" s="8">
        <f t="shared" si="19"/>
        <v>2022</v>
      </c>
    </row>
    <row r="1256" spans="1:22" s="41" customFormat="1" ht="51" hidden="1" x14ac:dyDescent="0.3">
      <c r="A1256" s="36">
        <v>44682</v>
      </c>
      <c r="B1256" s="37" t="s">
        <v>23</v>
      </c>
      <c r="C1256" s="37" t="s">
        <v>118</v>
      </c>
      <c r="D1256" s="37" t="s">
        <v>74</v>
      </c>
      <c r="E1256" s="37" t="s">
        <v>6</v>
      </c>
      <c r="F1256" s="37" t="s">
        <v>162</v>
      </c>
      <c r="G1256" s="37" t="s">
        <v>74</v>
      </c>
      <c r="H1256" s="37" t="s">
        <v>163</v>
      </c>
      <c r="I1256" s="37" t="s">
        <v>164</v>
      </c>
      <c r="J1256" s="37" t="s">
        <v>34</v>
      </c>
      <c r="K1256" s="38">
        <v>2.0722499999999999</v>
      </c>
      <c r="L1256" s="39"/>
      <c r="M1256" s="37"/>
      <c r="N1256" s="40">
        <v>8.7999999999999995E-2</v>
      </c>
      <c r="O1256" s="38">
        <v>8.8269E-2</v>
      </c>
      <c r="P1256" s="39"/>
      <c r="Q1256" s="39"/>
      <c r="R1256" s="40">
        <v>8.7999999999999995E-2</v>
      </c>
      <c r="S1256" s="38">
        <v>8.8269E-2</v>
      </c>
      <c r="T1256" s="39"/>
      <c r="U1256" s="39"/>
      <c r="V1256" s="8">
        <f t="shared" si="19"/>
        <v>2022</v>
      </c>
    </row>
    <row r="1257" spans="1:22" s="41" customFormat="1" ht="51" hidden="1" x14ac:dyDescent="0.3">
      <c r="A1257" s="36">
        <v>44713</v>
      </c>
      <c r="B1257" s="37" t="s">
        <v>23</v>
      </c>
      <c r="C1257" s="37" t="s">
        <v>118</v>
      </c>
      <c r="D1257" s="37" t="s">
        <v>74</v>
      </c>
      <c r="E1257" s="37" t="s">
        <v>6</v>
      </c>
      <c r="F1257" s="37" t="s">
        <v>162</v>
      </c>
      <c r="G1257" s="37" t="s">
        <v>74</v>
      </c>
      <c r="H1257" s="37" t="s">
        <v>163</v>
      </c>
      <c r="I1257" s="37" t="s">
        <v>164</v>
      </c>
      <c r="J1257" s="37" t="s">
        <v>34</v>
      </c>
      <c r="K1257" s="38">
        <v>2.0722499999999999</v>
      </c>
      <c r="L1257" s="39"/>
      <c r="M1257" s="37"/>
      <c r="N1257" s="40">
        <v>8.7999999999999995E-2</v>
      </c>
      <c r="O1257" s="38">
        <v>8.8269E-2</v>
      </c>
      <c r="P1257" s="39"/>
      <c r="Q1257" s="39"/>
      <c r="R1257" s="40">
        <v>8.7999999999999995E-2</v>
      </c>
      <c r="S1257" s="38">
        <v>8.8269E-2</v>
      </c>
      <c r="T1257" s="39"/>
      <c r="U1257" s="39"/>
      <c r="V1257" s="8">
        <f t="shared" si="19"/>
        <v>2022</v>
      </c>
    </row>
    <row r="1258" spans="1:22" s="41" customFormat="1" ht="51" hidden="1" x14ac:dyDescent="0.3">
      <c r="A1258" s="36">
        <v>44743</v>
      </c>
      <c r="B1258" s="37" t="s">
        <v>23</v>
      </c>
      <c r="C1258" s="37" t="s">
        <v>118</v>
      </c>
      <c r="D1258" s="37" t="s">
        <v>74</v>
      </c>
      <c r="E1258" s="37" t="s">
        <v>6</v>
      </c>
      <c r="F1258" s="37" t="s">
        <v>162</v>
      </c>
      <c r="G1258" s="37" t="s">
        <v>74</v>
      </c>
      <c r="H1258" s="37" t="s">
        <v>163</v>
      </c>
      <c r="I1258" s="37" t="s">
        <v>164</v>
      </c>
      <c r="J1258" s="37" t="s">
        <v>34</v>
      </c>
      <c r="K1258" s="38">
        <v>2.0722499999999999</v>
      </c>
      <c r="L1258" s="39"/>
      <c r="M1258" s="37"/>
      <c r="N1258" s="40">
        <v>8.7999999999999995E-2</v>
      </c>
      <c r="O1258" s="38">
        <v>8.8269E-2</v>
      </c>
      <c r="P1258" s="39"/>
      <c r="Q1258" s="39"/>
      <c r="R1258" s="40">
        <v>8.7999999999999995E-2</v>
      </c>
      <c r="S1258" s="38">
        <v>8.8269E-2</v>
      </c>
      <c r="T1258" s="39"/>
      <c r="U1258" s="39"/>
      <c r="V1258" s="8">
        <f t="shared" si="19"/>
        <v>2022</v>
      </c>
    </row>
    <row r="1259" spans="1:22" s="41" customFormat="1" ht="51" hidden="1" x14ac:dyDescent="0.3">
      <c r="A1259" s="36">
        <v>44774</v>
      </c>
      <c r="B1259" s="37" t="s">
        <v>23</v>
      </c>
      <c r="C1259" s="37" t="s">
        <v>118</v>
      </c>
      <c r="D1259" s="37" t="s">
        <v>74</v>
      </c>
      <c r="E1259" s="37" t="s">
        <v>6</v>
      </c>
      <c r="F1259" s="37" t="s">
        <v>162</v>
      </c>
      <c r="G1259" s="37" t="s">
        <v>74</v>
      </c>
      <c r="H1259" s="37" t="s">
        <v>163</v>
      </c>
      <c r="I1259" s="37" t="s">
        <v>164</v>
      </c>
      <c r="J1259" s="37" t="s">
        <v>34</v>
      </c>
      <c r="K1259" s="38">
        <v>2.0722499999999999</v>
      </c>
      <c r="L1259" s="39"/>
      <c r="M1259" s="37"/>
      <c r="N1259" s="40">
        <v>8.7999999999999995E-2</v>
      </c>
      <c r="O1259" s="38">
        <v>8.8269E-2</v>
      </c>
      <c r="P1259" s="39"/>
      <c r="Q1259" s="39"/>
      <c r="R1259" s="40">
        <v>8.7999999999999995E-2</v>
      </c>
      <c r="S1259" s="38">
        <v>8.8269E-2</v>
      </c>
      <c r="T1259" s="39"/>
      <c r="U1259" s="39"/>
      <c r="V1259" s="8">
        <f t="shared" si="19"/>
        <v>2022</v>
      </c>
    </row>
    <row r="1260" spans="1:22" s="41" customFormat="1" ht="51" hidden="1" x14ac:dyDescent="0.3">
      <c r="A1260" s="36">
        <v>44805</v>
      </c>
      <c r="B1260" s="37" t="s">
        <v>23</v>
      </c>
      <c r="C1260" s="37" t="s">
        <v>118</v>
      </c>
      <c r="D1260" s="37" t="s">
        <v>74</v>
      </c>
      <c r="E1260" s="37" t="s">
        <v>6</v>
      </c>
      <c r="F1260" s="37" t="s">
        <v>162</v>
      </c>
      <c r="G1260" s="37" t="s">
        <v>74</v>
      </c>
      <c r="H1260" s="37" t="s">
        <v>163</v>
      </c>
      <c r="I1260" s="37" t="s">
        <v>164</v>
      </c>
      <c r="J1260" s="37" t="s">
        <v>34</v>
      </c>
      <c r="K1260" s="38">
        <v>2.0722499999999999</v>
      </c>
      <c r="L1260" s="39"/>
      <c r="M1260" s="37"/>
      <c r="N1260" s="40">
        <v>8.7999999999999995E-2</v>
      </c>
      <c r="O1260" s="38">
        <v>8.8269E-2</v>
      </c>
      <c r="P1260" s="39"/>
      <c r="Q1260" s="39"/>
      <c r="R1260" s="40">
        <v>8.7999999999999995E-2</v>
      </c>
      <c r="S1260" s="38">
        <v>8.8269E-2</v>
      </c>
      <c r="T1260" s="39"/>
      <c r="U1260" s="39"/>
      <c r="V1260" s="8">
        <f t="shared" si="19"/>
        <v>2022</v>
      </c>
    </row>
    <row r="1261" spans="1:22" s="41" customFormat="1" ht="51" hidden="1" x14ac:dyDescent="0.3">
      <c r="A1261" s="36">
        <v>44835</v>
      </c>
      <c r="B1261" s="37" t="s">
        <v>23</v>
      </c>
      <c r="C1261" s="37" t="s">
        <v>118</v>
      </c>
      <c r="D1261" s="37" t="s">
        <v>74</v>
      </c>
      <c r="E1261" s="37" t="s">
        <v>6</v>
      </c>
      <c r="F1261" s="37" t="s">
        <v>162</v>
      </c>
      <c r="G1261" s="37" t="s">
        <v>74</v>
      </c>
      <c r="H1261" s="37" t="s">
        <v>163</v>
      </c>
      <c r="I1261" s="37" t="s">
        <v>164</v>
      </c>
      <c r="J1261" s="37" t="s">
        <v>34</v>
      </c>
      <c r="K1261" s="38">
        <v>2.0722499999999999</v>
      </c>
      <c r="L1261" s="39"/>
      <c r="M1261" s="37"/>
      <c r="N1261" s="40">
        <v>8.7999999999999995E-2</v>
      </c>
      <c r="O1261" s="38">
        <v>8.8269E-2</v>
      </c>
      <c r="P1261" s="39"/>
      <c r="Q1261" s="39"/>
      <c r="R1261" s="40">
        <v>8.7999999999999995E-2</v>
      </c>
      <c r="S1261" s="38">
        <v>8.8269E-2</v>
      </c>
      <c r="T1261" s="39"/>
      <c r="U1261" s="39"/>
      <c r="V1261" s="8">
        <f t="shared" si="19"/>
        <v>2022</v>
      </c>
    </row>
    <row r="1262" spans="1:22" s="41" customFormat="1" ht="51" hidden="1" x14ac:dyDescent="0.3">
      <c r="A1262" s="36">
        <v>44866</v>
      </c>
      <c r="B1262" s="37" t="s">
        <v>23</v>
      </c>
      <c r="C1262" s="37" t="s">
        <v>118</v>
      </c>
      <c r="D1262" s="37" t="s">
        <v>74</v>
      </c>
      <c r="E1262" s="37" t="s">
        <v>6</v>
      </c>
      <c r="F1262" s="37" t="s">
        <v>162</v>
      </c>
      <c r="G1262" s="37" t="s">
        <v>74</v>
      </c>
      <c r="H1262" s="37" t="s">
        <v>163</v>
      </c>
      <c r="I1262" s="37" t="s">
        <v>164</v>
      </c>
      <c r="J1262" s="37" t="s">
        <v>34</v>
      </c>
      <c r="K1262" s="38">
        <v>2.0722499999999999</v>
      </c>
      <c r="L1262" s="39"/>
      <c r="M1262" s="37"/>
      <c r="N1262" s="40">
        <v>8.7999999999999995E-2</v>
      </c>
      <c r="O1262" s="38">
        <v>8.8269E-2</v>
      </c>
      <c r="P1262" s="39"/>
      <c r="Q1262" s="39"/>
      <c r="R1262" s="40">
        <v>8.7999999999999995E-2</v>
      </c>
      <c r="S1262" s="38">
        <v>8.8269E-2</v>
      </c>
      <c r="T1262" s="39"/>
      <c r="U1262" s="39"/>
      <c r="V1262" s="8">
        <f t="shared" si="19"/>
        <v>2022</v>
      </c>
    </row>
    <row r="1263" spans="1:22" s="41" customFormat="1" ht="51" hidden="1" x14ac:dyDescent="0.3">
      <c r="A1263" s="36">
        <v>44896</v>
      </c>
      <c r="B1263" s="37" t="s">
        <v>23</v>
      </c>
      <c r="C1263" s="37" t="s">
        <v>118</v>
      </c>
      <c r="D1263" s="37" t="s">
        <v>74</v>
      </c>
      <c r="E1263" s="37" t="s">
        <v>6</v>
      </c>
      <c r="F1263" s="37" t="s">
        <v>162</v>
      </c>
      <c r="G1263" s="37" t="s">
        <v>74</v>
      </c>
      <c r="H1263" s="37" t="s">
        <v>163</v>
      </c>
      <c r="I1263" s="37" t="s">
        <v>164</v>
      </c>
      <c r="J1263" s="37" t="s">
        <v>34</v>
      </c>
      <c r="K1263" s="38">
        <v>2.0722499999999999</v>
      </c>
      <c r="L1263" s="39"/>
      <c r="M1263" s="37"/>
      <c r="N1263" s="40">
        <v>8.7999999999999995E-2</v>
      </c>
      <c r="O1263" s="38">
        <v>8.8269E-2</v>
      </c>
      <c r="P1263" s="39"/>
      <c r="Q1263" s="39"/>
      <c r="R1263" s="40">
        <v>8.7999999999999995E-2</v>
      </c>
      <c r="S1263" s="38">
        <v>8.8269E-2</v>
      </c>
      <c r="T1263" s="39"/>
      <c r="U1263" s="39"/>
      <c r="V1263" s="8">
        <f t="shared" si="19"/>
        <v>2022</v>
      </c>
    </row>
    <row r="1264" spans="1:22" s="41" customFormat="1" ht="51" hidden="1" x14ac:dyDescent="0.3">
      <c r="A1264" s="36">
        <v>44927</v>
      </c>
      <c r="B1264" s="37" t="s">
        <v>23</v>
      </c>
      <c r="C1264" s="37" t="s">
        <v>118</v>
      </c>
      <c r="D1264" s="37" t="s">
        <v>74</v>
      </c>
      <c r="E1264" s="37" t="s">
        <v>6</v>
      </c>
      <c r="F1264" s="37" t="s">
        <v>162</v>
      </c>
      <c r="G1264" s="37" t="s">
        <v>74</v>
      </c>
      <c r="H1264" s="37" t="s">
        <v>163</v>
      </c>
      <c r="I1264" s="37" t="s">
        <v>164</v>
      </c>
      <c r="J1264" s="37" t="s">
        <v>34</v>
      </c>
      <c r="K1264" s="38">
        <v>2.5030000000000001</v>
      </c>
      <c r="L1264" s="39"/>
      <c r="M1264" s="37"/>
      <c r="N1264" s="40">
        <v>9.6000000000000002E-2</v>
      </c>
      <c r="O1264" s="38">
        <v>9.6391000000000004E-2</v>
      </c>
      <c r="P1264" s="39"/>
      <c r="Q1264" s="39"/>
      <c r="R1264" s="40">
        <v>9.6000000000000002E-2</v>
      </c>
      <c r="S1264" s="38">
        <v>9.6391000000000004E-2</v>
      </c>
      <c r="T1264" s="39"/>
      <c r="U1264" s="39"/>
      <c r="V1264" s="8">
        <f t="shared" si="19"/>
        <v>2023</v>
      </c>
    </row>
    <row r="1265" spans="1:22" s="41" customFormat="1" ht="51" hidden="1" x14ac:dyDescent="0.3">
      <c r="A1265" s="36">
        <v>44958</v>
      </c>
      <c r="B1265" s="37" t="s">
        <v>23</v>
      </c>
      <c r="C1265" s="37" t="s">
        <v>118</v>
      </c>
      <c r="D1265" s="37" t="s">
        <v>74</v>
      </c>
      <c r="E1265" s="37" t="s">
        <v>6</v>
      </c>
      <c r="F1265" s="37" t="s">
        <v>162</v>
      </c>
      <c r="G1265" s="37" t="s">
        <v>74</v>
      </c>
      <c r="H1265" s="37" t="s">
        <v>163</v>
      </c>
      <c r="I1265" s="37" t="s">
        <v>164</v>
      </c>
      <c r="J1265" s="37" t="s">
        <v>34</v>
      </c>
      <c r="K1265" s="38">
        <v>2.8359999999999999</v>
      </c>
      <c r="L1265" s="39"/>
      <c r="M1265" s="37"/>
      <c r="N1265" s="40">
        <v>0.109</v>
      </c>
      <c r="O1265" s="38">
        <v>0.10921400000000001</v>
      </c>
      <c r="P1265" s="39"/>
      <c r="Q1265" s="39"/>
      <c r="R1265" s="40">
        <v>0.109</v>
      </c>
      <c r="S1265" s="38">
        <v>0.10921400000000001</v>
      </c>
      <c r="T1265" s="39"/>
      <c r="U1265" s="39"/>
      <c r="V1265" s="8">
        <f t="shared" si="19"/>
        <v>2023</v>
      </c>
    </row>
    <row r="1266" spans="1:22" s="41" customFormat="1" ht="51" hidden="1" x14ac:dyDescent="0.3">
      <c r="A1266" s="36">
        <v>44986</v>
      </c>
      <c r="B1266" s="37" t="s">
        <v>23</v>
      </c>
      <c r="C1266" s="37" t="s">
        <v>118</v>
      </c>
      <c r="D1266" s="37" t="s">
        <v>74</v>
      </c>
      <c r="E1266" s="37" t="s">
        <v>6</v>
      </c>
      <c r="F1266" s="37" t="s">
        <v>162</v>
      </c>
      <c r="G1266" s="37" t="s">
        <v>74</v>
      </c>
      <c r="H1266" s="37" t="s">
        <v>163</v>
      </c>
      <c r="I1266" s="37" t="s">
        <v>164</v>
      </c>
      <c r="J1266" s="37" t="s">
        <v>34</v>
      </c>
      <c r="K1266" s="38">
        <v>2.1800000000000002</v>
      </c>
      <c r="L1266" s="39"/>
      <c r="M1266" s="37"/>
      <c r="N1266" s="40">
        <v>8.4000000000000005E-2</v>
      </c>
      <c r="O1266" s="38">
        <v>8.3951999999999999E-2</v>
      </c>
      <c r="P1266" s="39"/>
      <c r="Q1266" s="39"/>
      <c r="R1266" s="40">
        <v>8.4000000000000005E-2</v>
      </c>
      <c r="S1266" s="38">
        <v>8.3951999999999999E-2</v>
      </c>
      <c r="T1266" s="39"/>
      <c r="U1266" s="39"/>
      <c r="V1266" s="8">
        <f t="shared" si="19"/>
        <v>2023</v>
      </c>
    </row>
    <row r="1267" spans="1:22" s="41" customFormat="1" ht="51" hidden="1" x14ac:dyDescent="0.3">
      <c r="A1267" s="36">
        <v>45017</v>
      </c>
      <c r="B1267" s="37" t="s">
        <v>23</v>
      </c>
      <c r="C1267" s="37" t="s">
        <v>118</v>
      </c>
      <c r="D1267" s="37" t="s">
        <v>74</v>
      </c>
      <c r="E1267" s="37" t="s">
        <v>6</v>
      </c>
      <c r="F1267" s="37" t="s">
        <v>162</v>
      </c>
      <c r="G1267" s="37" t="s">
        <v>74</v>
      </c>
      <c r="H1267" s="37" t="s">
        <v>163</v>
      </c>
      <c r="I1267" s="37" t="s">
        <v>164</v>
      </c>
      <c r="J1267" s="37" t="s">
        <v>34</v>
      </c>
      <c r="K1267" s="38">
        <v>3.488</v>
      </c>
      <c r="L1267" s="39"/>
      <c r="M1267" s="37"/>
      <c r="N1267" s="40">
        <v>0.13400000000000001</v>
      </c>
      <c r="O1267" s="38">
        <v>0.134323</v>
      </c>
      <c r="P1267" s="39"/>
      <c r="Q1267" s="39"/>
      <c r="R1267" s="40">
        <v>0.13400000000000001</v>
      </c>
      <c r="S1267" s="38">
        <v>0.134323</v>
      </c>
      <c r="T1267" s="39"/>
      <c r="U1267" s="39"/>
      <c r="V1267" s="8">
        <f t="shared" si="19"/>
        <v>2023</v>
      </c>
    </row>
    <row r="1268" spans="1:22" s="41" customFormat="1" ht="51" hidden="1" x14ac:dyDescent="0.3">
      <c r="A1268" s="36">
        <v>45047</v>
      </c>
      <c r="B1268" s="37" t="s">
        <v>23</v>
      </c>
      <c r="C1268" s="37" t="s">
        <v>118</v>
      </c>
      <c r="D1268" s="37" t="s">
        <v>74</v>
      </c>
      <c r="E1268" s="37" t="s">
        <v>6</v>
      </c>
      <c r="F1268" s="37" t="s">
        <v>162</v>
      </c>
      <c r="G1268" s="37" t="s">
        <v>74</v>
      </c>
      <c r="H1268" s="37" t="s">
        <v>163</v>
      </c>
      <c r="I1268" s="37" t="s">
        <v>164</v>
      </c>
      <c r="J1268" s="37" t="s">
        <v>34</v>
      </c>
      <c r="K1268" s="38">
        <v>2.1280000000000001</v>
      </c>
      <c r="L1268" s="39"/>
      <c r="M1268" s="37"/>
      <c r="N1268" s="40">
        <v>8.2000000000000003E-2</v>
      </c>
      <c r="O1268" s="38">
        <v>8.1948999999999994E-2</v>
      </c>
      <c r="P1268" s="39"/>
      <c r="Q1268" s="39"/>
      <c r="R1268" s="40">
        <v>8.2000000000000003E-2</v>
      </c>
      <c r="S1268" s="38">
        <v>8.1948999999999994E-2</v>
      </c>
      <c r="T1268" s="39"/>
      <c r="U1268" s="39"/>
      <c r="V1268" s="8">
        <f t="shared" ref="V1268:V1331" si="20">YEAR(A1268)</f>
        <v>2023</v>
      </c>
    </row>
    <row r="1269" spans="1:22" s="41" customFormat="1" ht="51" hidden="1" x14ac:dyDescent="0.3">
      <c r="A1269" s="36">
        <v>45078</v>
      </c>
      <c r="B1269" s="37" t="s">
        <v>23</v>
      </c>
      <c r="C1269" s="37" t="s">
        <v>118</v>
      </c>
      <c r="D1269" s="37" t="s">
        <v>74</v>
      </c>
      <c r="E1269" s="37" t="s">
        <v>6</v>
      </c>
      <c r="F1269" s="37" t="s">
        <v>162</v>
      </c>
      <c r="G1269" s="37" t="s">
        <v>74</v>
      </c>
      <c r="H1269" s="37" t="s">
        <v>163</v>
      </c>
      <c r="I1269" s="37" t="s">
        <v>164</v>
      </c>
      <c r="J1269" s="37" t="s">
        <v>34</v>
      </c>
      <c r="K1269" s="38">
        <v>2.1440000000000001</v>
      </c>
      <c r="L1269" s="39"/>
      <c r="M1269" s="37"/>
      <c r="N1269" s="40">
        <v>8.3000000000000004E-2</v>
      </c>
      <c r="O1269" s="38">
        <v>8.2565E-2</v>
      </c>
      <c r="P1269" s="39"/>
      <c r="Q1269" s="39"/>
      <c r="R1269" s="40">
        <v>8.3000000000000004E-2</v>
      </c>
      <c r="S1269" s="38">
        <v>8.2565E-2</v>
      </c>
      <c r="T1269" s="39"/>
      <c r="U1269" s="39"/>
      <c r="V1269" s="8">
        <f t="shared" si="20"/>
        <v>2023</v>
      </c>
    </row>
    <row r="1270" spans="1:22" s="41" customFormat="1" ht="51" hidden="1" x14ac:dyDescent="0.3">
      <c r="A1270" s="36">
        <v>45108</v>
      </c>
      <c r="B1270" s="37" t="s">
        <v>23</v>
      </c>
      <c r="C1270" s="37" t="s">
        <v>118</v>
      </c>
      <c r="D1270" s="37" t="s">
        <v>74</v>
      </c>
      <c r="E1270" s="37" t="s">
        <v>6</v>
      </c>
      <c r="F1270" s="37" t="s">
        <v>162</v>
      </c>
      <c r="G1270" s="37" t="s">
        <v>74</v>
      </c>
      <c r="H1270" s="37" t="s">
        <v>163</v>
      </c>
      <c r="I1270" s="37" t="s">
        <v>164</v>
      </c>
      <c r="J1270" s="37" t="s">
        <v>34</v>
      </c>
      <c r="K1270" s="38">
        <v>2.1930000000000001</v>
      </c>
      <c r="L1270" s="39"/>
      <c r="M1270" s="37"/>
      <c r="N1270" s="40">
        <v>8.4000000000000005E-2</v>
      </c>
      <c r="O1270" s="38">
        <v>8.4451999999999999E-2</v>
      </c>
      <c r="P1270" s="39"/>
      <c r="Q1270" s="39"/>
      <c r="R1270" s="40">
        <v>8.4000000000000005E-2</v>
      </c>
      <c r="S1270" s="38">
        <v>8.4451999999999999E-2</v>
      </c>
      <c r="T1270" s="39"/>
      <c r="U1270" s="39"/>
      <c r="V1270" s="8">
        <f t="shared" si="20"/>
        <v>2023</v>
      </c>
    </row>
    <row r="1271" spans="1:22" s="41" customFormat="1" ht="51" hidden="1" x14ac:dyDescent="0.3">
      <c r="A1271" s="36">
        <v>45139</v>
      </c>
      <c r="B1271" s="37" t="s">
        <v>23</v>
      </c>
      <c r="C1271" s="37" t="s">
        <v>118</v>
      </c>
      <c r="D1271" s="37" t="s">
        <v>74</v>
      </c>
      <c r="E1271" s="37" t="s">
        <v>6</v>
      </c>
      <c r="F1271" s="37" t="s">
        <v>162</v>
      </c>
      <c r="G1271" s="37" t="s">
        <v>74</v>
      </c>
      <c r="H1271" s="37" t="s">
        <v>163</v>
      </c>
      <c r="I1271" s="37" t="s">
        <v>164</v>
      </c>
      <c r="J1271" s="37" t="s">
        <v>34</v>
      </c>
      <c r="K1271" s="38">
        <v>2.5489999999999999</v>
      </c>
      <c r="L1271" s="39"/>
      <c r="M1271" s="37"/>
      <c r="N1271" s="40">
        <v>9.8000000000000004E-2</v>
      </c>
      <c r="O1271" s="38">
        <v>9.8161999999999999E-2</v>
      </c>
      <c r="P1271" s="39"/>
      <c r="Q1271" s="39"/>
      <c r="R1271" s="40">
        <v>9.8000000000000004E-2</v>
      </c>
      <c r="S1271" s="38">
        <v>9.8161999999999999E-2</v>
      </c>
      <c r="T1271" s="39"/>
      <c r="U1271" s="39"/>
      <c r="V1271" s="8">
        <f t="shared" si="20"/>
        <v>2023</v>
      </c>
    </row>
    <row r="1272" spans="1:22" s="41" customFormat="1" ht="51" hidden="1" x14ac:dyDescent="0.3">
      <c r="A1272" s="36">
        <v>45170</v>
      </c>
      <c r="B1272" s="37" t="s">
        <v>23</v>
      </c>
      <c r="C1272" s="37" t="s">
        <v>118</v>
      </c>
      <c r="D1272" s="37" t="s">
        <v>74</v>
      </c>
      <c r="E1272" s="37" t="s">
        <v>6</v>
      </c>
      <c r="F1272" s="37" t="s">
        <v>162</v>
      </c>
      <c r="G1272" s="37" t="s">
        <v>74</v>
      </c>
      <c r="H1272" s="37" t="s">
        <v>163</v>
      </c>
      <c r="I1272" s="37" t="s">
        <v>164</v>
      </c>
      <c r="J1272" s="37" t="s">
        <v>34</v>
      </c>
      <c r="K1272" s="38">
        <v>2.5276999999999998</v>
      </c>
      <c r="L1272" s="39"/>
      <c r="M1272" s="37"/>
      <c r="N1272" s="40">
        <v>9.7000000000000003E-2</v>
      </c>
      <c r="O1272" s="38">
        <v>9.7341999999999998E-2</v>
      </c>
      <c r="P1272" s="39"/>
      <c r="Q1272" s="39"/>
      <c r="R1272" s="40">
        <v>9.7000000000000003E-2</v>
      </c>
      <c r="S1272" s="38">
        <v>9.7341999999999998E-2</v>
      </c>
      <c r="T1272" s="39"/>
      <c r="U1272" s="39"/>
      <c r="V1272" s="8">
        <f t="shared" si="20"/>
        <v>2023</v>
      </c>
    </row>
    <row r="1273" spans="1:22" s="41" customFormat="1" ht="51" hidden="1" x14ac:dyDescent="0.3">
      <c r="A1273" s="36">
        <v>45200</v>
      </c>
      <c r="B1273" s="37" t="s">
        <v>23</v>
      </c>
      <c r="C1273" s="37" t="s">
        <v>118</v>
      </c>
      <c r="D1273" s="37" t="s">
        <v>74</v>
      </c>
      <c r="E1273" s="37" t="s">
        <v>6</v>
      </c>
      <c r="F1273" s="37" t="s">
        <v>162</v>
      </c>
      <c r="G1273" s="37" t="s">
        <v>74</v>
      </c>
      <c r="H1273" s="37" t="s">
        <v>163</v>
      </c>
      <c r="I1273" s="37" t="s">
        <v>164</v>
      </c>
      <c r="J1273" s="37" t="s">
        <v>34</v>
      </c>
      <c r="K1273" s="38">
        <v>1.8989</v>
      </c>
      <c r="L1273" s="39"/>
      <c r="M1273" s="37"/>
      <c r="N1273" s="40">
        <v>7.2999999999999995E-2</v>
      </c>
      <c r="O1273" s="38">
        <v>7.3126999999999998E-2</v>
      </c>
      <c r="P1273" s="39"/>
      <c r="Q1273" s="39"/>
      <c r="R1273" s="40">
        <v>7.2999999999999995E-2</v>
      </c>
      <c r="S1273" s="38">
        <v>7.3126999999999998E-2</v>
      </c>
      <c r="T1273" s="39"/>
      <c r="U1273" s="39"/>
      <c r="V1273" s="8">
        <f t="shared" si="20"/>
        <v>2023</v>
      </c>
    </row>
    <row r="1274" spans="1:22" s="41" customFormat="1" ht="51" hidden="1" x14ac:dyDescent="0.3">
      <c r="A1274" s="36">
        <v>45231</v>
      </c>
      <c r="B1274" s="37" t="s">
        <v>23</v>
      </c>
      <c r="C1274" s="37" t="s">
        <v>118</v>
      </c>
      <c r="D1274" s="37" t="s">
        <v>74</v>
      </c>
      <c r="E1274" s="37" t="s">
        <v>6</v>
      </c>
      <c r="F1274" s="37" t="s">
        <v>162</v>
      </c>
      <c r="G1274" s="37" t="s">
        <v>74</v>
      </c>
      <c r="H1274" s="37" t="s">
        <v>163</v>
      </c>
      <c r="I1274" s="37" t="s">
        <v>164</v>
      </c>
      <c r="J1274" s="37" t="s">
        <v>34</v>
      </c>
      <c r="K1274" s="38">
        <v>8.7786039999999996</v>
      </c>
      <c r="L1274" s="39"/>
      <c r="M1274" s="37"/>
      <c r="N1274" s="40">
        <v>0.33800000000000002</v>
      </c>
      <c r="O1274" s="38">
        <v>0.33806399999999998</v>
      </c>
      <c r="P1274" s="39"/>
      <c r="Q1274" s="39"/>
      <c r="R1274" s="40">
        <v>0.33800000000000002</v>
      </c>
      <c r="S1274" s="38">
        <v>0.33806399999999998</v>
      </c>
      <c r="T1274" s="39"/>
      <c r="U1274" s="39"/>
      <c r="V1274" s="8">
        <f t="shared" si="20"/>
        <v>2023</v>
      </c>
    </row>
    <row r="1275" spans="1:22" s="41" customFormat="1" ht="51" hidden="1" x14ac:dyDescent="0.3">
      <c r="A1275" s="36">
        <v>45261</v>
      </c>
      <c r="B1275" s="37" t="s">
        <v>23</v>
      </c>
      <c r="C1275" s="37" t="s">
        <v>118</v>
      </c>
      <c r="D1275" s="37" t="s">
        <v>74</v>
      </c>
      <c r="E1275" s="37" t="s">
        <v>6</v>
      </c>
      <c r="F1275" s="37" t="s">
        <v>162</v>
      </c>
      <c r="G1275" s="37" t="s">
        <v>74</v>
      </c>
      <c r="H1275" s="37" t="s">
        <v>163</v>
      </c>
      <c r="I1275" s="37" t="s">
        <v>164</v>
      </c>
      <c r="J1275" s="37" t="s">
        <v>34</v>
      </c>
      <c r="K1275" s="38">
        <v>3.0129999999999999</v>
      </c>
      <c r="L1275" s="42">
        <v>462.886799</v>
      </c>
      <c r="M1275" s="37"/>
      <c r="N1275" s="40">
        <v>0.11600000000000001</v>
      </c>
      <c r="O1275" s="38">
        <v>0.116031</v>
      </c>
      <c r="P1275" s="39"/>
      <c r="Q1275" s="39"/>
      <c r="R1275" s="40">
        <v>0.11600000000000001</v>
      </c>
      <c r="S1275" s="38">
        <v>0.116031</v>
      </c>
      <c r="T1275" s="39"/>
      <c r="U1275" s="39"/>
      <c r="V1275" s="8">
        <f t="shared" si="20"/>
        <v>2023</v>
      </c>
    </row>
    <row r="1276" spans="1:22" s="41" customFormat="1" ht="20.399999999999999" hidden="1" x14ac:dyDescent="0.3">
      <c r="A1276" s="36">
        <v>44562</v>
      </c>
      <c r="B1276" s="37" t="s">
        <v>19</v>
      </c>
      <c r="C1276" s="37" t="s">
        <v>118</v>
      </c>
      <c r="D1276" s="37" t="s">
        <v>75</v>
      </c>
      <c r="E1276" s="37" t="s">
        <v>5</v>
      </c>
      <c r="F1276" s="37" t="s">
        <v>165</v>
      </c>
      <c r="G1276" s="37" t="s">
        <v>75</v>
      </c>
      <c r="H1276" s="37" t="s">
        <v>166</v>
      </c>
      <c r="I1276" s="37" t="s">
        <v>167</v>
      </c>
      <c r="J1276" s="37" t="s">
        <v>34</v>
      </c>
      <c r="K1276" s="38">
        <v>9.2523710000000001</v>
      </c>
      <c r="L1276" s="39"/>
      <c r="M1276" s="37"/>
      <c r="N1276" s="40">
        <v>1.677</v>
      </c>
      <c r="O1276" s="38">
        <v>1.675125</v>
      </c>
      <c r="P1276" s="38">
        <v>8.6200000000000003E-4</v>
      </c>
      <c r="Q1276" s="38">
        <v>9.41E-4</v>
      </c>
      <c r="R1276" s="40">
        <v>1.677</v>
      </c>
      <c r="S1276" s="38">
        <v>1.675125</v>
      </c>
      <c r="T1276" s="38">
        <v>8.6200000000000003E-4</v>
      </c>
      <c r="U1276" s="38">
        <v>9.41E-4</v>
      </c>
      <c r="V1276" s="8">
        <f t="shared" si="20"/>
        <v>2022</v>
      </c>
    </row>
    <row r="1277" spans="1:22" s="41" customFormat="1" ht="20.399999999999999" hidden="1" x14ac:dyDescent="0.3">
      <c r="A1277" s="36">
        <v>44593</v>
      </c>
      <c r="B1277" s="37" t="s">
        <v>19</v>
      </c>
      <c r="C1277" s="37" t="s">
        <v>118</v>
      </c>
      <c r="D1277" s="37" t="s">
        <v>75</v>
      </c>
      <c r="E1277" s="37" t="s">
        <v>5</v>
      </c>
      <c r="F1277" s="37" t="s">
        <v>165</v>
      </c>
      <c r="G1277" s="37" t="s">
        <v>75</v>
      </c>
      <c r="H1277" s="37" t="s">
        <v>166</v>
      </c>
      <c r="I1277" s="37" t="s">
        <v>167</v>
      </c>
      <c r="J1277" s="37" t="s">
        <v>34</v>
      </c>
      <c r="K1277" s="38">
        <v>9.2523710000000001</v>
      </c>
      <c r="L1277" s="39"/>
      <c r="M1277" s="37"/>
      <c r="N1277" s="40">
        <v>1.677</v>
      </c>
      <c r="O1277" s="38">
        <v>1.675125</v>
      </c>
      <c r="P1277" s="38">
        <v>8.6200000000000003E-4</v>
      </c>
      <c r="Q1277" s="38">
        <v>9.41E-4</v>
      </c>
      <c r="R1277" s="40">
        <v>1.677</v>
      </c>
      <c r="S1277" s="38">
        <v>1.675125</v>
      </c>
      <c r="T1277" s="38">
        <v>8.6200000000000003E-4</v>
      </c>
      <c r="U1277" s="38">
        <v>9.41E-4</v>
      </c>
      <c r="V1277" s="8">
        <f t="shared" si="20"/>
        <v>2022</v>
      </c>
    </row>
    <row r="1278" spans="1:22" s="41" customFormat="1" ht="20.399999999999999" hidden="1" x14ac:dyDescent="0.3">
      <c r="A1278" s="36">
        <v>44621</v>
      </c>
      <c r="B1278" s="37" t="s">
        <v>19</v>
      </c>
      <c r="C1278" s="37" t="s">
        <v>118</v>
      </c>
      <c r="D1278" s="37" t="s">
        <v>75</v>
      </c>
      <c r="E1278" s="37" t="s">
        <v>5</v>
      </c>
      <c r="F1278" s="37" t="s">
        <v>165</v>
      </c>
      <c r="G1278" s="37" t="s">
        <v>75</v>
      </c>
      <c r="H1278" s="37" t="s">
        <v>166</v>
      </c>
      <c r="I1278" s="37" t="s">
        <v>167</v>
      </c>
      <c r="J1278" s="37" t="s">
        <v>34</v>
      </c>
      <c r="K1278" s="38">
        <v>9.2523710000000001</v>
      </c>
      <c r="L1278" s="39"/>
      <c r="M1278" s="37"/>
      <c r="N1278" s="40">
        <v>1.677</v>
      </c>
      <c r="O1278" s="38">
        <v>1.675125</v>
      </c>
      <c r="P1278" s="38">
        <v>8.6200000000000003E-4</v>
      </c>
      <c r="Q1278" s="38">
        <v>9.41E-4</v>
      </c>
      <c r="R1278" s="40">
        <v>1.677</v>
      </c>
      <c r="S1278" s="38">
        <v>1.675125</v>
      </c>
      <c r="T1278" s="38">
        <v>8.6200000000000003E-4</v>
      </c>
      <c r="U1278" s="38">
        <v>9.41E-4</v>
      </c>
      <c r="V1278" s="8">
        <f t="shared" si="20"/>
        <v>2022</v>
      </c>
    </row>
    <row r="1279" spans="1:22" s="41" customFormat="1" ht="20.399999999999999" hidden="1" x14ac:dyDescent="0.3">
      <c r="A1279" s="36">
        <v>44652</v>
      </c>
      <c r="B1279" s="37" t="s">
        <v>19</v>
      </c>
      <c r="C1279" s="37" t="s">
        <v>118</v>
      </c>
      <c r="D1279" s="37" t="s">
        <v>75</v>
      </c>
      <c r="E1279" s="37" t="s">
        <v>5</v>
      </c>
      <c r="F1279" s="37" t="s">
        <v>165</v>
      </c>
      <c r="G1279" s="37" t="s">
        <v>75</v>
      </c>
      <c r="H1279" s="37" t="s">
        <v>166</v>
      </c>
      <c r="I1279" s="37" t="s">
        <v>167</v>
      </c>
      <c r="J1279" s="37" t="s">
        <v>34</v>
      </c>
      <c r="K1279" s="38">
        <v>9.2523710000000001</v>
      </c>
      <c r="L1279" s="39"/>
      <c r="M1279" s="37"/>
      <c r="N1279" s="40">
        <v>1.677</v>
      </c>
      <c r="O1279" s="38">
        <v>1.675125</v>
      </c>
      <c r="P1279" s="38">
        <v>8.6200000000000003E-4</v>
      </c>
      <c r="Q1279" s="38">
        <v>9.41E-4</v>
      </c>
      <c r="R1279" s="40">
        <v>1.677</v>
      </c>
      <c r="S1279" s="38">
        <v>1.675125</v>
      </c>
      <c r="T1279" s="38">
        <v>8.6200000000000003E-4</v>
      </c>
      <c r="U1279" s="38">
        <v>9.41E-4</v>
      </c>
      <c r="V1279" s="8">
        <f t="shared" si="20"/>
        <v>2022</v>
      </c>
    </row>
    <row r="1280" spans="1:22" s="41" customFormat="1" ht="20.399999999999999" hidden="1" x14ac:dyDescent="0.3">
      <c r="A1280" s="36">
        <v>44682</v>
      </c>
      <c r="B1280" s="37" t="s">
        <v>19</v>
      </c>
      <c r="C1280" s="37" t="s">
        <v>118</v>
      </c>
      <c r="D1280" s="37" t="s">
        <v>75</v>
      </c>
      <c r="E1280" s="37" t="s">
        <v>5</v>
      </c>
      <c r="F1280" s="37" t="s">
        <v>165</v>
      </c>
      <c r="G1280" s="37" t="s">
        <v>75</v>
      </c>
      <c r="H1280" s="37" t="s">
        <v>166</v>
      </c>
      <c r="I1280" s="37" t="s">
        <v>167</v>
      </c>
      <c r="J1280" s="37" t="s">
        <v>34</v>
      </c>
      <c r="K1280" s="38">
        <v>9.2523710000000001</v>
      </c>
      <c r="L1280" s="39"/>
      <c r="M1280" s="37"/>
      <c r="N1280" s="40">
        <v>1.677</v>
      </c>
      <c r="O1280" s="38">
        <v>1.675125</v>
      </c>
      <c r="P1280" s="38">
        <v>8.6200000000000003E-4</v>
      </c>
      <c r="Q1280" s="38">
        <v>9.41E-4</v>
      </c>
      <c r="R1280" s="40">
        <v>1.677</v>
      </c>
      <c r="S1280" s="38">
        <v>1.675125</v>
      </c>
      <c r="T1280" s="38">
        <v>8.6200000000000003E-4</v>
      </c>
      <c r="U1280" s="38">
        <v>9.41E-4</v>
      </c>
      <c r="V1280" s="8">
        <f t="shared" si="20"/>
        <v>2022</v>
      </c>
    </row>
    <row r="1281" spans="1:22" s="41" customFormat="1" ht="20.399999999999999" hidden="1" x14ac:dyDescent="0.3">
      <c r="A1281" s="36">
        <v>44713</v>
      </c>
      <c r="B1281" s="37" t="s">
        <v>19</v>
      </c>
      <c r="C1281" s="37" t="s">
        <v>118</v>
      </c>
      <c r="D1281" s="37" t="s">
        <v>75</v>
      </c>
      <c r="E1281" s="37" t="s">
        <v>5</v>
      </c>
      <c r="F1281" s="37" t="s">
        <v>165</v>
      </c>
      <c r="G1281" s="37" t="s">
        <v>75</v>
      </c>
      <c r="H1281" s="37" t="s">
        <v>166</v>
      </c>
      <c r="I1281" s="37" t="s">
        <v>167</v>
      </c>
      <c r="J1281" s="37" t="s">
        <v>34</v>
      </c>
      <c r="K1281" s="38">
        <v>9.2523710000000001</v>
      </c>
      <c r="L1281" s="39"/>
      <c r="M1281" s="37"/>
      <c r="N1281" s="40">
        <v>1.677</v>
      </c>
      <c r="O1281" s="38">
        <v>1.675125</v>
      </c>
      <c r="P1281" s="38">
        <v>8.6200000000000003E-4</v>
      </c>
      <c r="Q1281" s="38">
        <v>9.41E-4</v>
      </c>
      <c r="R1281" s="40">
        <v>1.677</v>
      </c>
      <c r="S1281" s="38">
        <v>1.675125</v>
      </c>
      <c r="T1281" s="38">
        <v>8.6200000000000003E-4</v>
      </c>
      <c r="U1281" s="38">
        <v>9.41E-4</v>
      </c>
      <c r="V1281" s="8">
        <f t="shared" si="20"/>
        <v>2022</v>
      </c>
    </row>
    <row r="1282" spans="1:22" s="41" customFormat="1" ht="20.399999999999999" hidden="1" x14ac:dyDescent="0.3">
      <c r="A1282" s="36">
        <v>44743</v>
      </c>
      <c r="B1282" s="37" t="s">
        <v>19</v>
      </c>
      <c r="C1282" s="37" t="s">
        <v>118</v>
      </c>
      <c r="D1282" s="37" t="s">
        <v>75</v>
      </c>
      <c r="E1282" s="37" t="s">
        <v>5</v>
      </c>
      <c r="F1282" s="37" t="s">
        <v>165</v>
      </c>
      <c r="G1282" s="37" t="s">
        <v>75</v>
      </c>
      <c r="H1282" s="37" t="s">
        <v>166</v>
      </c>
      <c r="I1282" s="37" t="s">
        <v>167</v>
      </c>
      <c r="J1282" s="37" t="s">
        <v>34</v>
      </c>
      <c r="K1282" s="38">
        <v>9.2523710000000001</v>
      </c>
      <c r="L1282" s="39"/>
      <c r="M1282" s="37"/>
      <c r="N1282" s="40">
        <v>1.677</v>
      </c>
      <c r="O1282" s="38">
        <v>1.675125</v>
      </c>
      <c r="P1282" s="38">
        <v>8.6200000000000003E-4</v>
      </c>
      <c r="Q1282" s="38">
        <v>9.41E-4</v>
      </c>
      <c r="R1282" s="40">
        <v>1.677</v>
      </c>
      <c r="S1282" s="38">
        <v>1.675125</v>
      </c>
      <c r="T1282" s="38">
        <v>8.6200000000000003E-4</v>
      </c>
      <c r="U1282" s="38">
        <v>9.41E-4</v>
      </c>
      <c r="V1282" s="8">
        <f t="shared" si="20"/>
        <v>2022</v>
      </c>
    </row>
    <row r="1283" spans="1:22" s="41" customFormat="1" ht="20.399999999999999" hidden="1" x14ac:dyDescent="0.3">
      <c r="A1283" s="36">
        <v>44774</v>
      </c>
      <c r="B1283" s="37" t="s">
        <v>19</v>
      </c>
      <c r="C1283" s="37" t="s">
        <v>118</v>
      </c>
      <c r="D1283" s="37" t="s">
        <v>75</v>
      </c>
      <c r="E1283" s="37" t="s">
        <v>5</v>
      </c>
      <c r="F1283" s="37" t="s">
        <v>165</v>
      </c>
      <c r="G1283" s="37" t="s">
        <v>75</v>
      </c>
      <c r="H1283" s="37" t="s">
        <v>166</v>
      </c>
      <c r="I1283" s="37" t="s">
        <v>167</v>
      </c>
      <c r="J1283" s="37" t="s">
        <v>34</v>
      </c>
      <c r="K1283" s="38">
        <v>9.2523710000000001</v>
      </c>
      <c r="L1283" s="39"/>
      <c r="M1283" s="37"/>
      <c r="N1283" s="40">
        <v>1.677</v>
      </c>
      <c r="O1283" s="38">
        <v>1.675125</v>
      </c>
      <c r="P1283" s="38">
        <v>8.6200000000000003E-4</v>
      </c>
      <c r="Q1283" s="38">
        <v>9.41E-4</v>
      </c>
      <c r="R1283" s="40">
        <v>1.677</v>
      </c>
      <c r="S1283" s="38">
        <v>1.675125</v>
      </c>
      <c r="T1283" s="38">
        <v>8.6200000000000003E-4</v>
      </c>
      <c r="U1283" s="38">
        <v>9.41E-4</v>
      </c>
      <c r="V1283" s="8">
        <f t="shared" si="20"/>
        <v>2022</v>
      </c>
    </row>
    <row r="1284" spans="1:22" s="41" customFormat="1" ht="20.399999999999999" hidden="1" x14ac:dyDescent="0.3">
      <c r="A1284" s="36">
        <v>44805</v>
      </c>
      <c r="B1284" s="37" t="s">
        <v>19</v>
      </c>
      <c r="C1284" s="37" t="s">
        <v>118</v>
      </c>
      <c r="D1284" s="37" t="s">
        <v>75</v>
      </c>
      <c r="E1284" s="37" t="s">
        <v>5</v>
      </c>
      <c r="F1284" s="37" t="s">
        <v>165</v>
      </c>
      <c r="G1284" s="37" t="s">
        <v>75</v>
      </c>
      <c r="H1284" s="37" t="s">
        <v>166</v>
      </c>
      <c r="I1284" s="37" t="s">
        <v>167</v>
      </c>
      <c r="J1284" s="37" t="s">
        <v>34</v>
      </c>
      <c r="K1284" s="38">
        <v>9.2523710000000001</v>
      </c>
      <c r="L1284" s="39"/>
      <c r="M1284" s="37"/>
      <c r="N1284" s="40">
        <v>1.677</v>
      </c>
      <c r="O1284" s="38">
        <v>1.675125</v>
      </c>
      <c r="P1284" s="38">
        <v>8.6200000000000003E-4</v>
      </c>
      <c r="Q1284" s="38">
        <v>9.41E-4</v>
      </c>
      <c r="R1284" s="40">
        <v>1.677</v>
      </c>
      <c r="S1284" s="38">
        <v>1.675125</v>
      </c>
      <c r="T1284" s="38">
        <v>8.6200000000000003E-4</v>
      </c>
      <c r="U1284" s="38">
        <v>9.41E-4</v>
      </c>
      <c r="V1284" s="8">
        <f t="shared" si="20"/>
        <v>2022</v>
      </c>
    </row>
    <row r="1285" spans="1:22" s="41" customFormat="1" ht="20.399999999999999" hidden="1" x14ac:dyDescent="0.3">
      <c r="A1285" s="36">
        <v>44835</v>
      </c>
      <c r="B1285" s="37" t="s">
        <v>19</v>
      </c>
      <c r="C1285" s="37" t="s">
        <v>118</v>
      </c>
      <c r="D1285" s="37" t="s">
        <v>75</v>
      </c>
      <c r="E1285" s="37" t="s">
        <v>5</v>
      </c>
      <c r="F1285" s="37" t="s">
        <v>165</v>
      </c>
      <c r="G1285" s="37" t="s">
        <v>75</v>
      </c>
      <c r="H1285" s="37" t="s">
        <v>166</v>
      </c>
      <c r="I1285" s="37" t="s">
        <v>167</v>
      </c>
      <c r="J1285" s="37" t="s">
        <v>34</v>
      </c>
      <c r="K1285" s="38">
        <v>9.2523710000000001</v>
      </c>
      <c r="L1285" s="39"/>
      <c r="M1285" s="37"/>
      <c r="N1285" s="40">
        <v>1.677</v>
      </c>
      <c r="O1285" s="38">
        <v>1.675125</v>
      </c>
      <c r="P1285" s="38">
        <v>8.6200000000000003E-4</v>
      </c>
      <c r="Q1285" s="38">
        <v>9.41E-4</v>
      </c>
      <c r="R1285" s="40">
        <v>1.677</v>
      </c>
      <c r="S1285" s="38">
        <v>1.675125</v>
      </c>
      <c r="T1285" s="38">
        <v>8.6200000000000003E-4</v>
      </c>
      <c r="U1285" s="38">
        <v>9.41E-4</v>
      </c>
      <c r="V1285" s="8">
        <f t="shared" si="20"/>
        <v>2022</v>
      </c>
    </row>
    <row r="1286" spans="1:22" s="41" customFormat="1" ht="20.399999999999999" hidden="1" x14ac:dyDescent="0.3">
      <c r="A1286" s="36">
        <v>44866</v>
      </c>
      <c r="B1286" s="37" t="s">
        <v>19</v>
      </c>
      <c r="C1286" s="37" t="s">
        <v>118</v>
      </c>
      <c r="D1286" s="37" t="s">
        <v>75</v>
      </c>
      <c r="E1286" s="37" t="s">
        <v>5</v>
      </c>
      <c r="F1286" s="37" t="s">
        <v>165</v>
      </c>
      <c r="G1286" s="37" t="s">
        <v>75</v>
      </c>
      <c r="H1286" s="37" t="s">
        <v>166</v>
      </c>
      <c r="I1286" s="37" t="s">
        <v>167</v>
      </c>
      <c r="J1286" s="37" t="s">
        <v>34</v>
      </c>
      <c r="K1286" s="38">
        <v>9.2523710000000001</v>
      </c>
      <c r="L1286" s="39"/>
      <c r="M1286" s="37"/>
      <c r="N1286" s="40">
        <v>1.677</v>
      </c>
      <c r="O1286" s="38">
        <v>1.675125</v>
      </c>
      <c r="P1286" s="38">
        <v>8.6200000000000003E-4</v>
      </c>
      <c r="Q1286" s="38">
        <v>9.41E-4</v>
      </c>
      <c r="R1286" s="40">
        <v>1.677</v>
      </c>
      <c r="S1286" s="38">
        <v>1.675125</v>
      </c>
      <c r="T1286" s="38">
        <v>8.6200000000000003E-4</v>
      </c>
      <c r="U1286" s="38">
        <v>9.41E-4</v>
      </c>
      <c r="V1286" s="8">
        <f t="shared" si="20"/>
        <v>2022</v>
      </c>
    </row>
    <row r="1287" spans="1:22" s="41" customFormat="1" ht="20.399999999999999" hidden="1" x14ac:dyDescent="0.3">
      <c r="A1287" s="36">
        <v>44896</v>
      </c>
      <c r="B1287" s="37" t="s">
        <v>19</v>
      </c>
      <c r="C1287" s="37" t="s">
        <v>118</v>
      </c>
      <c r="D1287" s="37" t="s">
        <v>75</v>
      </c>
      <c r="E1287" s="37" t="s">
        <v>5</v>
      </c>
      <c r="F1287" s="37" t="s">
        <v>165</v>
      </c>
      <c r="G1287" s="37" t="s">
        <v>75</v>
      </c>
      <c r="H1287" s="37" t="s">
        <v>166</v>
      </c>
      <c r="I1287" s="37" t="s">
        <v>167</v>
      </c>
      <c r="J1287" s="37" t="s">
        <v>34</v>
      </c>
      <c r="K1287" s="38">
        <v>9.2523710000000001</v>
      </c>
      <c r="L1287" s="39"/>
      <c r="M1287" s="37"/>
      <c r="N1287" s="40">
        <v>1.677</v>
      </c>
      <c r="O1287" s="38">
        <v>1.675125</v>
      </c>
      <c r="P1287" s="38">
        <v>8.6200000000000003E-4</v>
      </c>
      <c r="Q1287" s="38">
        <v>9.41E-4</v>
      </c>
      <c r="R1287" s="40">
        <v>1.677</v>
      </c>
      <c r="S1287" s="38">
        <v>1.675125</v>
      </c>
      <c r="T1287" s="38">
        <v>8.6200000000000003E-4</v>
      </c>
      <c r="U1287" s="38">
        <v>9.41E-4</v>
      </c>
      <c r="V1287" s="8">
        <f t="shared" si="20"/>
        <v>2022</v>
      </c>
    </row>
    <row r="1288" spans="1:22" s="41" customFormat="1" ht="20.399999999999999" hidden="1" x14ac:dyDescent="0.3">
      <c r="A1288" s="36">
        <v>44562</v>
      </c>
      <c r="B1288" s="37" t="s">
        <v>23</v>
      </c>
      <c r="C1288" s="37" t="s">
        <v>118</v>
      </c>
      <c r="D1288" s="37" t="s">
        <v>75</v>
      </c>
      <c r="E1288" s="37" t="s">
        <v>6</v>
      </c>
      <c r="F1288" s="37" t="s">
        <v>165</v>
      </c>
      <c r="G1288" s="37" t="s">
        <v>75</v>
      </c>
      <c r="H1288" s="37" t="s">
        <v>166</v>
      </c>
      <c r="I1288" s="37" t="s">
        <v>167</v>
      </c>
      <c r="J1288" s="37" t="s">
        <v>34</v>
      </c>
      <c r="K1288" s="38">
        <v>2.4507500000000002</v>
      </c>
      <c r="L1288" s="39"/>
      <c r="M1288" s="37"/>
      <c r="N1288" s="40">
        <v>1.5009999999999999</v>
      </c>
      <c r="O1288" s="38">
        <v>1.493487</v>
      </c>
      <c r="P1288" s="38">
        <v>6.7369999999999999E-3</v>
      </c>
      <c r="Q1288" s="38">
        <v>1.0939999999999999E-3</v>
      </c>
      <c r="R1288" s="40">
        <v>1.5009999999999999</v>
      </c>
      <c r="S1288" s="38">
        <v>1.493487</v>
      </c>
      <c r="T1288" s="38">
        <v>6.7369999999999999E-3</v>
      </c>
      <c r="U1288" s="38">
        <v>1.0939999999999999E-3</v>
      </c>
      <c r="V1288" s="8">
        <f t="shared" si="20"/>
        <v>2022</v>
      </c>
    </row>
    <row r="1289" spans="1:22" s="41" customFormat="1" ht="20.399999999999999" hidden="1" x14ac:dyDescent="0.3">
      <c r="A1289" s="36">
        <v>44593</v>
      </c>
      <c r="B1289" s="37" t="s">
        <v>23</v>
      </c>
      <c r="C1289" s="37" t="s">
        <v>118</v>
      </c>
      <c r="D1289" s="37" t="s">
        <v>75</v>
      </c>
      <c r="E1289" s="37" t="s">
        <v>6</v>
      </c>
      <c r="F1289" s="37" t="s">
        <v>165</v>
      </c>
      <c r="G1289" s="37" t="s">
        <v>75</v>
      </c>
      <c r="H1289" s="37" t="s">
        <v>166</v>
      </c>
      <c r="I1289" s="37" t="s">
        <v>167</v>
      </c>
      <c r="J1289" s="37" t="s">
        <v>34</v>
      </c>
      <c r="K1289" s="38">
        <v>2.4507500000000002</v>
      </c>
      <c r="L1289" s="39"/>
      <c r="M1289" s="37"/>
      <c r="N1289" s="40">
        <v>1.5009999999999999</v>
      </c>
      <c r="O1289" s="38">
        <v>1.493487</v>
      </c>
      <c r="P1289" s="38">
        <v>6.7369999999999999E-3</v>
      </c>
      <c r="Q1289" s="38">
        <v>1.0939999999999999E-3</v>
      </c>
      <c r="R1289" s="40">
        <v>1.5009999999999999</v>
      </c>
      <c r="S1289" s="38">
        <v>1.493487</v>
      </c>
      <c r="T1289" s="38">
        <v>6.7369999999999999E-3</v>
      </c>
      <c r="U1289" s="38">
        <v>1.0939999999999999E-3</v>
      </c>
      <c r="V1289" s="8">
        <f t="shared" si="20"/>
        <v>2022</v>
      </c>
    </row>
    <row r="1290" spans="1:22" s="41" customFormat="1" ht="20.399999999999999" hidden="1" x14ac:dyDescent="0.3">
      <c r="A1290" s="36">
        <v>44621</v>
      </c>
      <c r="B1290" s="37" t="s">
        <v>23</v>
      </c>
      <c r="C1290" s="37" t="s">
        <v>118</v>
      </c>
      <c r="D1290" s="37" t="s">
        <v>75</v>
      </c>
      <c r="E1290" s="37" t="s">
        <v>6</v>
      </c>
      <c r="F1290" s="37" t="s">
        <v>165</v>
      </c>
      <c r="G1290" s="37" t="s">
        <v>75</v>
      </c>
      <c r="H1290" s="37" t="s">
        <v>166</v>
      </c>
      <c r="I1290" s="37" t="s">
        <v>167</v>
      </c>
      <c r="J1290" s="37" t="s">
        <v>34</v>
      </c>
      <c r="K1290" s="38">
        <v>2.4507500000000002</v>
      </c>
      <c r="L1290" s="39"/>
      <c r="M1290" s="37"/>
      <c r="N1290" s="40">
        <v>1.5009999999999999</v>
      </c>
      <c r="O1290" s="38">
        <v>1.493487</v>
      </c>
      <c r="P1290" s="38">
        <v>6.7369999999999999E-3</v>
      </c>
      <c r="Q1290" s="38">
        <v>1.0939999999999999E-3</v>
      </c>
      <c r="R1290" s="40">
        <v>1.5009999999999999</v>
      </c>
      <c r="S1290" s="38">
        <v>1.493487</v>
      </c>
      <c r="T1290" s="38">
        <v>6.7369999999999999E-3</v>
      </c>
      <c r="U1290" s="38">
        <v>1.0939999999999999E-3</v>
      </c>
      <c r="V1290" s="8">
        <f t="shared" si="20"/>
        <v>2022</v>
      </c>
    </row>
    <row r="1291" spans="1:22" s="41" customFormat="1" ht="20.399999999999999" hidden="1" x14ac:dyDescent="0.3">
      <c r="A1291" s="36">
        <v>44652</v>
      </c>
      <c r="B1291" s="37" t="s">
        <v>23</v>
      </c>
      <c r="C1291" s="37" t="s">
        <v>118</v>
      </c>
      <c r="D1291" s="37" t="s">
        <v>75</v>
      </c>
      <c r="E1291" s="37" t="s">
        <v>6</v>
      </c>
      <c r="F1291" s="37" t="s">
        <v>165</v>
      </c>
      <c r="G1291" s="37" t="s">
        <v>75</v>
      </c>
      <c r="H1291" s="37" t="s">
        <v>166</v>
      </c>
      <c r="I1291" s="37" t="s">
        <v>167</v>
      </c>
      <c r="J1291" s="37" t="s">
        <v>34</v>
      </c>
      <c r="K1291" s="38">
        <v>2.4507500000000002</v>
      </c>
      <c r="L1291" s="39"/>
      <c r="M1291" s="37"/>
      <c r="N1291" s="40">
        <v>1.5009999999999999</v>
      </c>
      <c r="O1291" s="38">
        <v>1.493487</v>
      </c>
      <c r="P1291" s="38">
        <v>6.7369999999999999E-3</v>
      </c>
      <c r="Q1291" s="38">
        <v>1.0939999999999999E-3</v>
      </c>
      <c r="R1291" s="40">
        <v>1.5009999999999999</v>
      </c>
      <c r="S1291" s="38">
        <v>1.493487</v>
      </c>
      <c r="T1291" s="38">
        <v>6.7369999999999999E-3</v>
      </c>
      <c r="U1291" s="38">
        <v>1.0939999999999999E-3</v>
      </c>
      <c r="V1291" s="8">
        <f t="shared" si="20"/>
        <v>2022</v>
      </c>
    </row>
    <row r="1292" spans="1:22" s="41" customFormat="1" ht="20.399999999999999" hidden="1" x14ac:dyDescent="0.3">
      <c r="A1292" s="36">
        <v>44682</v>
      </c>
      <c r="B1292" s="37" t="s">
        <v>23</v>
      </c>
      <c r="C1292" s="37" t="s">
        <v>118</v>
      </c>
      <c r="D1292" s="37" t="s">
        <v>75</v>
      </c>
      <c r="E1292" s="37" t="s">
        <v>6</v>
      </c>
      <c r="F1292" s="37" t="s">
        <v>165</v>
      </c>
      <c r="G1292" s="37" t="s">
        <v>75</v>
      </c>
      <c r="H1292" s="37" t="s">
        <v>166</v>
      </c>
      <c r="I1292" s="37" t="s">
        <v>167</v>
      </c>
      <c r="J1292" s="37" t="s">
        <v>34</v>
      </c>
      <c r="K1292" s="38">
        <v>2.4507500000000002</v>
      </c>
      <c r="L1292" s="39"/>
      <c r="M1292" s="37"/>
      <c r="N1292" s="40">
        <v>1.5009999999999999</v>
      </c>
      <c r="O1292" s="38">
        <v>1.493487</v>
      </c>
      <c r="P1292" s="38">
        <v>6.7369999999999999E-3</v>
      </c>
      <c r="Q1292" s="38">
        <v>1.0939999999999999E-3</v>
      </c>
      <c r="R1292" s="40">
        <v>1.5009999999999999</v>
      </c>
      <c r="S1292" s="38">
        <v>1.493487</v>
      </c>
      <c r="T1292" s="38">
        <v>6.7369999999999999E-3</v>
      </c>
      <c r="U1292" s="38">
        <v>1.0939999999999999E-3</v>
      </c>
      <c r="V1292" s="8">
        <f t="shared" si="20"/>
        <v>2022</v>
      </c>
    </row>
    <row r="1293" spans="1:22" s="41" customFormat="1" ht="20.399999999999999" hidden="1" x14ac:dyDescent="0.3">
      <c r="A1293" s="36">
        <v>44713</v>
      </c>
      <c r="B1293" s="37" t="s">
        <v>23</v>
      </c>
      <c r="C1293" s="37" t="s">
        <v>118</v>
      </c>
      <c r="D1293" s="37" t="s">
        <v>75</v>
      </c>
      <c r="E1293" s="37" t="s">
        <v>6</v>
      </c>
      <c r="F1293" s="37" t="s">
        <v>165</v>
      </c>
      <c r="G1293" s="37" t="s">
        <v>75</v>
      </c>
      <c r="H1293" s="37" t="s">
        <v>166</v>
      </c>
      <c r="I1293" s="37" t="s">
        <v>167</v>
      </c>
      <c r="J1293" s="37" t="s">
        <v>34</v>
      </c>
      <c r="K1293" s="38">
        <v>2.4507500000000002</v>
      </c>
      <c r="L1293" s="39"/>
      <c r="M1293" s="37"/>
      <c r="N1293" s="40">
        <v>1.5009999999999999</v>
      </c>
      <c r="O1293" s="38">
        <v>1.493487</v>
      </c>
      <c r="P1293" s="38">
        <v>6.7369999999999999E-3</v>
      </c>
      <c r="Q1293" s="38">
        <v>1.0939999999999999E-3</v>
      </c>
      <c r="R1293" s="40">
        <v>1.5009999999999999</v>
      </c>
      <c r="S1293" s="38">
        <v>1.493487</v>
      </c>
      <c r="T1293" s="38">
        <v>6.7369999999999999E-3</v>
      </c>
      <c r="U1293" s="38">
        <v>1.0939999999999999E-3</v>
      </c>
      <c r="V1293" s="8">
        <f t="shared" si="20"/>
        <v>2022</v>
      </c>
    </row>
    <row r="1294" spans="1:22" s="41" customFormat="1" ht="20.399999999999999" hidden="1" x14ac:dyDescent="0.3">
      <c r="A1294" s="36">
        <v>44743</v>
      </c>
      <c r="B1294" s="37" t="s">
        <v>23</v>
      </c>
      <c r="C1294" s="37" t="s">
        <v>118</v>
      </c>
      <c r="D1294" s="37" t="s">
        <v>75</v>
      </c>
      <c r="E1294" s="37" t="s">
        <v>6</v>
      </c>
      <c r="F1294" s="37" t="s">
        <v>165</v>
      </c>
      <c r="G1294" s="37" t="s">
        <v>75</v>
      </c>
      <c r="H1294" s="37" t="s">
        <v>166</v>
      </c>
      <c r="I1294" s="37" t="s">
        <v>167</v>
      </c>
      <c r="J1294" s="37" t="s">
        <v>34</v>
      </c>
      <c r="K1294" s="38">
        <v>2.4507500000000002</v>
      </c>
      <c r="L1294" s="39"/>
      <c r="M1294" s="37"/>
      <c r="N1294" s="40">
        <v>1.5009999999999999</v>
      </c>
      <c r="O1294" s="38">
        <v>1.493487</v>
      </c>
      <c r="P1294" s="38">
        <v>6.7369999999999999E-3</v>
      </c>
      <c r="Q1294" s="38">
        <v>1.0939999999999999E-3</v>
      </c>
      <c r="R1294" s="40">
        <v>1.5009999999999999</v>
      </c>
      <c r="S1294" s="38">
        <v>1.493487</v>
      </c>
      <c r="T1294" s="38">
        <v>6.7369999999999999E-3</v>
      </c>
      <c r="U1294" s="38">
        <v>1.0939999999999999E-3</v>
      </c>
      <c r="V1294" s="8">
        <f t="shared" si="20"/>
        <v>2022</v>
      </c>
    </row>
    <row r="1295" spans="1:22" s="41" customFormat="1" ht="20.399999999999999" hidden="1" x14ac:dyDescent="0.3">
      <c r="A1295" s="36">
        <v>44774</v>
      </c>
      <c r="B1295" s="37" t="s">
        <v>23</v>
      </c>
      <c r="C1295" s="37" t="s">
        <v>118</v>
      </c>
      <c r="D1295" s="37" t="s">
        <v>75</v>
      </c>
      <c r="E1295" s="37" t="s">
        <v>6</v>
      </c>
      <c r="F1295" s="37" t="s">
        <v>165</v>
      </c>
      <c r="G1295" s="37" t="s">
        <v>75</v>
      </c>
      <c r="H1295" s="37" t="s">
        <v>166</v>
      </c>
      <c r="I1295" s="37" t="s">
        <v>167</v>
      </c>
      <c r="J1295" s="37" t="s">
        <v>34</v>
      </c>
      <c r="K1295" s="38">
        <v>2.4507500000000002</v>
      </c>
      <c r="L1295" s="39"/>
      <c r="M1295" s="37"/>
      <c r="N1295" s="40">
        <v>1.5009999999999999</v>
      </c>
      <c r="O1295" s="38">
        <v>1.493487</v>
      </c>
      <c r="P1295" s="38">
        <v>6.7369999999999999E-3</v>
      </c>
      <c r="Q1295" s="38">
        <v>1.0939999999999999E-3</v>
      </c>
      <c r="R1295" s="40">
        <v>1.5009999999999999</v>
      </c>
      <c r="S1295" s="38">
        <v>1.493487</v>
      </c>
      <c r="T1295" s="38">
        <v>6.7369999999999999E-3</v>
      </c>
      <c r="U1295" s="38">
        <v>1.0939999999999999E-3</v>
      </c>
      <c r="V1295" s="8">
        <f t="shared" si="20"/>
        <v>2022</v>
      </c>
    </row>
    <row r="1296" spans="1:22" s="41" customFormat="1" ht="20.399999999999999" hidden="1" x14ac:dyDescent="0.3">
      <c r="A1296" s="36">
        <v>44805</v>
      </c>
      <c r="B1296" s="37" t="s">
        <v>23</v>
      </c>
      <c r="C1296" s="37" t="s">
        <v>118</v>
      </c>
      <c r="D1296" s="37" t="s">
        <v>75</v>
      </c>
      <c r="E1296" s="37" t="s">
        <v>6</v>
      </c>
      <c r="F1296" s="37" t="s">
        <v>165</v>
      </c>
      <c r="G1296" s="37" t="s">
        <v>75</v>
      </c>
      <c r="H1296" s="37" t="s">
        <v>166</v>
      </c>
      <c r="I1296" s="37" t="s">
        <v>167</v>
      </c>
      <c r="J1296" s="37" t="s">
        <v>34</v>
      </c>
      <c r="K1296" s="38">
        <v>2.4507500000000002</v>
      </c>
      <c r="L1296" s="39"/>
      <c r="M1296" s="37"/>
      <c r="N1296" s="40">
        <v>1.5009999999999999</v>
      </c>
      <c r="O1296" s="38">
        <v>1.493487</v>
      </c>
      <c r="P1296" s="38">
        <v>6.7369999999999999E-3</v>
      </c>
      <c r="Q1296" s="38">
        <v>1.0939999999999999E-3</v>
      </c>
      <c r="R1296" s="40">
        <v>1.5009999999999999</v>
      </c>
      <c r="S1296" s="38">
        <v>1.493487</v>
      </c>
      <c r="T1296" s="38">
        <v>6.7369999999999999E-3</v>
      </c>
      <c r="U1296" s="38">
        <v>1.0939999999999999E-3</v>
      </c>
      <c r="V1296" s="8">
        <f t="shared" si="20"/>
        <v>2022</v>
      </c>
    </row>
    <row r="1297" spans="1:22" s="41" customFormat="1" ht="20.399999999999999" hidden="1" x14ac:dyDescent="0.3">
      <c r="A1297" s="36">
        <v>44835</v>
      </c>
      <c r="B1297" s="37" t="s">
        <v>23</v>
      </c>
      <c r="C1297" s="37" t="s">
        <v>118</v>
      </c>
      <c r="D1297" s="37" t="s">
        <v>75</v>
      </c>
      <c r="E1297" s="37" t="s">
        <v>6</v>
      </c>
      <c r="F1297" s="37" t="s">
        <v>165</v>
      </c>
      <c r="G1297" s="37" t="s">
        <v>75</v>
      </c>
      <c r="H1297" s="37" t="s">
        <v>166</v>
      </c>
      <c r="I1297" s="37" t="s">
        <v>167</v>
      </c>
      <c r="J1297" s="37" t="s">
        <v>34</v>
      </c>
      <c r="K1297" s="38">
        <v>2.4507500000000002</v>
      </c>
      <c r="L1297" s="39"/>
      <c r="M1297" s="37"/>
      <c r="N1297" s="40">
        <v>1.5009999999999999</v>
      </c>
      <c r="O1297" s="38">
        <v>1.493487</v>
      </c>
      <c r="P1297" s="38">
        <v>6.7369999999999999E-3</v>
      </c>
      <c r="Q1297" s="38">
        <v>1.0939999999999999E-3</v>
      </c>
      <c r="R1297" s="40">
        <v>1.5009999999999999</v>
      </c>
      <c r="S1297" s="38">
        <v>1.493487</v>
      </c>
      <c r="T1297" s="38">
        <v>6.7369999999999999E-3</v>
      </c>
      <c r="U1297" s="38">
        <v>1.0939999999999999E-3</v>
      </c>
      <c r="V1297" s="8">
        <f t="shared" si="20"/>
        <v>2022</v>
      </c>
    </row>
    <row r="1298" spans="1:22" s="41" customFormat="1" ht="20.399999999999999" hidden="1" x14ac:dyDescent="0.3">
      <c r="A1298" s="36">
        <v>44866</v>
      </c>
      <c r="B1298" s="37" t="s">
        <v>23</v>
      </c>
      <c r="C1298" s="37" t="s">
        <v>118</v>
      </c>
      <c r="D1298" s="37" t="s">
        <v>75</v>
      </c>
      <c r="E1298" s="37" t="s">
        <v>6</v>
      </c>
      <c r="F1298" s="37" t="s">
        <v>165</v>
      </c>
      <c r="G1298" s="37" t="s">
        <v>75</v>
      </c>
      <c r="H1298" s="37" t="s">
        <v>166</v>
      </c>
      <c r="I1298" s="37" t="s">
        <v>167</v>
      </c>
      <c r="J1298" s="37" t="s">
        <v>34</v>
      </c>
      <c r="K1298" s="38">
        <v>2.4507500000000002</v>
      </c>
      <c r="L1298" s="39"/>
      <c r="M1298" s="37"/>
      <c r="N1298" s="40">
        <v>1.5009999999999999</v>
      </c>
      <c r="O1298" s="38">
        <v>1.493487</v>
      </c>
      <c r="P1298" s="38">
        <v>6.7369999999999999E-3</v>
      </c>
      <c r="Q1298" s="38">
        <v>1.0939999999999999E-3</v>
      </c>
      <c r="R1298" s="40">
        <v>1.5009999999999999</v>
      </c>
      <c r="S1298" s="38">
        <v>1.493487</v>
      </c>
      <c r="T1298" s="38">
        <v>6.7369999999999999E-3</v>
      </c>
      <c r="U1298" s="38">
        <v>1.0939999999999999E-3</v>
      </c>
      <c r="V1298" s="8">
        <f t="shared" si="20"/>
        <v>2022</v>
      </c>
    </row>
    <row r="1299" spans="1:22" s="41" customFormat="1" ht="20.399999999999999" hidden="1" x14ac:dyDescent="0.3">
      <c r="A1299" s="36">
        <v>44896</v>
      </c>
      <c r="B1299" s="37" t="s">
        <v>23</v>
      </c>
      <c r="C1299" s="37" t="s">
        <v>118</v>
      </c>
      <c r="D1299" s="37" t="s">
        <v>75</v>
      </c>
      <c r="E1299" s="37" t="s">
        <v>6</v>
      </c>
      <c r="F1299" s="37" t="s">
        <v>165</v>
      </c>
      <c r="G1299" s="37" t="s">
        <v>75</v>
      </c>
      <c r="H1299" s="37" t="s">
        <v>166</v>
      </c>
      <c r="I1299" s="37" t="s">
        <v>167</v>
      </c>
      <c r="J1299" s="37" t="s">
        <v>34</v>
      </c>
      <c r="K1299" s="38">
        <v>2.4507500000000002</v>
      </c>
      <c r="L1299" s="39"/>
      <c r="M1299" s="37"/>
      <c r="N1299" s="40">
        <v>1.5009999999999999</v>
      </c>
      <c r="O1299" s="38">
        <v>1.493487</v>
      </c>
      <c r="P1299" s="38">
        <v>6.7369999999999999E-3</v>
      </c>
      <c r="Q1299" s="38">
        <v>1.0939999999999999E-3</v>
      </c>
      <c r="R1299" s="40">
        <v>1.5009999999999999</v>
      </c>
      <c r="S1299" s="38">
        <v>1.493487</v>
      </c>
      <c r="T1299" s="38">
        <v>6.7369999999999999E-3</v>
      </c>
      <c r="U1299" s="38">
        <v>1.0939999999999999E-3</v>
      </c>
      <c r="V1299" s="8">
        <f t="shared" si="20"/>
        <v>2022</v>
      </c>
    </row>
    <row r="1300" spans="1:22" s="41" customFormat="1" ht="20.399999999999999" hidden="1" x14ac:dyDescent="0.3">
      <c r="A1300" s="36">
        <v>44927</v>
      </c>
      <c r="B1300" s="37" t="s">
        <v>23</v>
      </c>
      <c r="C1300" s="37" t="s">
        <v>118</v>
      </c>
      <c r="D1300" s="37" t="s">
        <v>75</v>
      </c>
      <c r="E1300" s="37" t="s">
        <v>6</v>
      </c>
      <c r="F1300" s="37" t="s">
        <v>165</v>
      </c>
      <c r="G1300" s="37" t="s">
        <v>75</v>
      </c>
      <c r="H1300" s="37" t="s">
        <v>166</v>
      </c>
      <c r="I1300" s="37" t="s">
        <v>167</v>
      </c>
      <c r="J1300" s="37" t="s">
        <v>34</v>
      </c>
      <c r="K1300" s="38">
        <v>1.635</v>
      </c>
      <c r="L1300" s="42">
        <v>232.75917100000001</v>
      </c>
      <c r="M1300" s="37"/>
      <c r="N1300" s="40">
        <v>1.002</v>
      </c>
      <c r="O1300" s="38">
        <v>0.99636899999999995</v>
      </c>
      <c r="P1300" s="38">
        <v>4.4949999999999999E-3</v>
      </c>
      <c r="Q1300" s="38">
        <v>7.2999999999999996E-4</v>
      </c>
      <c r="R1300" s="40">
        <v>1.002</v>
      </c>
      <c r="S1300" s="38">
        <v>0.99636899999999995</v>
      </c>
      <c r="T1300" s="38">
        <v>4.4949999999999999E-3</v>
      </c>
      <c r="U1300" s="38">
        <v>7.2999999999999996E-4</v>
      </c>
      <c r="V1300" s="8">
        <f t="shared" si="20"/>
        <v>2023</v>
      </c>
    </row>
    <row r="1301" spans="1:22" s="41" customFormat="1" ht="20.399999999999999" hidden="1" x14ac:dyDescent="0.3">
      <c r="A1301" s="36">
        <v>44958</v>
      </c>
      <c r="B1301" s="37" t="s">
        <v>23</v>
      </c>
      <c r="C1301" s="37" t="s">
        <v>118</v>
      </c>
      <c r="D1301" s="37" t="s">
        <v>75</v>
      </c>
      <c r="E1301" s="37" t="s">
        <v>6</v>
      </c>
      <c r="F1301" s="37" t="s">
        <v>165</v>
      </c>
      <c r="G1301" s="37" t="s">
        <v>75</v>
      </c>
      <c r="H1301" s="37" t="s">
        <v>166</v>
      </c>
      <c r="I1301" s="37" t="s">
        <v>167</v>
      </c>
      <c r="J1301" s="37" t="s">
        <v>34</v>
      </c>
      <c r="K1301" s="38">
        <v>2.2170000000000001</v>
      </c>
      <c r="L1301" s="42">
        <v>295.36958099999998</v>
      </c>
      <c r="M1301" s="37"/>
      <c r="N1301" s="40">
        <v>1.3580000000000001</v>
      </c>
      <c r="O1301" s="38">
        <v>1.35104</v>
      </c>
      <c r="P1301" s="38">
        <v>6.0949999999999997E-3</v>
      </c>
      <c r="Q1301" s="38">
        <v>9.8999999999999999E-4</v>
      </c>
      <c r="R1301" s="40">
        <v>1.3580000000000001</v>
      </c>
      <c r="S1301" s="38">
        <v>1.35104</v>
      </c>
      <c r="T1301" s="38">
        <v>6.0949999999999997E-3</v>
      </c>
      <c r="U1301" s="38">
        <v>9.8999999999999999E-4</v>
      </c>
      <c r="V1301" s="8">
        <f t="shared" si="20"/>
        <v>2023</v>
      </c>
    </row>
    <row r="1302" spans="1:22" s="41" customFormat="1" ht="20.399999999999999" hidden="1" x14ac:dyDescent="0.3">
      <c r="A1302" s="36">
        <v>44986</v>
      </c>
      <c r="B1302" s="37" t="s">
        <v>23</v>
      </c>
      <c r="C1302" s="37" t="s">
        <v>118</v>
      </c>
      <c r="D1302" s="37" t="s">
        <v>75</v>
      </c>
      <c r="E1302" s="37" t="s">
        <v>6</v>
      </c>
      <c r="F1302" s="37" t="s">
        <v>165</v>
      </c>
      <c r="G1302" s="37" t="s">
        <v>75</v>
      </c>
      <c r="H1302" s="37" t="s">
        <v>166</v>
      </c>
      <c r="I1302" s="37" t="s">
        <v>167</v>
      </c>
      <c r="J1302" s="37" t="s">
        <v>34</v>
      </c>
      <c r="K1302" s="38">
        <v>1.327</v>
      </c>
      <c r="L1302" s="42">
        <v>169.52651700000001</v>
      </c>
      <c r="M1302" s="37"/>
      <c r="N1302" s="40">
        <v>0.81299999999999994</v>
      </c>
      <c r="O1302" s="38">
        <v>0.808674</v>
      </c>
      <c r="P1302" s="38">
        <v>3.6480000000000002E-3</v>
      </c>
      <c r="Q1302" s="38">
        <v>5.9199999999999997E-4</v>
      </c>
      <c r="R1302" s="40">
        <v>0.81299999999999994</v>
      </c>
      <c r="S1302" s="38">
        <v>0.808674</v>
      </c>
      <c r="T1302" s="38">
        <v>3.6480000000000002E-3</v>
      </c>
      <c r="U1302" s="38">
        <v>5.9199999999999997E-4</v>
      </c>
      <c r="V1302" s="8">
        <f t="shared" si="20"/>
        <v>2023</v>
      </c>
    </row>
    <row r="1303" spans="1:22" s="41" customFormat="1" ht="20.399999999999999" hidden="1" x14ac:dyDescent="0.3">
      <c r="A1303" s="36">
        <v>45017</v>
      </c>
      <c r="B1303" s="37" t="s">
        <v>23</v>
      </c>
      <c r="C1303" s="37" t="s">
        <v>118</v>
      </c>
      <c r="D1303" s="37" t="s">
        <v>75</v>
      </c>
      <c r="E1303" s="37" t="s">
        <v>6</v>
      </c>
      <c r="F1303" s="37" t="s">
        <v>165</v>
      </c>
      <c r="G1303" s="37" t="s">
        <v>75</v>
      </c>
      <c r="H1303" s="37" t="s">
        <v>166</v>
      </c>
      <c r="I1303" s="37" t="s">
        <v>167</v>
      </c>
      <c r="J1303" s="37" t="s">
        <v>34</v>
      </c>
      <c r="K1303" s="38">
        <v>1.222</v>
      </c>
      <c r="L1303" s="42">
        <v>156.82397700000001</v>
      </c>
      <c r="M1303" s="37"/>
      <c r="N1303" s="40">
        <v>0.749</v>
      </c>
      <c r="O1303" s="38">
        <v>0.74468699999999999</v>
      </c>
      <c r="P1303" s="38">
        <v>3.359E-3</v>
      </c>
      <c r="Q1303" s="38">
        <v>5.4600000000000004E-4</v>
      </c>
      <c r="R1303" s="40">
        <v>0.749</v>
      </c>
      <c r="S1303" s="38">
        <v>0.74468699999999999</v>
      </c>
      <c r="T1303" s="38">
        <v>3.359E-3</v>
      </c>
      <c r="U1303" s="38">
        <v>5.4600000000000004E-4</v>
      </c>
      <c r="V1303" s="8">
        <f t="shared" si="20"/>
        <v>2023</v>
      </c>
    </row>
    <row r="1304" spans="1:22" s="41" customFormat="1" ht="20.399999999999999" hidden="1" x14ac:dyDescent="0.3">
      <c r="A1304" s="36">
        <v>45047</v>
      </c>
      <c r="B1304" s="37" t="s">
        <v>23</v>
      </c>
      <c r="C1304" s="37" t="s">
        <v>118</v>
      </c>
      <c r="D1304" s="37" t="s">
        <v>75</v>
      </c>
      <c r="E1304" s="37" t="s">
        <v>6</v>
      </c>
      <c r="F1304" s="37" t="s">
        <v>165</v>
      </c>
      <c r="G1304" s="37" t="s">
        <v>75</v>
      </c>
      <c r="H1304" s="37" t="s">
        <v>166</v>
      </c>
      <c r="I1304" s="37" t="s">
        <v>167</v>
      </c>
      <c r="J1304" s="37" t="s">
        <v>34</v>
      </c>
      <c r="K1304" s="38">
        <v>3.0350000000000001</v>
      </c>
      <c r="L1304" s="42">
        <v>382.47020199999997</v>
      </c>
      <c r="M1304" s="37"/>
      <c r="N1304" s="40">
        <v>1.859</v>
      </c>
      <c r="O1304" s="38">
        <v>1.849529</v>
      </c>
      <c r="P1304" s="38">
        <v>8.3440000000000007E-3</v>
      </c>
      <c r="Q1304" s="38">
        <v>1.3550000000000001E-3</v>
      </c>
      <c r="R1304" s="40">
        <v>1.859</v>
      </c>
      <c r="S1304" s="38">
        <v>1.849529</v>
      </c>
      <c r="T1304" s="38">
        <v>8.3440000000000007E-3</v>
      </c>
      <c r="U1304" s="38">
        <v>1.3550000000000001E-3</v>
      </c>
      <c r="V1304" s="8">
        <f t="shared" si="20"/>
        <v>2023</v>
      </c>
    </row>
    <row r="1305" spans="1:22" s="41" customFormat="1" ht="20.399999999999999" hidden="1" x14ac:dyDescent="0.3">
      <c r="A1305" s="36">
        <v>45078</v>
      </c>
      <c r="B1305" s="37" t="s">
        <v>23</v>
      </c>
      <c r="C1305" s="37" t="s">
        <v>118</v>
      </c>
      <c r="D1305" s="37" t="s">
        <v>75</v>
      </c>
      <c r="E1305" s="37" t="s">
        <v>6</v>
      </c>
      <c r="F1305" s="37" t="s">
        <v>165</v>
      </c>
      <c r="G1305" s="37" t="s">
        <v>75</v>
      </c>
      <c r="H1305" s="37" t="s">
        <v>166</v>
      </c>
      <c r="I1305" s="37" t="s">
        <v>167</v>
      </c>
      <c r="J1305" s="37" t="s">
        <v>34</v>
      </c>
      <c r="K1305" s="38">
        <v>4.8140000000000001</v>
      </c>
      <c r="L1305" s="42">
        <v>612.81815600000004</v>
      </c>
      <c r="M1305" s="37"/>
      <c r="N1305" s="40">
        <v>2.9489999999999998</v>
      </c>
      <c r="O1305" s="38">
        <v>2.9336519999999999</v>
      </c>
      <c r="P1305" s="38">
        <v>1.3233999999999999E-2</v>
      </c>
      <c r="Q1305" s="38">
        <v>2.1489999999999999E-3</v>
      </c>
      <c r="R1305" s="40">
        <v>2.9489999999999998</v>
      </c>
      <c r="S1305" s="38">
        <v>2.9336519999999999</v>
      </c>
      <c r="T1305" s="38">
        <v>1.3233999999999999E-2</v>
      </c>
      <c r="U1305" s="38">
        <v>2.1489999999999999E-3</v>
      </c>
      <c r="V1305" s="8">
        <f t="shared" si="20"/>
        <v>2023</v>
      </c>
    </row>
    <row r="1306" spans="1:22" s="41" customFormat="1" ht="20.399999999999999" hidden="1" x14ac:dyDescent="0.3">
      <c r="A1306" s="36">
        <v>45108</v>
      </c>
      <c r="B1306" s="37" t="s">
        <v>23</v>
      </c>
      <c r="C1306" s="37" t="s">
        <v>118</v>
      </c>
      <c r="D1306" s="37" t="s">
        <v>75</v>
      </c>
      <c r="E1306" s="37" t="s">
        <v>6</v>
      </c>
      <c r="F1306" s="37" t="s">
        <v>165</v>
      </c>
      <c r="G1306" s="37" t="s">
        <v>75</v>
      </c>
      <c r="H1306" s="37" t="s">
        <v>166</v>
      </c>
      <c r="I1306" s="37" t="s">
        <v>167</v>
      </c>
      <c r="J1306" s="37" t="s">
        <v>34</v>
      </c>
      <c r="K1306" s="38">
        <v>5.1920000000000002</v>
      </c>
      <c r="L1306" s="42">
        <v>837.55100300000004</v>
      </c>
      <c r="M1306" s="37"/>
      <c r="N1306" s="40">
        <v>3.181</v>
      </c>
      <c r="O1306" s="38">
        <v>3.164005</v>
      </c>
      <c r="P1306" s="38">
        <v>1.4272999999999999E-2</v>
      </c>
      <c r="Q1306" s="38">
        <v>2.3180000000000002E-3</v>
      </c>
      <c r="R1306" s="40">
        <v>3.181</v>
      </c>
      <c r="S1306" s="38">
        <v>3.164005</v>
      </c>
      <c r="T1306" s="38">
        <v>1.4272999999999999E-2</v>
      </c>
      <c r="U1306" s="38">
        <v>2.3180000000000002E-3</v>
      </c>
      <c r="V1306" s="8">
        <f t="shared" si="20"/>
        <v>2023</v>
      </c>
    </row>
    <row r="1307" spans="1:22" s="41" customFormat="1" ht="20.399999999999999" hidden="1" x14ac:dyDescent="0.3">
      <c r="A1307" s="36">
        <v>45139</v>
      </c>
      <c r="B1307" s="37" t="s">
        <v>23</v>
      </c>
      <c r="C1307" s="37" t="s">
        <v>118</v>
      </c>
      <c r="D1307" s="37" t="s">
        <v>75</v>
      </c>
      <c r="E1307" s="37" t="s">
        <v>6</v>
      </c>
      <c r="F1307" s="37" t="s">
        <v>165</v>
      </c>
      <c r="G1307" s="37" t="s">
        <v>75</v>
      </c>
      <c r="H1307" s="37" t="s">
        <v>166</v>
      </c>
      <c r="I1307" s="37" t="s">
        <v>167</v>
      </c>
      <c r="J1307" s="37" t="s">
        <v>34</v>
      </c>
      <c r="K1307" s="38">
        <v>5.5609999999999999</v>
      </c>
      <c r="L1307" s="42">
        <v>760.14703199999997</v>
      </c>
      <c r="M1307" s="37"/>
      <c r="N1307" s="40">
        <v>3.407</v>
      </c>
      <c r="O1307" s="38">
        <v>3.3888729999999998</v>
      </c>
      <c r="P1307" s="38">
        <v>1.5288E-2</v>
      </c>
      <c r="Q1307" s="38">
        <v>2.4819999999999998E-3</v>
      </c>
      <c r="R1307" s="40">
        <v>3.407</v>
      </c>
      <c r="S1307" s="38">
        <v>3.3888729999999998</v>
      </c>
      <c r="T1307" s="38">
        <v>1.5288E-2</v>
      </c>
      <c r="U1307" s="38">
        <v>2.4819999999999998E-3</v>
      </c>
      <c r="V1307" s="8">
        <f t="shared" si="20"/>
        <v>2023</v>
      </c>
    </row>
    <row r="1308" spans="1:22" s="41" customFormat="1" ht="20.399999999999999" hidden="1" x14ac:dyDescent="0.3">
      <c r="A1308" s="36">
        <v>45170</v>
      </c>
      <c r="B1308" s="37" t="s">
        <v>23</v>
      </c>
      <c r="C1308" s="37" t="s">
        <v>118</v>
      </c>
      <c r="D1308" s="37" t="s">
        <v>75</v>
      </c>
      <c r="E1308" s="37" t="s">
        <v>6</v>
      </c>
      <c r="F1308" s="37" t="s">
        <v>165</v>
      </c>
      <c r="G1308" s="37" t="s">
        <v>75</v>
      </c>
      <c r="H1308" s="37" t="s">
        <v>166</v>
      </c>
      <c r="I1308" s="37" t="s">
        <v>167</v>
      </c>
      <c r="J1308" s="37" t="s">
        <v>34</v>
      </c>
      <c r="K1308" s="38">
        <v>3.09</v>
      </c>
      <c r="L1308" s="42">
        <v>457.90497499999998</v>
      </c>
      <c r="M1308" s="37"/>
      <c r="N1308" s="40">
        <v>1.893</v>
      </c>
      <c r="O1308" s="38">
        <v>1.883046</v>
      </c>
      <c r="P1308" s="38">
        <v>8.4950000000000008E-3</v>
      </c>
      <c r="Q1308" s="38">
        <v>1.379E-3</v>
      </c>
      <c r="R1308" s="40">
        <v>1.893</v>
      </c>
      <c r="S1308" s="38">
        <v>1.883046</v>
      </c>
      <c r="T1308" s="38">
        <v>8.4950000000000008E-3</v>
      </c>
      <c r="U1308" s="38">
        <v>1.379E-3</v>
      </c>
      <c r="V1308" s="8">
        <f t="shared" si="20"/>
        <v>2023</v>
      </c>
    </row>
    <row r="1309" spans="1:22" s="41" customFormat="1" ht="20.399999999999999" hidden="1" x14ac:dyDescent="0.3">
      <c r="A1309" s="36">
        <v>45200</v>
      </c>
      <c r="B1309" s="37" t="s">
        <v>23</v>
      </c>
      <c r="C1309" s="37" t="s">
        <v>118</v>
      </c>
      <c r="D1309" s="37" t="s">
        <v>75</v>
      </c>
      <c r="E1309" s="37" t="s">
        <v>6</v>
      </c>
      <c r="F1309" s="37" t="s">
        <v>165</v>
      </c>
      <c r="G1309" s="37" t="s">
        <v>75</v>
      </c>
      <c r="H1309" s="37" t="s">
        <v>166</v>
      </c>
      <c r="I1309" s="37" t="s">
        <v>167</v>
      </c>
      <c r="J1309" s="37" t="s">
        <v>34</v>
      </c>
      <c r="K1309" s="38">
        <v>1.4650000000000001</v>
      </c>
      <c r="L1309" s="42">
        <v>166.970011</v>
      </c>
      <c r="M1309" s="37"/>
      <c r="N1309" s="40">
        <v>0.89700000000000002</v>
      </c>
      <c r="O1309" s="38">
        <v>0.89277099999999998</v>
      </c>
      <c r="P1309" s="38">
        <v>4.0270000000000002E-3</v>
      </c>
      <c r="Q1309" s="38">
        <v>6.5399999999999996E-4</v>
      </c>
      <c r="R1309" s="40">
        <v>0.89700000000000002</v>
      </c>
      <c r="S1309" s="38">
        <v>0.89277099999999998</v>
      </c>
      <c r="T1309" s="38">
        <v>4.0270000000000002E-3</v>
      </c>
      <c r="U1309" s="38">
        <v>6.5399999999999996E-4</v>
      </c>
      <c r="V1309" s="8">
        <f t="shared" si="20"/>
        <v>2023</v>
      </c>
    </row>
    <row r="1310" spans="1:22" s="41" customFormat="1" ht="20.399999999999999" hidden="1" x14ac:dyDescent="0.3">
      <c r="A1310" s="36">
        <v>45231</v>
      </c>
      <c r="B1310" s="37" t="s">
        <v>23</v>
      </c>
      <c r="C1310" s="37" t="s">
        <v>118</v>
      </c>
      <c r="D1310" s="37" t="s">
        <v>75</v>
      </c>
      <c r="E1310" s="37" t="s">
        <v>6</v>
      </c>
      <c r="F1310" s="37" t="s">
        <v>165</v>
      </c>
      <c r="G1310" s="37" t="s">
        <v>75</v>
      </c>
      <c r="H1310" s="37" t="s">
        <v>166</v>
      </c>
      <c r="I1310" s="37" t="s">
        <v>167</v>
      </c>
      <c r="J1310" s="37" t="s">
        <v>34</v>
      </c>
      <c r="K1310" s="38">
        <v>1.748</v>
      </c>
      <c r="L1310" s="39"/>
      <c r="M1310" s="37"/>
      <c r="N1310" s="40">
        <v>1.071</v>
      </c>
      <c r="O1310" s="38">
        <v>1.065231</v>
      </c>
      <c r="P1310" s="38">
        <v>4.8050000000000002E-3</v>
      </c>
      <c r="Q1310" s="38">
        <v>7.7999999999999999E-4</v>
      </c>
      <c r="R1310" s="40">
        <v>1.071</v>
      </c>
      <c r="S1310" s="38">
        <v>1.065231</v>
      </c>
      <c r="T1310" s="38">
        <v>4.8050000000000002E-3</v>
      </c>
      <c r="U1310" s="38">
        <v>7.7999999999999999E-4</v>
      </c>
      <c r="V1310" s="8">
        <f t="shared" si="20"/>
        <v>2023</v>
      </c>
    </row>
    <row r="1311" spans="1:22" s="41" customFormat="1" ht="20.399999999999999" hidden="1" x14ac:dyDescent="0.3">
      <c r="A1311" s="36">
        <v>45261</v>
      </c>
      <c r="B1311" s="37" t="s">
        <v>23</v>
      </c>
      <c r="C1311" s="37" t="s">
        <v>118</v>
      </c>
      <c r="D1311" s="37" t="s">
        <v>75</v>
      </c>
      <c r="E1311" s="37" t="s">
        <v>6</v>
      </c>
      <c r="F1311" s="37" t="s">
        <v>165</v>
      </c>
      <c r="G1311" s="37" t="s">
        <v>75</v>
      </c>
      <c r="H1311" s="37" t="s">
        <v>166</v>
      </c>
      <c r="I1311" s="37" t="s">
        <v>167</v>
      </c>
      <c r="J1311" s="37" t="s">
        <v>34</v>
      </c>
      <c r="K1311" s="38">
        <v>2.4</v>
      </c>
      <c r="L1311" s="39"/>
      <c r="M1311" s="37"/>
      <c r="N1311" s="40">
        <v>1.47</v>
      </c>
      <c r="O1311" s="38">
        <v>1.4625600000000001</v>
      </c>
      <c r="P1311" s="38">
        <v>6.5979999999999997E-3</v>
      </c>
      <c r="Q1311" s="38">
        <v>1.0709999999999999E-3</v>
      </c>
      <c r="R1311" s="40">
        <v>1.47</v>
      </c>
      <c r="S1311" s="38">
        <v>1.4625600000000001</v>
      </c>
      <c r="T1311" s="38">
        <v>6.5979999999999997E-3</v>
      </c>
      <c r="U1311" s="38">
        <v>1.0709999999999999E-3</v>
      </c>
      <c r="V1311" s="8">
        <f t="shared" si="20"/>
        <v>2023</v>
      </c>
    </row>
    <row r="1312" spans="1:22" s="41" customFormat="1" ht="14.4" x14ac:dyDescent="0.3">
      <c r="A1312" s="36">
        <v>44562</v>
      </c>
      <c r="B1312" s="37" t="s">
        <v>18</v>
      </c>
      <c r="C1312" s="37" t="s">
        <v>118</v>
      </c>
      <c r="D1312" s="37" t="s">
        <v>76</v>
      </c>
      <c r="E1312" s="37" t="s">
        <v>5</v>
      </c>
      <c r="F1312" s="37" t="s">
        <v>168</v>
      </c>
      <c r="G1312" s="37" t="s">
        <v>169</v>
      </c>
      <c r="H1312" s="37" t="s">
        <v>170</v>
      </c>
      <c r="I1312" s="37" t="s">
        <v>76</v>
      </c>
      <c r="J1312" s="37" t="s">
        <v>34</v>
      </c>
      <c r="K1312" s="38">
        <v>0.25289200000000001</v>
      </c>
      <c r="L1312" s="39"/>
      <c r="M1312" s="37"/>
      <c r="N1312" s="40">
        <v>5.6000000000000001E-2</v>
      </c>
      <c r="O1312" s="38">
        <v>5.5421999999999999E-2</v>
      </c>
      <c r="P1312" s="38">
        <v>3.1999999999999999E-5</v>
      </c>
      <c r="Q1312" s="38">
        <v>5.1E-5</v>
      </c>
      <c r="R1312" s="40">
        <v>5.6000000000000001E-2</v>
      </c>
      <c r="S1312" s="38">
        <v>5.5421999999999999E-2</v>
      </c>
      <c r="T1312" s="38">
        <v>2.9E-5</v>
      </c>
      <c r="U1312" s="38">
        <v>5.1E-5</v>
      </c>
      <c r="V1312" s="8">
        <f t="shared" si="20"/>
        <v>2022</v>
      </c>
    </row>
    <row r="1313" spans="1:22" s="41" customFormat="1" ht="14.4" x14ac:dyDescent="0.3">
      <c r="A1313" s="36">
        <v>44593</v>
      </c>
      <c r="B1313" s="37" t="s">
        <v>18</v>
      </c>
      <c r="C1313" s="37" t="s">
        <v>118</v>
      </c>
      <c r="D1313" s="37" t="s">
        <v>76</v>
      </c>
      <c r="E1313" s="37" t="s">
        <v>5</v>
      </c>
      <c r="F1313" s="37" t="s">
        <v>168</v>
      </c>
      <c r="G1313" s="37" t="s">
        <v>169</v>
      </c>
      <c r="H1313" s="37" t="s">
        <v>170</v>
      </c>
      <c r="I1313" s="37" t="s">
        <v>76</v>
      </c>
      <c r="J1313" s="37" t="s">
        <v>34</v>
      </c>
      <c r="K1313" s="38">
        <v>0.25289200000000001</v>
      </c>
      <c r="L1313" s="39"/>
      <c r="M1313" s="37"/>
      <c r="N1313" s="40">
        <v>5.6000000000000001E-2</v>
      </c>
      <c r="O1313" s="38">
        <v>5.5421999999999999E-2</v>
      </c>
      <c r="P1313" s="38">
        <v>3.1999999999999999E-5</v>
      </c>
      <c r="Q1313" s="38">
        <v>5.1E-5</v>
      </c>
      <c r="R1313" s="40">
        <v>5.6000000000000001E-2</v>
      </c>
      <c r="S1313" s="38">
        <v>5.5421999999999999E-2</v>
      </c>
      <c r="T1313" s="38">
        <v>2.9E-5</v>
      </c>
      <c r="U1313" s="38">
        <v>5.1E-5</v>
      </c>
      <c r="V1313" s="8">
        <f t="shared" si="20"/>
        <v>2022</v>
      </c>
    </row>
    <row r="1314" spans="1:22" s="41" customFormat="1" ht="14.4" x14ac:dyDescent="0.3">
      <c r="A1314" s="36">
        <v>44621</v>
      </c>
      <c r="B1314" s="37" t="s">
        <v>18</v>
      </c>
      <c r="C1314" s="37" t="s">
        <v>118</v>
      </c>
      <c r="D1314" s="37" t="s">
        <v>76</v>
      </c>
      <c r="E1314" s="37" t="s">
        <v>5</v>
      </c>
      <c r="F1314" s="37" t="s">
        <v>168</v>
      </c>
      <c r="G1314" s="37" t="s">
        <v>169</v>
      </c>
      <c r="H1314" s="37" t="s">
        <v>170</v>
      </c>
      <c r="I1314" s="37" t="s">
        <v>76</v>
      </c>
      <c r="J1314" s="37" t="s">
        <v>34</v>
      </c>
      <c r="K1314" s="38">
        <v>0.25289200000000001</v>
      </c>
      <c r="L1314" s="39"/>
      <c r="M1314" s="37"/>
      <c r="N1314" s="40">
        <v>5.6000000000000001E-2</v>
      </c>
      <c r="O1314" s="38">
        <v>5.5421999999999999E-2</v>
      </c>
      <c r="P1314" s="38">
        <v>3.1999999999999999E-5</v>
      </c>
      <c r="Q1314" s="38">
        <v>5.1E-5</v>
      </c>
      <c r="R1314" s="40">
        <v>5.6000000000000001E-2</v>
      </c>
      <c r="S1314" s="38">
        <v>5.5421999999999999E-2</v>
      </c>
      <c r="T1314" s="38">
        <v>2.9E-5</v>
      </c>
      <c r="U1314" s="38">
        <v>5.1E-5</v>
      </c>
      <c r="V1314" s="8">
        <f t="shared" si="20"/>
        <v>2022</v>
      </c>
    </row>
    <row r="1315" spans="1:22" s="41" customFormat="1" ht="14.4" x14ac:dyDescent="0.3">
      <c r="A1315" s="36">
        <v>44652</v>
      </c>
      <c r="B1315" s="37" t="s">
        <v>18</v>
      </c>
      <c r="C1315" s="37" t="s">
        <v>118</v>
      </c>
      <c r="D1315" s="37" t="s">
        <v>76</v>
      </c>
      <c r="E1315" s="37" t="s">
        <v>5</v>
      </c>
      <c r="F1315" s="37" t="s">
        <v>168</v>
      </c>
      <c r="G1315" s="37" t="s">
        <v>169</v>
      </c>
      <c r="H1315" s="37" t="s">
        <v>170</v>
      </c>
      <c r="I1315" s="37" t="s">
        <v>76</v>
      </c>
      <c r="J1315" s="37" t="s">
        <v>34</v>
      </c>
      <c r="K1315" s="38">
        <v>0.25289200000000001</v>
      </c>
      <c r="L1315" s="39"/>
      <c r="M1315" s="37"/>
      <c r="N1315" s="40">
        <v>5.6000000000000001E-2</v>
      </c>
      <c r="O1315" s="38">
        <v>5.5421999999999999E-2</v>
      </c>
      <c r="P1315" s="38">
        <v>3.1999999999999999E-5</v>
      </c>
      <c r="Q1315" s="38">
        <v>5.1E-5</v>
      </c>
      <c r="R1315" s="40">
        <v>5.6000000000000001E-2</v>
      </c>
      <c r="S1315" s="38">
        <v>5.5421999999999999E-2</v>
      </c>
      <c r="T1315" s="38">
        <v>2.9E-5</v>
      </c>
      <c r="U1315" s="38">
        <v>5.1E-5</v>
      </c>
      <c r="V1315" s="8">
        <f t="shared" si="20"/>
        <v>2022</v>
      </c>
    </row>
    <row r="1316" spans="1:22" s="41" customFormat="1" ht="14.4" x14ac:dyDescent="0.3">
      <c r="A1316" s="36">
        <v>44682</v>
      </c>
      <c r="B1316" s="37" t="s">
        <v>18</v>
      </c>
      <c r="C1316" s="37" t="s">
        <v>118</v>
      </c>
      <c r="D1316" s="37" t="s">
        <v>76</v>
      </c>
      <c r="E1316" s="37" t="s">
        <v>5</v>
      </c>
      <c r="F1316" s="37" t="s">
        <v>168</v>
      </c>
      <c r="G1316" s="37" t="s">
        <v>169</v>
      </c>
      <c r="H1316" s="37" t="s">
        <v>170</v>
      </c>
      <c r="I1316" s="37" t="s">
        <v>76</v>
      </c>
      <c r="J1316" s="37" t="s">
        <v>34</v>
      </c>
      <c r="K1316" s="38">
        <v>0.25289200000000001</v>
      </c>
      <c r="L1316" s="39"/>
      <c r="M1316" s="37"/>
      <c r="N1316" s="40">
        <v>5.6000000000000001E-2</v>
      </c>
      <c r="O1316" s="38">
        <v>5.5421999999999999E-2</v>
      </c>
      <c r="P1316" s="38">
        <v>3.1999999999999999E-5</v>
      </c>
      <c r="Q1316" s="38">
        <v>5.1E-5</v>
      </c>
      <c r="R1316" s="40">
        <v>5.6000000000000001E-2</v>
      </c>
      <c r="S1316" s="38">
        <v>5.5421999999999999E-2</v>
      </c>
      <c r="T1316" s="38">
        <v>2.9E-5</v>
      </c>
      <c r="U1316" s="38">
        <v>5.1E-5</v>
      </c>
      <c r="V1316" s="8">
        <f t="shared" si="20"/>
        <v>2022</v>
      </c>
    </row>
    <row r="1317" spans="1:22" s="41" customFormat="1" ht="14.4" x14ac:dyDescent="0.3">
      <c r="A1317" s="36">
        <v>44713</v>
      </c>
      <c r="B1317" s="37" t="s">
        <v>18</v>
      </c>
      <c r="C1317" s="37" t="s">
        <v>118</v>
      </c>
      <c r="D1317" s="37" t="s">
        <v>76</v>
      </c>
      <c r="E1317" s="37" t="s">
        <v>5</v>
      </c>
      <c r="F1317" s="37" t="s">
        <v>168</v>
      </c>
      <c r="G1317" s="37" t="s">
        <v>169</v>
      </c>
      <c r="H1317" s="37" t="s">
        <v>170</v>
      </c>
      <c r="I1317" s="37" t="s">
        <v>76</v>
      </c>
      <c r="J1317" s="37" t="s">
        <v>34</v>
      </c>
      <c r="K1317" s="38">
        <v>0.25289200000000001</v>
      </c>
      <c r="L1317" s="39"/>
      <c r="M1317" s="37"/>
      <c r="N1317" s="40">
        <v>5.6000000000000001E-2</v>
      </c>
      <c r="O1317" s="38">
        <v>5.5421999999999999E-2</v>
      </c>
      <c r="P1317" s="38">
        <v>3.1999999999999999E-5</v>
      </c>
      <c r="Q1317" s="38">
        <v>5.1E-5</v>
      </c>
      <c r="R1317" s="40">
        <v>5.6000000000000001E-2</v>
      </c>
      <c r="S1317" s="38">
        <v>5.5421999999999999E-2</v>
      </c>
      <c r="T1317" s="38">
        <v>2.9E-5</v>
      </c>
      <c r="U1317" s="38">
        <v>5.1E-5</v>
      </c>
      <c r="V1317" s="8">
        <f t="shared" si="20"/>
        <v>2022</v>
      </c>
    </row>
    <row r="1318" spans="1:22" s="41" customFormat="1" ht="14.4" x14ac:dyDescent="0.3">
      <c r="A1318" s="36">
        <v>44743</v>
      </c>
      <c r="B1318" s="37" t="s">
        <v>18</v>
      </c>
      <c r="C1318" s="37" t="s">
        <v>118</v>
      </c>
      <c r="D1318" s="37" t="s">
        <v>76</v>
      </c>
      <c r="E1318" s="37" t="s">
        <v>5</v>
      </c>
      <c r="F1318" s="37" t="s">
        <v>168</v>
      </c>
      <c r="G1318" s="37" t="s">
        <v>169</v>
      </c>
      <c r="H1318" s="37" t="s">
        <v>170</v>
      </c>
      <c r="I1318" s="37" t="s">
        <v>76</v>
      </c>
      <c r="J1318" s="37" t="s">
        <v>34</v>
      </c>
      <c r="K1318" s="38">
        <v>0.25289200000000001</v>
      </c>
      <c r="L1318" s="39"/>
      <c r="M1318" s="37"/>
      <c r="N1318" s="40">
        <v>5.6000000000000001E-2</v>
      </c>
      <c r="O1318" s="38">
        <v>5.5421999999999999E-2</v>
      </c>
      <c r="P1318" s="38">
        <v>3.1999999999999999E-5</v>
      </c>
      <c r="Q1318" s="38">
        <v>5.1E-5</v>
      </c>
      <c r="R1318" s="40">
        <v>5.6000000000000001E-2</v>
      </c>
      <c r="S1318" s="38">
        <v>5.5421999999999999E-2</v>
      </c>
      <c r="T1318" s="38">
        <v>2.9E-5</v>
      </c>
      <c r="U1318" s="38">
        <v>5.1E-5</v>
      </c>
      <c r="V1318" s="8">
        <f t="shared" si="20"/>
        <v>2022</v>
      </c>
    </row>
    <row r="1319" spans="1:22" s="41" customFormat="1" ht="14.4" x14ac:dyDescent="0.3">
      <c r="A1319" s="36">
        <v>44774</v>
      </c>
      <c r="B1319" s="37" t="s">
        <v>18</v>
      </c>
      <c r="C1319" s="37" t="s">
        <v>118</v>
      </c>
      <c r="D1319" s="37" t="s">
        <v>76</v>
      </c>
      <c r="E1319" s="37" t="s">
        <v>5</v>
      </c>
      <c r="F1319" s="37" t="s">
        <v>168</v>
      </c>
      <c r="G1319" s="37" t="s">
        <v>169</v>
      </c>
      <c r="H1319" s="37" t="s">
        <v>170</v>
      </c>
      <c r="I1319" s="37" t="s">
        <v>76</v>
      </c>
      <c r="J1319" s="37" t="s">
        <v>34</v>
      </c>
      <c r="K1319" s="38">
        <v>0.25289200000000001</v>
      </c>
      <c r="L1319" s="39"/>
      <c r="M1319" s="37"/>
      <c r="N1319" s="40">
        <v>5.6000000000000001E-2</v>
      </c>
      <c r="O1319" s="38">
        <v>5.5421999999999999E-2</v>
      </c>
      <c r="P1319" s="38">
        <v>3.1999999999999999E-5</v>
      </c>
      <c r="Q1319" s="38">
        <v>5.1E-5</v>
      </c>
      <c r="R1319" s="40">
        <v>5.6000000000000001E-2</v>
      </c>
      <c r="S1319" s="38">
        <v>5.5421999999999999E-2</v>
      </c>
      <c r="T1319" s="38">
        <v>2.9E-5</v>
      </c>
      <c r="U1319" s="38">
        <v>5.1E-5</v>
      </c>
      <c r="V1319" s="8">
        <f t="shared" si="20"/>
        <v>2022</v>
      </c>
    </row>
    <row r="1320" spans="1:22" s="41" customFormat="1" ht="14.4" x14ac:dyDescent="0.3">
      <c r="A1320" s="36">
        <v>44805</v>
      </c>
      <c r="B1320" s="37" t="s">
        <v>18</v>
      </c>
      <c r="C1320" s="37" t="s">
        <v>118</v>
      </c>
      <c r="D1320" s="37" t="s">
        <v>76</v>
      </c>
      <c r="E1320" s="37" t="s">
        <v>5</v>
      </c>
      <c r="F1320" s="37" t="s">
        <v>168</v>
      </c>
      <c r="G1320" s="37" t="s">
        <v>169</v>
      </c>
      <c r="H1320" s="37" t="s">
        <v>170</v>
      </c>
      <c r="I1320" s="37" t="s">
        <v>76</v>
      </c>
      <c r="J1320" s="37" t="s">
        <v>34</v>
      </c>
      <c r="K1320" s="38">
        <v>0.25289200000000001</v>
      </c>
      <c r="L1320" s="39"/>
      <c r="M1320" s="37"/>
      <c r="N1320" s="40">
        <v>5.6000000000000001E-2</v>
      </c>
      <c r="O1320" s="38">
        <v>5.5421999999999999E-2</v>
      </c>
      <c r="P1320" s="38">
        <v>3.1999999999999999E-5</v>
      </c>
      <c r="Q1320" s="38">
        <v>5.1E-5</v>
      </c>
      <c r="R1320" s="40">
        <v>5.6000000000000001E-2</v>
      </c>
      <c r="S1320" s="38">
        <v>5.5421999999999999E-2</v>
      </c>
      <c r="T1320" s="38">
        <v>2.9E-5</v>
      </c>
      <c r="U1320" s="38">
        <v>5.1E-5</v>
      </c>
      <c r="V1320" s="8">
        <f t="shared" si="20"/>
        <v>2022</v>
      </c>
    </row>
    <row r="1321" spans="1:22" s="41" customFormat="1" ht="14.4" x14ac:dyDescent="0.3">
      <c r="A1321" s="36">
        <v>44835</v>
      </c>
      <c r="B1321" s="37" t="s">
        <v>18</v>
      </c>
      <c r="C1321" s="37" t="s">
        <v>118</v>
      </c>
      <c r="D1321" s="37" t="s">
        <v>76</v>
      </c>
      <c r="E1321" s="37" t="s">
        <v>5</v>
      </c>
      <c r="F1321" s="37" t="s">
        <v>168</v>
      </c>
      <c r="G1321" s="37" t="s">
        <v>169</v>
      </c>
      <c r="H1321" s="37" t="s">
        <v>170</v>
      </c>
      <c r="I1321" s="37" t="s">
        <v>76</v>
      </c>
      <c r="J1321" s="37" t="s">
        <v>34</v>
      </c>
      <c r="K1321" s="38">
        <v>0.25289200000000001</v>
      </c>
      <c r="L1321" s="39"/>
      <c r="M1321" s="37"/>
      <c r="N1321" s="40">
        <v>5.6000000000000001E-2</v>
      </c>
      <c r="O1321" s="38">
        <v>5.5421999999999999E-2</v>
      </c>
      <c r="P1321" s="38">
        <v>3.1999999999999999E-5</v>
      </c>
      <c r="Q1321" s="38">
        <v>5.1E-5</v>
      </c>
      <c r="R1321" s="40">
        <v>5.6000000000000001E-2</v>
      </c>
      <c r="S1321" s="38">
        <v>5.5421999999999999E-2</v>
      </c>
      <c r="T1321" s="38">
        <v>2.9E-5</v>
      </c>
      <c r="U1321" s="38">
        <v>5.1E-5</v>
      </c>
      <c r="V1321" s="8">
        <f t="shared" si="20"/>
        <v>2022</v>
      </c>
    </row>
    <row r="1322" spans="1:22" s="41" customFormat="1" ht="14.4" x14ac:dyDescent="0.3">
      <c r="A1322" s="36">
        <v>44866</v>
      </c>
      <c r="B1322" s="37" t="s">
        <v>18</v>
      </c>
      <c r="C1322" s="37" t="s">
        <v>118</v>
      </c>
      <c r="D1322" s="37" t="s">
        <v>76</v>
      </c>
      <c r="E1322" s="37" t="s">
        <v>5</v>
      </c>
      <c r="F1322" s="37" t="s">
        <v>168</v>
      </c>
      <c r="G1322" s="37" t="s">
        <v>169</v>
      </c>
      <c r="H1322" s="37" t="s">
        <v>170</v>
      </c>
      <c r="I1322" s="37" t="s">
        <v>76</v>
      </c>
      <c r="J1322" s="37" t="s">
        <v>34</v>
      </c>
      <c r="K1322" s="38">
        <v>0.25289200000000001</v>
      </c>
      <c r="L1322" s="39"/>
      <c r="M1322" s="37"/>
      <c r="N1322" s="40">
        <v>5.6000000000000001E-2</v>
      </c>
      <c r="O1322" s="38">
        <v>5.5421999999999999E-2</v>
      </c>
      <c r="P1322" s="38">
        <v>3.1999999999999999E-5</v>
      </c>
      <c r="Q1322" s="38">
        <v>5.1E-5</v>
      </c>
      <c r="R1322" s="40">
        <v>5.6000000000000001E-2</v>
      </c>
      <c r="S1322" s="38">
        <v>5.5421999999999999E-2</v>
      </c>
      <c r="T1322" s="38">
        <v>2.9E-5</v>
      </c>
      <c r="U1322" s="38">
        <v>5.1E-5</v>
      </c>
      <c r="V1322" s="8">
        <f t="shared" si="20"/>
        <v>2022</v>
      </c>
    </row>
    <row r="1323" spans="1:22" s="41" customFormat="1" ht="14.4" x14ac:dyDescent="0.3">
      <c r="A1323" s="36">
        <v>44896</v>
      </c>
      <c r="B1323" s="37" t="s">
        <v>18</v>
      </c>
      <c r="C1323" s="37" t="s">
        <v>118</v>
      </c>
      <c r="D1323" s="37" t="s">
        <v>76</v>
      </c>
      <c r="E1323" s="37" t="s">
        <v>5</v>
      </c>
      <c r="F1323" s="37" t="s">
        <v>168</v>
      </c>
      <c r="G1323" s="37" t="s">
        <v>169</v>
      </c>
      <c r="H1323" s="37" t="s">
        <v>170</v>
      </c>
      <c r="I1323" s="37" t="s">
        <v>76</v>
      </c>
      <c r="J1323" s="37" t="s">
        <v>34</v>
      </c>
      <c r="K1323" s="38">
        <v>0.25289200000000001</v>
      </c>
      <c r="L1323" s="39"/>
      <c r="M1323" s="37"/>
      <c r="N1323" s="40">
        <v>5.6000000000000001E-2</v>
      </c>
      <c r="O1323" s="38">
        <v>5.5421999999999999E-2</v>
      </c>
      <c r="P1323" s="38">
        <v>3.1999999999999999E-5</v>
      </c>
      <c r="Q1323" s="38">
        <v>5.1E-5</v>
      </c>
      <c r="R1323" s="40">
        <v>5.6000000000000001E-2</v>
      </c>
      <c r="S1323" s="38">
        <v>5.5421999999999999E-2</v>
      </c>
      <c r="T1323" s="38">
        <v>2.9E-5</v>
      </c>
      <c r="U1323" s="38">
        <v>5.1E-5</v>
      </c>
      <c r="V1323" s="8">
        <f t="shared" si="20"/>
        <v>2022</v>
      </c>
    </row>
    <row r="1324" spans="1:22" s="41" customFormat="1" ht="14.4" hidden="1" x14ac:dyDescent="0.3">
      <c r="A1324" s="36">
        <v>44562</v>
      </c>
      <c r="B1324" s="37" t="s">
        <v>23</v>
      </c>
      <c r="C1324" s="37" t="s">
        <v>118</v>
      </c>
      <c r="D1324" s="37" t="s">
        <v>76</v>
      </c>
      <c r="E1324" s="37" t="s">
        <v>6</v>
      </c>
      <c r="F1324" s="37" t="s">
        <v>168</v>
      </c>
      <c r="G1324" s="37" t="s">
        <v>169</v>
      </c>
      <c r="H1324" s="37" t="s">
        <v>170</v>
      </c>
      <c r="I1324" s="37" t="s">
        <v>76</v>
      </c>
      <c r="J1324" s="37" t="s">
        <v>34</v>
      </c>
      <c r="K1324" s="38">
        <v>3.4592499999999999</v>
      </c>
      <c r="L1324" s="39"/>
      <c r="M1324" s="37"/>
      <c r="N1324" s="40">
        <v>3.1139999999999999</v>
      </c>
      <c r="O1324" s="38">
        <v>3.0987960000000001</v>
      </c>
      <c r="P1324" s="38">
        <v>1.3627E-2</v>
      </c>
      <c r="Q1324" s="38">
        <v>1.158E-3</v>
      </c>
      <c r="R1324" s="40">
        <v>3.1139999999999999</v>
      </c>
      <c r="S1324" s="38">
        <v>3.0987960000000001</v>
      </c>
      <c r="T1324" s="38">
        <v>1.3627E-2</v>
      </c>
      <c r="U1324" s="38">
        <v>1.158E-3</v>
      </c>
      <c r="V1324" s="8">
        <f t="shared" si="20"/>
        <v>2022</v>
      </c>
    </row>
    <row r="1325" spans="1:22" s="41" customFormat="1" ht="14.4" hidden="1" x14ac:dyDescent="0.3">
      <c r="A1325" s="36">
        <v>44593</v>
      </c>
      <c r="B1325" s="37" t="s">
        <v>23</v>
      </c>
      <c r="C1325" s="37" t="s">
        <v>118</v>
      </c>
      <c r="D1325" s="37" t="s">
        <v>76</v>
      </c>
      <c r="E1325" s="37" t="s">
        <v>6</v>
      </c>
      <c r="F1325" s="37" t="s">
        <v>168</v>
      </c>
      <c r="G1325" s="37" t="s">
        <v>169</v>
      </c>
      <c r="H1325" s="37" t="s">
        <v>170</v>
      </c>
      <c r="I1325" s="37" t="s">
        <v>76</v>
      </c>
      <c r="J1325" s="37" t="s">
        <v>34</v>
      </c>
      <c r="K1325" s="38">
        <v>3.4592499999999999</v>
      </c>
      <c r="L1325" s="39"/>
      <c r="M1325" s="37"/>
      <c r="N1325" s="40">
        <v>3.1139999999999999</v>
      </c>
      <c r="O1325" s="38">
        <v>3.0987960000000001</v>
      </c>
      <c r="P1325" s="38">
        <v>1.3627E-2</v>
      </c>
      <c r="Q1325" s="38">
        <v>1.158E-3</v>
      </c>
      <c r="R1325" s="40">
        <v>3.1139999999999999</v>
      </c>
      <c r="S1325" s="38">
        <v>3.0987960000000001</v>
      </c>
      <c r="T1325" s="38">
        <v>1.3627E-2</v>
      </c>
      <c r="U1325" s="38">
        <v>1.158E-3</v>
      </c>
      <c r="V1325" s="8">
        <f t="shared" si="20"/>
        <v>2022</v>
      </c>
    </row>
    <row r="1326" spans="1:22" s="41" customFormat="1" ht="14.4" hidden="1" x14ac:dyDescent="0.3">
      <c r="A1326" s="36">
        <v>44621</v>
      </c>
      <c r="B1326" s="37" t="s">
        <v>23</v>
      </c>
      <c r="C1326" s="37" t="s">
        <v>118</v>
      </c>
      <c r="D1326" s="37" t="s">
        <v>76</v>
      </c>
      <c r="E1326" s="37" t="s">
        <v>6</v>
      </c>
      <c r="F1326" s="37" t="s">
        <v>168</v>
      </c>
      <c r="G1326" s="37" t="s">
        <v>169</v>
      </c>
      <c r="H1326" s="37" t="s">
        <v>170</v>
      </c>
      <c r="I1326" s="37" t="s">
        <v>76</v>
      </c>
      <c r="J1326" s="37" t="s">
        <v>34</v>
      </c>
      <c r="K1326" s="38">
        <v>3.4592499999999999</v>
      </c>
      <c r="L1326" s="39"/>
      <c r="M1326" s="37"/>
      <c r="N1326" s="40">
        <v>3.1139999999999999</v>
      </c>
      <c r="O1326" s="38">
        <v>3.0987960000000001</v>
      </c>
      <c r="P1326" s="38">
        <v>1.3627E-2</v>
      </c>
      <c r="Q1326" s="38">
        <v>1.158E-3</v>
      </c>
      <c r="R1326" s="40">
        <v>3.1139999999999999</v>
      </c>
      <c r="S1326" s="38">
        <v>3.0987960000000001</v>
      </c>
      <c r="T1326" s="38">
        <v>1.3627E-2</v>
      </c>
      <c r="U1326" s="38">
        <v>1.158E-3</v>
      </c>
      <c r="V1326" s="8">
        <f t="shared" si="20"/>
        <v>2022</v>
      </c>
    </row>
    <row r="1327" spans="1:22" s="41" customFormat="1" ht="14.4" hidden="1" x14ac:dyDescent="0.3">
      <c r="A1327" s="36">
        <v>44652</v>
      </c>
      <c r="B1327" s="37" t="s">
        <v>23</v>
      </c>
      <c r="C1327" s="37" t="s">
        <v>118</v>
      </c>
      <c r="D1327" s="37" t="s">
        <v>76</v>
      </c>
      <c r="E1327" s="37" t="s">
        <v>6</v>
      </c>
      <c r="F1327" s="37" t="s">
        <v>168</v>
      </c>
      <c r="G1327" s="37" t="s">
        <v>169</v>
      </c>
      <c r="H1327" s="37" t="s">
        <v>170</v>
      </c>
      <c r="I1327" s="37" t="s">
        <v>76</v>
      </c>
      <c r="J1327" s="37" t="s">
        <v>34</v>
      </c>
      <c r="K1327" s="38">
        <v>3.4592499999999999</v>
      </c>
      <c r="L1327" s="39"/>
      <c r="M1327" s="37"/>
      <c r="N1327" s="40">
        <v>3.1139999999999999</v>
      </c>
      <c r="O1327" s="38">
        <v>3.0987960000000001</v>
      </c>
      <c r="P1327" s="38">
        <v>1.3627E-2</v>
      </c>
      <c r="Q1327" s="38">
        <v>1.158E-3</v>
      </c>
      <c r="R1327" s="40">
        <v>3.1139999999999999</v>
      </c>
      <c r="S1327" s="38">
        <v>3.0987960000000001</v>
      </c>
      <c r="T1327" s="38">
        <v>1.3627E-2</v>
      </c>
      <c r="U1327" s="38">
        <v>1.158E-3</v>
      </c>
      <c r="V1327" s="8">
        <f t="shared" si="20"/>
        <v>2022</v>
      </c>
    </row>
    <row r="1328" spans="1:22" s="41" customFormat="1" ht="14.4" hidden="1" x14ac:dyDescent="0.3">
      <c r="A1328" s="36">
        <v>44682</v>
      </c>
      <c r="B1328" s="37" t="s">
        <v>23</v>
      </c>
      <c r="C1328" s="37" t="s">
        <v>118</v>
      </c>
      <c r="D1328" s="37" t="s">
        <v>76</v>
      </c>
      <c r="E1328" s="37" t="s">
        <v>6</v>
      </c>
      <c r="F1328" s="37" t="s">
        <v>168</v>
      </c>
      <c r="G1328" s="37" t="s">
        <v>169</v>
      </c>
      <c r="H1328" s="37" t="s">
        <v>170</v>
      </c>
      <c r="I1328" s="37" t="s">
        <v>76</v>
      </c>
      <c r="J1328" s="37" t="s">
        <v>34</v>
      </c>
      <c r="K1328" s="38">
        <v>3.4592499999999999</v>
      </c>
      <c r="L1328" s="39"/>
      <c r="M1328" s="37"/>
      <c r="N1328" s="40">
        <v>3.1139999999999999</v>
      </c>
      <c r="O1328" s="38">
        <v>3.0987960000000001</v>
      </c>
      <c r="P1328" s="38">
        <v>1.3627E-2</v>
      </c>
      <c r="Q1328" s="38">
        <v>1.158E-3</v>
      </c>
      <c r="R1328" s="40">
        <v>3.1139999999999999</v>
      </c>
      <c r="S1328" s="38">
        <v>3.0987960000000001</v>
      </c>
      <c r="T1328" s="38">
        <v>1.3627E-2</v>
      </c>
      <c r="U1328" s="38">
        <v>1.158E-3</v>
      </c>
      <c r="V1328" s="8">
        <f t="shared" si="20"/>
        <v>2022</v>
      </c>
    </row>
    <row r="1329" spans="1:22" s="41" customFormat="1" ht="14.4" hidden="1" x14ac:dyDescent="0.3">
      <c r="A1329" s="36">
        <v>44713</v>
      </c>
      <c r="B1329" s="37" t="s">
        <v>23</v>
      </c>
      <c r="C1329" s="37" t="s">
        <v>118</v>
      </c>
      <c r="D1329" s="37" t="s">
        <v>76</v>
      </c>
      <c r="E1329" s="37" t="s">
        <v>6</v>
      </c>
      <c r="F1329" s="37" t="s">
        <v>168</v>
      </c>
      <c r="G1329" s="37" t="s">
        <v>169</v>
      </c>
      <c r="H1329" s="37" t="s">
        <v>170</v>
      </c>
      <c r="I1329" s="37" t="s">
        <v>76</v>
      </c>
      <c r="J1329" s="37" t="s">
        <v>34</v>
      </c>
      <c r="K1329" s="38">
        <v>3.4592499999999999</v>
      </c>
      <c r="L1329" s="39"/>
      <c r="M1329" s="37"/>
      <c r="N1329" s="40">
        <v>3.1139999999999999</v>
      </c>
      <c r="O1329" s="38">
        <v>3.0987960000000001</v>
      </c>
      <c r="P1329" s="38">
        <v>1.3627E-2</v>
      </c>
      <c r="Q1329" s="38">
        <v>1.158E-3</v>
      </c>
      <c r="R1329" s="40">
        <v>3.1139999999999999</v>
      </c>
      <c r="S1329" s="38">
        <v>3.0987960000000001</v>
      </c>
      <c r="T1329" s="38">
        <v>1.3627E-2</v>
      </c>
      <c r="U1329" s="38">
        <v>1.158E-3</v>
      </c>
      <c r="V1329" s="8">
        <f t="shared" si="20"/>
        <v>2022</v>
      </c>
    </row>
    <row r="1330" spans="1:22" s="41" customFormat="1" ht="14.4" hidden="1" x14ac:dyDescent="0.3">
      <c r="A1330" s="36">
        <v>44743</v>
      </c>
      <c r="B1330" s="37" t="s">
        <v>23</v>
      </c>
      <c r="C1330" s="37" t="s">
        <v>118</v>
      </c>
      <c r="D1330" s="37" t="s">
        <v>76</v>
      </c>
      <c r="E1330" s="37" t="s">
        <v>6</v>
      </c>
      <c r="F1330" s="37" t="s">
        <v>168</v>
      </c>
      <c r="G1330" s="37" t="s">
        <v>169</v>
      </c>
      <c r="H1330" s="37" t="s">
        <v>170</v>
      </c>
      <c r="I1330" s="37" t="s">
        <v>76</v>
      </c>
      <c r="J1330" s="37" t="s">
        <v>34</v>
      </c>
      <c r="K1330" s="38">
        <v>3.4592499999999999</v>
      </c>
      <c r="L1330" s="39"/>
      <c r="M1330" s="37"/>
      <c r="N1330" s="40">
        <v>3.1139999999999999</v>
      </c>
      <c r="O1330" s="38">
        <v>3.0987960000000001</v>
      </c>
      <c r="P1330" s="38">
        <v>1.3627E-2</v>
      </c>
      <c r="Q1330" s="38">
        <v>1.158E-3</v>
      </c>
      <c r="R1330" s="40">
        <v>3.1139999999999999</v>
      </c>
      <c r="S1330" s="38">
        <v>3.0987960000000001</v>
      </c>
      <c r="T1330" s="38">
        <v>1.3627E-2</v>
      </c>
      <c r="U1330" s="38">
        <v>1.158E-3</v>
      </c>
      <c r="V1330" s="8">
        <f t="shared" si="20"/>
        <v>2022</v>
      </c>
    </row>
    <row r="1331" spans="1:22" s="41" customFormat="1" ht="14.4" hidden="1" x14ac:dyDescent="0.3">
      <c r="A1331" s="36">
        <v>44774</v>
      </c>
      <c r="B1331" s="37" t="s">
        <v>23</v>
      </c>
      <c r="C1331" s="37" t="s">
        <v>118</v>
      </c>
      <c r="D1331" s="37" t="s">
        <v>76</v>
      </c>
      <c r="E1331" s="37" t="s">
        <v>6</v>
      </c>
      <c r="F1331" s="37" t="s">
        <v>168</v>
      </c>
      <c r="G1331" s="37" t="s">
        <v>169</v>
      </c>
      <c r="H1331" s="37" t="s">
        <v>170</v>
      </c>
      <c r="I1331" s="37" t="s">
        <v>76</v>
      </c>
      <c r="J1331" s="37" t="s">
        <v>34</v>
      </c>
      <c r="K1331" s="38">
        <v>3.4592499999999999</v>
      </c>
      <c r="L1331" s="39"/>
      <c r="M1331" s="37"/>
      <c r="N1331" s="40">
        <v>3.1139999999999999</v>
      </c>
      <c r="O1331" s="38">
        <v>3.0987960000000001</v>
      </c>
      <c r="P1331" s="38">
        <v>1.3627E-2</v>
      </c>
      <c r="Q1331" s="38">
        <v>1.158E-3</v>
      </c>
      <c r="R1331" s="40">
        <v>3.1139999999999999</v>
      </c>
      <c r="S1331" s="38">
        <v>3.0987960000000001</v>
      </c>
      <c r="T1331" s="38">
        <v>1.3627E-2</v>
      </c>
      <c r="U1331" s="38">
        <v>1.158E-3</v>
      </c>
      <c r="V1331" s="8">
        <f t="shared" si="20"/>
        <v>2022</v>
      </c>
    </row>
    <row r="1332" spans="1:22" s="41" customFormat="1" ht="14.4" hidden="1" x14ac:dyDescent="0.3">
      <c r="A1332" s="36">
        <v>44805</v>
      </c>
      <c r="B1332" s="37" t="s">
        <v>23</v>
      </c>
      <c r="C1332" s="37" t="s">
        <v>118</v>
      </c>
      <c r="D1332" s="37" t="s">
        <v>76</v>
      </c>
      <c r="E1332" s="37" t="s">
        <v>6</v>
      </c>
      <c r="F1332" s="37" t="s">
        <v>168</v>
      </c>
      <c r="G1332" s="37" t="s">
        <v>169</v>
      </c>
      <c r="H1332" s="37" t="s">
        <v>170</v>
      </c>
      <c r="I1332" s="37" t="s">
        <v>76</v>
      </c>
      <c r="J1332" s="37" t="s">
        <v>34</v>
      </c>
      <c r="K1332" s="38">
        <v>3.4592499999999999</v>
      </c>
      <c r="L1332" s="39"/>
      <c r="M1332" s="37"/>
      <c r="N1332" s="40">
        <v>3.1139999999999999</v>
      </c>
      <c r="O1332" s="38">
        <v>3.0987960000000001</v>
      </c>
      <c r="P1332" s="38">
        <v>1.3627E-2</v>
      </c>
      <c r="Q1332" s="38">
        <v>1.158E-3</v>
      </c>
      <c r="R1332" s="40">
        <v>3.1139999999999999</v>
      </c>
      <c r="S1332" s="38">
        <v>3.0987960000000001</v>
      </c>
      <c r="T1332" s="38">
        <v>1.3627E-2</v>
      </c>
      <c r="U1332" s="38">
        <v>1.158E-3</v>
      </c>
      <c r="V1332" s="8">
        <f t="shared" ref="V1332:V1395" si="21">YEAR(A1332)</f>
        <v>2022</v>
      </c>
    </row>
    <row r="1333" spans="1:22" s="41" customFormat="1" ht="14.4" hidden="1" x14ac:dyDescent="0.3">
      <c r="A1333" s="36">
        <v>44835</v>
      </c>
      <c r="B1333" s="37" t="s">
        <v>23</v>
      </c>
      <c r="C1333" s="37" t="s">
        <v>118</v>
      </c>
      <c r="D1333" s="37" t="s">
        <v>76</v>
      </c>
      <c r="E1333" s="37" t="s">
        <v>6</v>
      </c>
      <c r="F1333" s="37" t="s">
        <v>168</v>
      </c>
      <c r="G1333" s="37" t="s">
        <v>169</v>
      </c>
      <c r="H1333" s="37" t="s">
        <v>170</v>
      </c>
      <c r="I1333" s="37" t="s">
        <v>76</v>
      </c>
      <c r="J1333" s="37" t="s">
        <v>34</v>
      </c>
      <c r="K1333" s="38">
        <v>3.4592499999999999</v>
      </c>
      <c r="L1333" s="39"/>
      <c r="M1333" s="37"/>
      <c r="N1333" s="40">
        <v>3.1139999999999999</v>
      </c>
      <c r="O1333" s="38">
        <v>3.0987960000000001</v>
      </c>
      <c r="P1333" s="38">
        <v>1.3627E-2</v>
      </c>
      <c r="Q1333" s="38">
        <v>1.158E-3</v>
      </c>
      <c r="R1333" s="40">
        <v>3.1139999999999999</v>
      </c>
      <c r="S1333" s="38">
        <v>3.0987960000000001</v>
      </c>
      <c r="T1333" s="38">
        <v>1.3627E-2</v>
      </c>
      <c r="U1333" s="38">
        <v>1.158E-3</v>
      </c>
      <c r="V1333" s="8">
        <f t="shared" si="21"/>
        <v>2022</v>
      </c>
    </row>
    <row r="1334" spans="1:22" s="41" customFormat="1" ht="14.4" hidden="1" x14ac:dyDescent="0.3">
      <c r="A1334" s="36">
        <v>44866</v>
      </c>
      <c r="B1334" s="37" t="s">
        <v>23</v>
      </c>
      <c r="C1334" s="37" t="s">
        <v>118</v>
      </c>
      <c r="D1334" s="37" t="s">
        <v>76</v>
      </c>
      <c r="E1334" s="37" t="s">
        <v>6</v>
      </c>
      <c r="F1334" s="37" t="s">
        <v>168</v>
      </c>
      <c r="G1334" s="37" t="s">
        <v>169</v>
      </c>
      <c r="H1334" s="37" t="s">
        <v>170</v>
      </c>
      <c r="I1334" s="37" t="s">
        <v>76</v>
      </c>
      <c r="J1334" s="37" t="s">
        <v>34</v>
      </c>
      <c r="K1334" s="38">
        <v>3.4592499999999999</v>
      </c>
      <c r="L1334" s="39"/>
      <c r="M1334" s="37"/>
      <c r="N1334" s="40">
        <v>3.1139999999999999</v>
      </c>
      <c r="O1334" s="38">
        <v>3.0987960000000001</v>
      </c>
      <c r="P1334" s="38">
        <v>1.3627E-2</v>
      </c>
      <c r="Q1334" s="38">
        <v>1.158E-3</v>
      </c>
      <c r="R1334" s="40">
        <v>3.1139999999999999</v>
      </c>
      <c r="S1334" s="38">
        <v>3.0987960000000001</v>
      </c>
      <c r="T1334" s="38">
        <v>1.3627E-2</v>
      </c>
      <c r="U1334" s="38">
        <v>1.158E-3</v>
      </c>
      <c r="V1334" s="8">
        <f t="shared" si="21"/>
        <v>2022</v>
      </c>
    </row>
    <row r="1335" spans="1:22" s="41" customFormat="1" ht="14.4" hidden="1" x14ac:dyDescent="0.3">
      <c r="A1335" s="36">
        <v>44896</v>
      </c>
      <c r="B1335" s="37" t="s">
        <v>23</v>
      </c>
      <c r="C1335" s="37" t="s">
        <v>118</v>
      </c>
      <c r="D1335" s="37" t="s">
        <v>76</v>
      </c>
      <c r="E1335" s="37" t="s">
        <v>6</v>
      </c>
      <c r="F1335" s="37" t="s">
        <v>168</v>
      </c>
      <c r="G1335" s="37" t="s">
        <v>169</v>
      </c>
      <c r="H1335" s="37" t="s">
        <v>170</v>
      </c>
      <c r="I1335" s="37" t="s">
        <v>76</v>
      </c>
      <c r="J1335" s="37" t="s">
        <v>34</v>
      </c>
      <c r="K1335" s="38">
        <v>3.4592499999999999</v>
      </c>
      <c r="L1335" s="39"/>
      <c r="M1335" s="37"/>
      <c r="N1335" s="40">
        <v>3.1139999999999999</v>
      </c>
      <c r="O1335" s="38">
        <v>3.0987960000000001</v>
      </c>
      <c r="P1335" s="38">
        <v>1.3627E-2</v>
      </c>
      <c r="Q1335" s="38">
        <v>1.158E-3</v>
      </c>
      <c r="R1335" s="40">
        <v>3.1139999999999999</v>
      </c>
      <c r="S1335" s="38">
        <v>3.0987960000000001</v>
      </c>
      <c r="T1335" s="38">
        <v>1.3627E-2</v>
      </c>
      <c r="U1335" s="38">
        <v>1.158E-3</v>
      </c>
      <c r="V1335" s="8">
        <f t="shared" si="21"/>
        <v>2022</v>
      </c>
    </row>
    <row r="1336" spans="1:22" s="41" customFormat="1" ht="14.4" hidden="1" x14ac:dyDescent="0.3">
      <c r="A1336" s="36">
        <v>44927</v>
      </c>
      <c r="B1336" s="37" t="s">
        <v>23</v>
      </c>
      <c r="C1336" s="37" t="s">
        <v>118</v>
      </c>
      <c r="D1336" s="37" t="s">
        <v>76</v>
      </c>
      <c r="E1336" s="37" t="s">
        <v>6</v>
      </c>
      <c r="F1336" s="37" t="s">
        <v>168</v>
      </c>
      <c r="G1336" s="37" t="s">
        <v>169</v>
      </c>
      <c r="H1336" s="37" t="s">
        <v>170</v>
      </c>
      <c r="I1336" s="37" t="s">
        <v>76</v>
      </c>
      <c r="J1336" s="37" t="s">
        <v>34</v>
      </c>
      <c r="K1336" s="38">
        <v>3.27</v>
      </c>
      <c r="L1336" s="39"/>
      <c r="M1336" s="37"/>
      <c r="N1336" s="40">
        <v>2.9430000000000001</v>
      </c>
      <c r="O1336" s="38">
        <v>2.9292660000000001</v>
      </c>
      <c r="P1336" s="38">
        <v>1.2881999999999999E-2</v>
      </c>
      <c r="Q1336" s="38">
        <v>1.0950000000000001E-3</v>
      </c>
      <c r="R1336" s="40">
        <v>2.9430000000000001</v>
      </c>
      <c r="S1336" s="38">
        <v>2.9292660000000001</v>
      </c>
      <c r="T1336" s="38">
        <v>1.2881999999999999E-2</v>
      </c>
      <c r="U1336" s="38">
        <v>1.0950000000000001E-3</v>
      </c>
      <c r="V1336" s="8">
        <f t="shared" si="21"/>
        <v>2023</v>
      </c>
    </row>
    <row r="1337" spans="1:22" s="41" customFormat="1" ht="14.4" hidden="1" x14ac:dyDescent="0.3">
      <c r="A1337" s="36">
        <v>44958</v>
      </c>
      <c r="B1337" s="37" t="s">
        <v>23</v>
      </c>
      <c r="C1337" s="37" t="s">
        <v>118</v>
      </c>
      <c r="D1337" s="37" t="s">
        <v>76</v>
      </c>
      <c r="E1337" s="37" t="s">
        <v>6</v>
      </c>
      <c r="F1337" s="37" t="s">
        <v>168</v>
      </c>
      <c r="G1337" s="37" t="s">
        <v>169</v>
      </c>
      <c r="H1337" s="37" t="s">
        <v>170</v>
      </c>
      <c r="I1337" s="37" t="s">
        <v>76</v>
      </c>
      <c r="J1337" s="37" t="s">
        <v>34</v>
      </c>
      <c r="K1337" s="38">
        <v>3.2189999999999999</v>
      </c>
      <c r="L1337" s="39"/>
      <c r="M1337" s="37"/>
      <c r="N1337" s="40">
        <v>2.8969999999999998</v>
      </c>
      <c r="O1337" s="38">
        <v>2.8835799999999998</v>
      </c>
      <c r="P1337" s="38">
        <v>1.2681E-2</v>
      </c>
      <c r="Q1337" s="38">
        <v>1.078E-3</v>
      </c>
      <c r="R1337" s="40">
        <v>2.8969999999999998</v>
      </c>
      <c r="S1337" s="38">
        <v>2.8835799999999998</v>
      </c>
      <c r="T1337" s="38">
        <v>1.2681E-2</v>
      </c>
      <c r="U1337" s="38">
        <v>1.078E-3</v>
      </c>
      <c r="V1337" s="8">
        <f t="shared" si="21"/>
        <v>2023</v>
      </c>
    </row>
    <row r="1338" spans="1:22" s="41" customFormat="1" ht="14.4" hidden="1" x14ac:dyDescent="0.3">
      <c r="A1338" s="36">
        <v>44986</v>
      </c>
      <c r="B1338" s="37" t="s">
        <v>23</v>
      </c>
      <c r="C1338" s="37" t="s">
        <v>118</v>
      </c>
      <c r="D1338" s="37" t="s">
        <v>76</v>
      </c>
      <c r="E1338" s="37" t="s">
        <v>6</v>
      </c>
      <c r="F1338" s="37" t="s">
        <v>168</v>
      </c>
      <c r="G1338" s="37" t="s">
        <v>169</v>
      </c>
      <c r="H1338" s="37" t="s">
        <v>170</v>
      </c>
      <c r="I1338" s="37" t="s">
        <v>76</v>
      </c>
      <c r="J1338" s="37" t="s">
        <v>34</v>
      </c>
      <c r="K1338" s="38">
        <v>1.3109999999999999</v>
      </c>
      <c r="L1338" s="39"/>
      <c r="M1338" s="37"/>
      <c r="N1338" s="40">
        <v>1.18</v>
      </c>
      <c r="O1338" s="38">
        <v>1.1743939999999999</v>
      </c>
      <c r="P1338" s="38">
        <v>5.1650000000000003E-3</v>
      </c>
      <c r="Q1338" s="38">
        <v>4.3899999999999999E-4</v>
      </c>
      <c r="R1338" s="40">
        <v>1.18</v>
      </c>
      <c r="S1338" s="38">
        <v>1.1743939999999999</v>
      </c>
      <c r="T1338" s="38">
        <v>5.1650000000000003E-3</v>
      </c>
      <c r="U1338" s="38">
        <v>4.3899999999999999E-4</v>
      </c>
      <c r="V1338" s="8">
        <f t="shared" si="21"/>
        <v>2023</v>
      </c>
    </row>
    <row r="1339" spans="1:22" s="41" customFormat="1" ht="14.4" hidden="1" x14ac:dyDescent="0.3">
      <c r="A1339" s="36">
        <v>45017</v>
      </c>
      <c r="B1339" s="37" t="s">
        <v>23</v>
      </c>
      <c r="C1339" s="37" t="s">
        <v>118</v>
      </c>
      <c r="D1339" s="37" t="s">
        <v>76</v>
      </c>
      <c r="E1339" s="37" t="s">
        <v>6</v>
      </c>
      <c r="F1339" s="37" t="s">
        <v>168</v>
      </c>
      <c r="G1339" s="37" t="s">
        <v>169</v>
      </c>
      <c r="H1339" s="37" t="s">
        <v>170</v>
      </c>
      <c r="I1339" s="37" t="s">
        <v>76</v>
      </c>
      <c r="J1339" s="37" t="s">
        <v>34</v>
      </c>
      <c r="K1339" s="38">
        <v>2.6190000000000002</v>
      </c>
      <c r="L1339" s="39"/>
      <c r="M1339" s="37"/>
      <c r="N1339" s="40">
        <v>2.3570000000000002</v>
      </c>
      <c r="O1339" s="38">
        <v>2.3460999999999999</v>
      </c>
      <c r="P1339" s="38">
        <v>1.0317E-2</v>
      </c>
      <c r="Q1339" s="38">
        <v>8.7699999999999996E-4</v>
      </c>
      <c r="R1339" s="40">
        <v>2.3570000000000002</v>
      </c>
      <c r="S1339" s="38">
        <v>2.3460999999999999</v>
      </c>
      <c r="T1339" s="38">
        <v>1.0317E-2</v>
      </c>
      <c r="U1339" s="38">
        <v>8.7699999999999996E-4</v>
      </c>
      <c r="V1339" s="8">
        <f t="shared" si="21"/>
        <v>2023</v>
      </c>
    </row>
    <row r="1340" spans="1:22" s="41" customFormat="1" ht="14.4" hidden="1" x14ac:dyDescent="0.3">
      <c r="A1340" s="36">
        <v>45047</v>
      </c>
      <c r="B1340" s="37" t="s">
        <v>23</v>
      </c>
      <c r="C1340" s="37" t="s">
        <v>118</v>
      </c>
      <c r="D1340" s="37" t="s">
        <v>76</v>
      </c>
      <c r="E1340" s="37" t="s">
        <v>6</v>
      </c>
      <c r="F1340" s="37" t="s">
        <v>168</v>
      </c>
      <c r="G1340" s="37" t="s">
        <v>169</v>
      </c>
      <c r="H1340" s="37" t="s">
        <v>170</v>
      </c>
      <c r="I1340" s="37" t="s">
        <v>76</v>
      </c>
      <c r="J1340" s="37" t="s">
        <v>34</v>
      </c>
      <c r="K1340" s="38">
        <v>2.5409999999999999</v>
      </c>
      <c r="L1340" s="39"/>
      <c r="M1340" s="37"/>
      <c r="N1340" s="40">
        <v>2.2869999999999999</v>
      </c>
      <c r="O1340" s="38">
        <v>2.2762280000000001</v>
      </c>
      <c r="P1340" s="38">
        <v>1.001E-2</v>
      </c>
      <c r="Q1340" s="38">
        <v>8.5099999999999998E-4</v>
      </c>
      <c r="R1340" s="40">
        <v>2.2869999999999999</v>
      </c>
      <c r="S1340" s="38">
        <v>2.2762280000000001</v>
      </c>
      <c r="T1340" s="38">
        <v>1.001E-2</v>
      </c>
      <c r="U1340" s="38">
        <v>8.5099999999999998E-4</v>
      </c>
      <c r="V1340" s="8">
        <f t="shared" si="21"/>
        <v>2023</v>
      </c>
    </row>
    <row r="1341" spans="1:22" s="41" customFormat="1" ht="14.4" hidden="1" x14ac:dyDescent="0.3">
      <c r="A1341" s="36">
        <v>45078</v>
      </c>
      <c r="B1341" s="37" t="s">
        <v>23</v>
      </c>
      <c r="C1341" s="37" t="s">
        <v>118</v>
      </c>
      <c r="D1341" s="37" t="s">
        <v>76</v>
      </c>
      <c r="E1341" s="37" t="s">
        <v>6</v>
      </c>
      <c r="F1341" s="37" t="s">
        <v>168</v>
      </c>
      <c r="G1341" s="37" t="s">
        <v>169</v>
      </c>
      <c r="H1341" s="37" t="s">
        <v>170</v>
      </c>
      <c r="I1341" s="37" t="s">
        <v>76</v>
      </c>
      <c r="J1341" s="37" t="s">
        <v>34</v>
      </c>
      <c r="K1341" s="38">
        <v>2.7570000000000001</v>
      </c>
      <c r="L1341" s="39"/>
      <c r="M1341" s="37"/>
      <c r="N1341" s="40">
        <v>2.4820000000000002</v>
      </c>
      <c r="O1341" s="38">
        <v>2.4697209999999998</v>
      </c>
      <c r="P1341" s="38">
        <v>1.0861000000000001E-2</v>
      </c>
      <c r="Q1341" s="38">
        <v>9.2299999999999999E-4</v>
      </c>
      <c r="R1341" s="40">
        <v>2.4820000000000002</v>
      </c>
      <c r="S1341" s="38">
        <v>2.4697209999999998</v>
      </c>
      <c r="T1341" s="38">
        <v>1.0861000000000001E-2</v>
      </c>
      <c r="U1341" s="38">
        <v>9.2299999999999999E-4</v>
      </c>
      <c r="V1341" s="8">
        <f t="shared" si="21"/>
        <v>2023</v>
      </c>
    </row>
    <row r="1342" spans="1:22" s="41" customFormat="1" ht="14.4" hidden="1" x14ac:dyDescent="0.3">
      <c r="A1342" s="36">
        <v>45108</v>
      </c>
      <c r="B1342" s="37" t="s">
        <v>23</v>
      </c>
      <c r="C1342" s="37" t="s">
        <v>118</v>
      </c>
      <c r="D1342" s="37" t="s">
        <v>76</v>
      </c>
      <c r="E1342" s="37" t="s">
        <v>6</v>
      </c>
      <c r="F1342" s="37" t="s">
        <v>168</v>
      </c>
      <c r="G1342" s="37" t="s">
        <v>169</v>
      </c>
      <c r="H1342" s="37" t="s">
        <v>170</v>
      </c>
      <c r="I1342" s="37" t="s">
        <v>76</v>
      </c>
      <c r="J1342" s="37" t="s">
        <v>34</v>
      </c>
      <c r="K1342" s="38">
        <v>2.3969999999999998</v>
      </c>
      <c r="L1342" s="39"/>
      <c r="M1342" s="37"/>
      <c r="N1342" s="40">
        <v>2.157</v>
      </c>
      <c r="O1342" s="38">
        <v>2.1472329999999999</v>
      </c>
      <c r="P1342" s="38">
        <v>9.443E-3</v>
      </c>
      <c r="Q1342" s="38">
        <v>8.03E-4</v>
      </c>
      <c r="R1342" s="40">
        <v>2.157</v>
      </c>
      <c r="S1342" s="38">
        <v>2.1472329999999999</v>
      </c>
      <c r="T1342" s="38">
        <v>9.443E-3</v>
      </c>
      <c r="U1342" s="38">
        <v>8.03E-4</v>
      </c>
      <c r="V1342" s="8">
        <f t="shared" si="21"/>
        <v>2023</v>
      </c>
    </row>
    <row r="1343" spans="1:22" s="41" customFormat="1" ht="14.4" hidden="1" x14ac:dyDescent="0.3">
      <c r="A1343" s="36">
        <v>45139</v>
      </c>
      <c r="B1343" s="37" t="s">
        <v>23</v>
      </c>
      <c r="C1343" s="37" t="s">
        <v>118</v>
      </c>
      <c r="D1343" s="37" t="s">
        <v>76</v>
      </c>
      <c r="E1343" s="37" t="s">
        <v>6</v>
      </c>
      <c r="F1343" s="37" t="s">
        <v>168</v>
      </c>
      <c r="G1343" s="37" t="s">
        <v>169</v>
      </c>
      <c r="H1343" s="37" t="s">
        <v>170</v>
      </c>
      <c r="I1343" s="37" t="s">
        <v>76</v>
      </c>
      <c r="J1343" s="37" t="s">
        <v>34</v>
      </c>
      <c r="K1343" s="38">
        <v>2.8290000000000002</v>
      </c>
      <c r="L1343" s="39"/>
      <c r="M1343" s="37"/>
      <c r="N1343" s="40">
        <v>2.5459999999999998</v>
      </c>
      <c r="O1343" s="38">
        <v>2.5342180000000001</v>
      </c>
      <c r="P1343" s="38">
        <v>1.1145E-2</v>
      </c>
      <c r="Q1343" s="38">
        <v>9.4700000000000003E-4</v>
      </c>
      <c r="R1343" s="40">
        <v>2.5459999999999998</v>
      </c>
      <c r="S1343" s="38">
        <v>2.5342180000000001</v>
      </c>
      <c r="T1343" s="38">
        <v>1.1145E-2</v>
      </c>
      <c r="U1343" s="38">
        <v>9.4700000000000003E-4</v>
      </c>
      <c r="V1343" s="8">
        <f t="shared" si="21"/>
        <v>2023</v>
      </c>
    </row>
    <row r="1344" spans="1:22" s="41" customFormat="1" ht="14.4" hidden="1" x14ac:dyDescent="0.3">
      <c r="A1344" s="36">
        <v>45170</v>
      </c>
      <c r="B1344" s="37" t="s">
        <v>23</v>
      </c>
      <c r="C1344" s="37" t="s">
        <v>118</v>
      </c>
      <c r="D1344" s="37" t="s">
        <v>76</v>
      </c>
      <c r="E1344" s="37" t="s">
        <v>6</v>
      </c>
      <c r="F1344" s="37" t="s">
        <v>168</v>
      </c>
      <c r="G1344" s="37" t="s">
        <v>169</v>
      </c>
      <c r="H1344" s="37" t="s">
        <v>170</v>
      </c>
      <c r="I1344" s="37" t="s">
        <v>76</v>
      </c>
      <c r="J1344" s="37" t="s">
        <v>34</v>
      </c>
      <c r="K1344" s="38">
        <v>2.5409999999999999</v>
      </c>
      <c r="L1344" s="42">
        <v>523.69460400000003</v>
      </c>
      <c r="M1344" s="37"/>
      <c r="N1344" s="40">
        <v>2.2869999999999999</v>
      </c>
      <c r="O1344" s="38">
        <v>2.2762280000000001</v>
      </c>
      <c r="P1344" s="38">
        <v>1.001E-2</v>
      </c>
      <c r="Q1344" s="38">
        <v>8.5099999999999998E-4</v>
      </c>
      <c r="R1344" s="40">
        <v>2.2869999999999999</v>
      </c>
      <c r="S1344" s="38">
        <v>2.2762280000000001</v>
      </c>
      <c r="T1344" s="38">
        <v>1.001E-2</v>
      </c>
      <c r="U1344" s="38">
        <v>8.5099999999999998E-4</v>
      </c>
      <c r="V1344" s="8">
        <f t="shared" si="21"/>
        <v>2023</v>
      </c>
    </row>
    <row r="1345" spans="1:22" s="41" customFormat="1" ht="14.4" hidden="1" x14ac:dyDescent="0.3">
      <c r="A1345" s="36">
        <v>45200</v>
      </c>
      <c r="B1345" s="37" t="s">
        <v>23</v>
      </c>
      <c r="C1345" s="37" t="s">
        <v>118</v>
      </c>
      <c r="D1345" s="37" t="s">
        <v>76</v>
      </c>
      <c r="E1345" s="37" t="s">
        <v>6</v>
      </c>
      <c r="F1345" s="37" t="s">
        <v>168</v>
      </c>
      <c r="G1345" s="37" t="s">
        <v>169</v>
      </c>
      <c r="H1345" s="37" t="s">
        <v>170</v>
      </c>
      <c r="I1345" s="37" t="s">
        <v>76</v>
      </c>
      <c r="J1345" s="37" t="s">
        <v>34</v>
      </c>
      <c r="K1345" s="38">
        <v>3.5249999999999999</v>
      </c>
      <c r="L1345" s="39"/>
      <c r="M1345" s="37"/>
      <c r="N1345" s="40">
        <v>3.173</v>
      </c>
      <c r="O1345" s="38">
        <v>3.1576949999999999</v>
      </c>
      <c r="P1345" s="38">
        <v>1.3886000000000001E-2</v>
      </c>
      <c r="Q1345" s="38">
        <v>1.1800000000000001E-3</v>
      </c>
      <c r="R1345" s="40">
        <v>3.173</v>
      </c>
      <c r="S1345" s="38">
        <v>3.1576949999999999</v>
      </c>
      <c r="T1345" s="38">
        <v>1.3886000000000001E-2</v>
      </c>
      <c r="U1345" s="38">
        <v>1.1800000000000001E-3</v>
      </c>
      <c r="V1345" s="8">
        <f t="shared" si="21"/>
        <v>2023</v>
      </c>
    </row>
    <row r="1346" spans="1:22" s="41" customFormat="1" ht="14.4" hidden="1" x14ac:dyDescent="0.3">
      <c r="A1346" s="36">
        <v>45261</v>
      </c>
      <c r="B1346" s="37" t="s">
        <v>23</v>
      </c>
      <c r="C1346" s="37" t="s">
        <v>118</v>
      </c>
      <c r="D1346" s="37" t="s">
        <v>76</v>
      </c>
      <c r="E1346" s="37" t="s">
        <v>6</v>
      </c>
      <c r="F1346" s="37" t="s">
        <v>168</v>
      </c>
      <c r="G1346" s="37" t="s">
        <v>169</v>
      </c>
      <c r="H1346" s="37" t="s">
        <v>170</v>
      </c>
      <c r="I1346" s="37" t="s">
        <v>76</v>
      </c>
      <c r="J1346" s="37" t="s">
        <v>34</v>
      </c>
      <c r="K1346" s="38">
        <v>2.5409999999999999</v>
      </c>
      <c r="L1346" s="39"/>
      <c r="M1346" s="37"/>
      <c r="N1346" s="40">
        <v>2.2869999999999999</v>
      </c>
      <c r="O1346" s="38">
        <v>2.2762280000000001</v>
      </c>
      <c r="P1346" s="38">
        <v>1.001E-2</v>
      </c>
      <c r="Q1346" s="38">
        <v>8.5099999999999998E-4</v>
      </c>
      <c r="R1346" s="40">
        <v>2.2869999999999999</v>
      </c>
      <c r="S1346" s="38">
        <v>2.2762280000000001</v>
      </c>
      <c r="T1346" s="38">
        <v>1.001E-2</v>
      </c>
      <c r="U1346" s="38">
        <v>8.5099999999999998E-4</v>
      </c>
      <c r="V1346" s="8">
        <f t="shared" si="21"/>
        <v>2023</v>
      </c>
    </row>
    <row r="1347" spans="1:22" s="41" customFormat="1" ht="14.4" hidden="1" x14ac:dyDescent="0.3">
      <c r="A1347" s="36">
        <v>44927</v>
      </c>
      <c r="B1347" s="37" t="s">
        <v>27</v>
      </c>
      <c r="C1347" s="37" t="s">
        <v>118</v>
      </c>
      <c r="D1347" s="37" t="s">
        <v>76</v>
      </c>
      <c r="E1347" s="37" t="s">
        <v>7</v>
      </c>
      <c r="F1347" s="37" t="s">
        <v>168</v>
      </c>
      <c r="G1347" s="37" t="s">
        <v>169</v>
      </c>
      <c r="H1347" s="37" t="s">
        <v>170</v>
      </c>
      <c r="I1347" s="37" t="s">
        <v>76</v>
      </c>
      <c r="J1347" s="37" t="s">
        <v>36</v>
      </c>
      <c r="K1347" s="38">
        <v>12</v>
      </c>
      <c r="L1347" s="39"/>
      <c r="M1347" s="37"/>
      <c r="N1347" s="40">
        <v>6.2439999999999998</v>
      </c>
      <c r="O1347" s="38">
        <v>6.2440160000000002</v>
      </c>
      <c r="P1347" s="39"/>
      <c r="Q1347" s="39"/>
      <c r="R1347" s="40">
        <v>6.2439999999999998</v>
      </c>
      <c r="S1347" s="38">
        <v>6.2440160000000002</v>
      </c>
      <c r="T1347" s="39"/>
      <c r="U1347" s="39"/>
      <c r="V1347" s="8">
        <f t="shared" si="21"/>
        <v>2023</v>
      </c>
    </row>
    <row r="1348" spans="1:22" s="41" customFormat="1" ht="14.4" hidden="1" x14ac:dyDescent="0.3">
      <c r="A1348" s="36">
        <v>44927</v>
      </c>
      <c r="B1348" s="37" t="s">
        <v>30</v>
      </c>
      <c r="C1348" s="37" t="s">
        <v>118</v>
      </c>
      <c r="D1348" s="37" t="s">
        <v>76</v>
      </c>
      <c r="E1348" s="37" t="s">
        <v>7</v>
      </c>
      <c r="F1348" s="37" t="s">
        <v>168</v>
      </c>
      <c r="G1348" s="37" t="s">
        <v>169</v>
      </c>
      <c r="H1348" s="37" t="s">
        <v>170</v>
      </c>
      <c r="I1348" s="37" t="s">
        <v>76</v>
      </c>
      <c r="J1348" s="37" t="s">
        <v>52</v>
      </c>
      <c r="K1348" s="38">
        <v>13.227736</v>
      </c>
      <c r="L1348" s="39"/>
      <c r="M1348" s="37"/>
      <c r="N1348" s="40">
        <v>6.2439999999999998</v>
      </c>
      <c r="O1348" s="38">
        <v>6.2440170000000004</v>
      </c>
      <c r="P1348" s="39"/>
      <c r="Q1348" s="39"/>
      <c r="R1348" s="40">
        <v>6.2439999999999998</v>
      </c>
      <c r="S1348" s="38">
        <v>6.2440170000000004</v>
      </c>
      <c r="T1348" s="39"/>
      <c r="U1348" s="39"/>
      <c r="V1348" s="8">
        <f t="shared" si="21"/>
        <v>2023</v>
      </c>
    </row>
    <row r="1349" spans="1:22" s="41" customFormat="1" ht="14.4" hidden="1" x14ac:dyDescent="0.3">
      <c r="A1349" s="36">
        <v>44958</v>
      </c>
      <c r="B1349" s="37" t="s">
        <v>27</v>
      </c>
      <c r="C1349" s="37" t="s">
        <v>118</v>
      </c>
      <c r="D1349" s="37" t="s">
        <v>76</v>
      </c>
      <c r="E1349" s="37" t="s">
        <v>7</v>
      </c>
      <c r="F1349" s="37" t="s">
        <v>168</v>
      </c>
      <c r="G1349" s="37" t="s">
        <v>169</v>
      </c>
      <c r="H1349" s="37" t="s">
        <v>170</v>
      </c>
      <c r="I1349" s="37" t="s">
        <v>76</v>
      </c>
      <c r="J1349" s="37" t="s">
        <v>36</v>
      </c>
      <c r="K1349" s="38">
        <v>12</v>
      </c>
      <c r="L1349" s="39"/>
      <c r="M1349" s="37"/>
      <c r="N1349" s="40">
        <v>6.2439999999999998</v>
      </c>
      <c r="O1349" s="38">
        <v>6.2440160000000002</v>
      </c>
      <c r="P1349" s="39"/>
      <c r="Q1349" s="39"/>
      <c r="R1349" s="40">
        <v>6.2439999999999998</v>
      </c>
      <c r="S1349" s="38">
        <v>6.2440160000000002</v>
      </c>
      <c r="T1349" s="39"/>
      <c r="U1349" s="39"/>
      <c r="V1349" s="8">
        <f t="shared" si="21"/>
        <v>2023</v>
      </c>
    </row>
    <row r="1350" spans="1:22" s="41" customFormat="1" ht="14.4" hidden="1" x14ac:dyDescent="0.3">
      <c r="A1350" s="36">
        <v>44958</v>
      </c>
      <c r="B1350" s="37" t="s">
        <v>30</v>
      </c>
      <c r="C1350" s="37" t="s">
        <v>118</v>
      </c>
      <c r="D1350" s="37" t="s">
        <v>76</v>
      </c>
      <c r="E1350" s="37" t="s">
        <v>7</v>
      </c>
      <c r="F1350" s="37" t="s">
        <v>168</v>
      </c>
      <c r="G1350" s="37" t="s">
        <v>169</v>
      </c>
      <c r="H1350" s="37" t="s">
        <v>170</v>
      </c>
      <c r="I1350" s="37" t="s">
        <v>76</v>
      </c>
      <c r="J1350" s="37" t="s">
        <v>52</v>
      </c>
      <c r="K1350" s="38">
        <v>13.227736</v>
      </c>
      <c r="L1350" s="39"/>
      <c r="M1350" s="37"/>
      <c r="N1350" s="40">
        <v>6.2439999999999998</v>
      </c>
      <c r="O1350" s="38">
        <v>6.2440170000000004</v>
      </c>
      <c r="P1350" s="39"/>
      <c r="Q1350" s="39"/>
      <c r="R1350" s="40">
        <v>6.2439999999999998</v>
      </c>
      <c r="S1350" s="38">
        <v>6.2440170000000004</v>
      </c>
      <c r="T1350" s="39"/>
      <c r="U1350" s="39"/>
      <c r="V1350" s="8">
        <f t="shared" si="21"/>
        <v>2023</v>
      </c>
    </row>
    <row r="1351" spans="1:22" s="41" customFormat="1" ht="14.4" hidden="1" x14ac:dyDescent="0.3">
      <c r="A1351" s="36">
        <v>44986</v>
      </c>
      <c r="B1351" s="37" t="s">
        <v>27</v>
      </c>
      <c r="C1351" s="37" t="s">
        <v>118</v>
      </c>
      <c r="D1351" s="37" t="s">
        <v>76</v>
      </c>
      <c r="E1351" s="37" t="s">
        <v>7</v>
      </c>
      <c r="F1351" s="37" t="s">
        <v>168</v>
      </c>
      <c r="G1351" s="37" t="s">
        <v>169</v>
      </c>
      <c r="H1351" s="37" t="s">
        <v>170</v>
      </c>
      <c r="I1351" s="37" t="s">
        <v>76</v>
      </c>
      <c r="J1351" s="37" t="s">
        <v>36</v>
      </c>
      <c r="K1351" s="38">
        <v>12</v>
      </c>
      <c r="L1351" s="39"/>
      <c r="M1351" s="37"/>
      <c r="N1351" s="40">
        <v>6.2439999999999998</v>
      </c>
      <c r="O1351" s="38">
        <v>6.2440160000000002</v>
      </c>
      <c r="P1351" s="39"/>
      <c r="Q1351" s="39"/>
      <c r="R1351" s="40">
        <v>6.2439999999999998</v>
      </c>
      <c r="S1351" s="38">
        <v>6.2440160000000002</v>
      </c>
      <c r="T1351" s="39"/>
      <c r="U1351" s="39"/>
      <c r="V1351" s="8">
        <f t="shared" si="21"/>
        <v>2023</v>
      </c>
    </row>
    <row r="1352" spans="1:22" s="41" customFormat="1" ht="14.4" hidden="1" x14ac:dyDescent="0.3">
      <c r="A1352" s="36">
        <v>44986</v>
      </c>
      <c r="B1352" s="37" t="s">
        <v>30</v>
      </c>
      <c r="C1352" s="37" t="s">
        <v>118</v>
      </c>
      <c r="D1352" s="37" t="s">
        <v>76</v>
      </c>
      <c r="E1352" s="37" t="s">
        <v>7</v>
      </c>
      <c r="F1352" s="37" t="s">
        <v>168</v>
      </c>
      <c r="G1352" s="37" t="s">
        <v>169</v>
      </c>
      <c r="H1352" s="37" t="s">
        <v>170</v>
      </c>
      <c r="I1352" s="37" t="s">
        <v>76</v>
      </c>
      <c r="J1352" s="37" t="s">
        <v>52</v>
      </c>
      <c r="K1352" s="38">
        <v>13.227736</v>
      </c>
      <c r="L1352" s="39"/>
      <c r="M1352" s="37"/>
      <c r="N1352" s="40">
        <v>6.2439999999999998</v>
      </c>
      <c r="O1352" s="38">
        <v>6.2440170000000004</v>
      </c>
      <c r="P1352" s="39"/>
      <c r="Q1352" s="39"/>
      <c r="R1352" s="40">
        <v>6.2439999999999998</v>
      </c>
      <c r="S1352" s="38">
        <v>6.2440170000000004</v>
      </c>
      <c r="T1352" s="39"/>
      <c r="U1352" s="39"/>
      <c r="V1352" s="8">
        <f t="shared" si="21"/>
        <v>2023</v>
      </c>
    </row>
    <row r="1353" spans="1:22" s="41" customFormat="1" ht="14.4" hidden="1" x14ac:dyDescent="0.3">
      <c r="A1353" s="36">
        <v>45017</v>
      </c>
      <c r="B1353" s="37" t="s">
        <v>27</v>
      </c>
      <c r="C1353" s="37" t="s">
        <v>118</v>
      </c>
      <c r="D1353" s="37" t="s">
        <v>76</v>
      </c>
      <c r="E1353" s="37" t="s">
        <v>7</v>
      </c>
      <c r="F1353" s="37" t="s">
        <v>168</v>
      </c>
      <c r="G1353" s="37" t="s">
        <v>169</v>
      </c>
      <c r="H1353" s="37" t="s">
        <v>170</v>
      </c>
      <c r="I1353" s="37" t="s">
        <v>76</v>
      </c>
      <c r="J1353" s="37" t="s">
        <v>36</v>
      </c>
      <c r="K1353" s="38">
        <v>12</v>
      </c>
      <c r="L1353" s="39"/>
      <c r="M1353" s="37"/>
      <c r="N1353" s="40">
        <v>6.2439999999999998</v>
      </c>
      <c r="O1353" s="38">
        <v>6.2440160000000002</v>
      </c>
      <c r="P1353" s="39"/>
      <c r="Q1353" s="39"/>
      <c r="R1353" s="40">
        <v>6.2439999999999998</v>
      </c>
      <c r="S1353" s="38">
        <v>6.2440160000000002</v>
      </c>
      <c r="T1353" s="39"/>
      <c r="U1353" s="39"/>
      <c r="V1353" s="8">
        <f t="shared" si="21"/>
        <v>2023</v>
      </c>
    </row>
    <row r="1354" spans="1:22" s="41" customFormat="1" ht="14.4" hidden="1" x14ac:dyDescent="0.3">
      <c r="A1354" s="36">
        <v>45017</v>
      </c>
      <c r="B1354" s="37" t="s">
        <v>30</v>
      </c>
      <c r="C1354" s="37" t="s">
        <v>118</v>
      </c>
      <c r="D1354" s="37" t="s">
        <v>76</v>
      </c>
      <c r="E1354" s="37" t="s">
        <v>7</v>
      </c>
      <c r="F1354" s="37" t="s">
        <v>168</v>
      </c>
      <c r="G1354" s="37" t="s">
        <v>169</v>
      </c>
      <c r="H1354" s="37" t="s">
        <v>170</v>
      </c>
      <c r="I1354" s="37" t="s">
        <v>76</v>
      </c>
      <c r="J1354" s="37" t="s">
        <v>52</v>
      </c>
      <c r="K1354" s="38">
        <v>13.227736</v>
      </c>
      <c r="L1354" s="39"/>
      <c r="M1354" s="37"/>
      <c r="N1354" s="40">
        <v>6.2439999999999998</v>
      </c>
      <c r="O1354" s="38">
        <v>6.2440170000000004</v>
      </c>
      <c r="P1354" s="39"/>
      <c r="Q1354" s="39"/>
      <c r="R1354" s="40">
        <v>6.2439999999999998</v>
      </c>
      <c r="S1354" s="38">
        <v>6.2440170000000004</v>
      </c>
      <c r="T1354" s="39"/>
      <c r="U1354" s="39"/>
      <c r="V1354" s="8">
        <f t="shared" si="21"/>
        <v>2023</v>
      </c>
    </row>
    <row r="1355" spans="1:22" s="41" customFormat="1" ht="14.4" hidden="1" x14ac:dyDescent="0.3">
      <c r="A1355" s="36">
        <v>45047</v>
      </c>
      <c r="B1355" s="37" t="s">
        <v>27</v>
      </c>
      <c r="C1355" s="37" t="s">
        <v>118</v>
      </c>
      <c r="D1355" s="37" t="s">
        <v>76</v>
      </c>
      <c r="E1355" s="37" t="s">
        <v>7</v>
      </c>
      <c r="F1355" s="37" t="s">
        <v>168</v>
      </c>
      <c r="G1355" s="37" t="s">
        <v>169</v>
      </c>
      <c r="H1355" s="37" t="s">
        <v>170</v>
      </c>
      <c r="I1355" s="37" t="s">
        <v>76</v>
      </c>
      <c r="J1355" s="37" t="s">
        <v>36</v>
      </c>
      <c r="K1355" s="38">
        <v>12</v>
      </c>
      <c r="L1355" s="39"/>
      <c r="M1355" s="37"/>
      <c r="N1355" s="40">
        <v>6.2439999999999998</v>
      </c>
      <c r="O1355" s="38">
        <v>6.2440160000000002</v>
      </c>
      <c r="P1355" s="39"/>
      <c r="Q1355" s="39"/>
      <c r="R1355" s="40">
        <v>6.2439999999999998</v>
      </c>
      <c r="S1355" s="38">
        <v>6.2440160000000002</v>
      </c>
      <c r="T1355" s="39"/>
      <c r="U1355" s="39"/>
      <c r="V1355" s="8">
        <f t="shared" si="21"/>
        <v>2023</v>
      </c>
    </row>
    <row r="1356" spans="1:22" s="41" customFormat="1" ht="14.4" hidden="1" x14ac:dyDescent="0.3">
      <c r="A1356" s="36">
        <v>45047</v>
      </c>
      <c r="B1356" s="37" t="s">
        <v>30</v>
      </c>
      <c r="C1356" s="37" t="s">
        <v>118</v>
      </c>
      <c r="D1356" s="37" t="s">
        <v>76</v>
      </c>
      <c r="E1356" s="37" t="s">
        <v>7</v>
      </c>
      <c r="F1356" s="37" t="s">
        <v>168</v>
      </c>
      <c r="G1356" s="37" t="s">
        <v>169</v>
      </c>
      <c r="H1356" s="37" t="s">
        <v>170</v>
      </c>
      <c r="I1356" s="37" t="s">
        <v>76</v>
      </c>
      <c r="J1356" s="37" t="s">
        <v>52</v>
      </c>
      <c r="K1356" s="38">
        <v>13.227736</v>
      </c>
      <c r="L1356" s="39"/>
      <c r="M1356" s="37"/>
      <c r="N1356" s="40">
        <v>6.2439999999999998</v>
      </c>
      <c r="O1356" s="38">
        <v>6.2440170000000004</v>
      </c>
      <c r="P1356" s="39"/>
      <c r="Q1356" s="39"/>
      <c r="R1356" s="40">
        <v>6.2439999999999998</v>
      </c>
      <c r="S1356" s="38">
        <v>6.2440170000000004</v>
      </c>
      <c r="T1356" s="39"/>
      <c r="U1356" s="39"/>
      <c r="V1356" s="8">
        <f t="shared" si="21"/>
        <v>2023</v>
      </c>
    </row>
    <row r="1357" spans="1:22" s="41" customFormat="1" ht="14.4" hidden="1" x14ac:dyDescent="0.3">
      <c r="A1357" s="36">
        <v>45078</v>
      </c>
      <c r="B1357" s="37" t="s">
        <v>27</v>
      </c>
      <c r="C1357" s="37" t="s">
        <v>118</v>
      </c>
      <c r="D1357" s="37" t="s">
        <v>76</v>
      </c>
      <c r="E1357" s="37" t="s">
        <v>7</v>
      </c>
      <c r="F1357" s="37" t="s">
        <v>168</v>
      </c>
      <c r="G1357" s="37" t="s">
        <v>169</v>
      </c>
      <c r="H1357" s="37" t="s">
        <v>170</v>
      </c>
      <c r="I1357" s="37" t="s">
        <v>76</v>
      </c>
      <c r="J1357" s="37" t="s">
        <v>36</v>
      </c>
      <c r="K1357" s="38">
        <v>12</v>
      </c>
      <c r="L1357" s="39"/>
      <c r="M1357" s="37"/>
      <c r="N1357" s="40">
        <v>6.2439999999999998</v>
      </c>
      <c r="O1357" s="38">
        <v>6.2440160000000002</v>
      </c>
      <c r="P1357" s="39"/>
      <c r="Q1357" s="39"/>
      <c r="R1357" s="40">
        <v>6.2439999999999998</v>
      </c>
      <c r="S1357" s="38">
        <v>6.2440160000000002</v>
      </c>
      <c r="T1357" s="39"/>
      <c r="U1357" s="39"/>
      <c r="V1357" s="8">
        <f t="shared" si="21"/>
        <v>2023</v>
      </c>
    </row>
    <row r="1358" spans="1:22" s="41" customFormat="1" ht="14.4" hidden="1" x14ac:dyDescent="0.3">
      <c r="A1358" s="36">
        <v>45078</v>
      </c>
      <c r="B1358" s="37" t="s">
        <v>30</v>
      </c>
      <c r="C1358" s="37" t="s">
        <v>118</v>
      </c>
      <c r="D1358" s="37" t="s">
        <v>76</v>
      </c>
      <c r="E1358" s="37" t="s">
        <v>7</v>
      </c>
      <c r="F1358" s="37" t="s">
        <v>168</v>
      </c>
      <c r="G1358" s="37" t="s">
        <v>169</v>
      </c>
      <c r="H1358" s="37" t="s">
        <v>170</v>
      </c>
      <c r="I1358" s="37" t="s">
        <v>76</v>
      </c>
      <c r="J1358" s="37" t="s">
        <v>52</v>
      </c>
      <c r="K1358" s="38">
        <v>13.227736</v>
      </c>
      <c r="L1358" s="39"/>
      <c r="M1358" s="37"/>
      <c r="N1358" s="40">
        <v>6.2439999999999998</v>
      </c>
      <c r="O1358" s="38">
        <v>6.2440170000000004</v>
      </c>
      <c r="P1358" s="39"/>
      <c r="Q1358" s="39"/>
      <c r="R1358" s="40">
        <v>6.2439999999999998</v>
      </c>
      <c r="S1358" s="38">
        <v>6.2440170000000004</v>
      </c>
      <c r="T1358" s="39"/>
      <c r="U1358" s="39"/>
      <c r="V1358" s="8">
        <f t="shared" si="21"/>
        <v>2023</v>
      </c>
    </row>
    <row r="1359" spans="1:22" s="41" customFormat="1" ht="14.4" hidden="1" x14ac:dyDescent="0.3">
      <c r="A1359" s="36">
        <v>45108</v>
      </c>
      <c r="B1359" s="37" t="s">
        <v>27</v>
      </c>
      <c r="C1359" s="37" t="s">
        <v>118</v>
      </c>
      <c r="D1359" s="37" t="s">
        <v>76</v>
      </c>
      <c r="E1359" s="37" t="s">
        <v>7</v>
      </c>
      <c r="F1359" s="37" t="s">
        <v>168</v>
      </c>
      <c r="G1359" s="37" t="s">
        <v>169</v>
      </c>
      <c r="H1359" s="37" t="s">
        <v>170</v>
      </c>
      <c r="I1359" s="37" t="s">
        <v>76</v>
      </c>
      <c r="J1359" s="37" t="s">
        <v>36</v>
      </c>
      <c r="K1359" s="38">
        <v>12</v>
      </c>
      <c r="L1359" s="39"/>
      <c r="M1359" s="37"/>
      <c r="N1359" s="40">
        <v>6.2439999999999998</v>
      </c>
      <c r="O1359" s="38">
        <v>6.2440160000000002</v>
      </c>
      <c r="P1359" s="39"/>
      <c r="Q1359" s="39"/>
      <c r="R1359" s="40">
        <v>6.2439999999999998</v>
      </c>
      <c r="S1359" s="38">
        <v>6.2440160000000002</v>
      </c>
      <c r="T1359" s="39"/>
      <c r="U1359" s="39"/>
      <c r="V1359" s="8">
        <f t="shared" si="21"/>
        <v>2023</v>
      </c>
    </row>
    <row r="1360" spans="1:22" s="41" customFormat="1" ht="14.4" hidden="1" x14ac:dyDescent="0.3">
      <c r="A1360" s="36">
        <v>45108</v>
      </c>
      <c r="B1360" s="37" t="s">
        <v>30</v>
      </c>
      <c r="C1360" s="37" t="s">
        <v>118</v>
      </c>
      <c r="D1360" s="37" t="s">
        <v>76</v>
      </c>
      <c r="E1360" s="37" t="s">
        <v>7</v>
      </c>
      <c r="F1360" s="37" t="s">
        <v>168</v>
      </c>
      <c r="G1360" s="37" t="s">
        <v>169</v>
      </c>
      <c r="H1360" s="37" t="s">
        <v>170</v>
      </c>
      <c r="I1360" s="37" t="s">
        <v>76</v>
      </c>
      <c r="J1360" s="37" t="s">
        <v>52</v>
      </c>
      <c r="K1360" s="38">
        <v>13.227736</v>
      </c>
      <c r="L1360" s="39"/>
      <c r="M1360" s="37"/>
      <c r="N1360" s="40">
        <v>6.2439999999999998</v>
      </c>
      <c r="O1360" s="38">
        <v>6.2440170000000004</v>
      </c>
      <c r="P1360" s="39"/>
      <c r="Q1360" s="39"/>
      <c r="R1360" s="40">
        <v>6.2439999999999998</v>
      </c>
      <c r="S1360" s="38">
        <v>6.2440170000000004</v>
      </c>
      <c r="T1360" s="39"/>
      <c r="U1360" s="39"/>
      <c r="V1360" s="8">
        <f t="shared" si="21"/>
        <v>2023</v>
      </c>
    </row>
    <row r="1361" spans="1:22" s="41" customFormat="1" ht="14.4" hidden="1" x14ac:dyDescent="0.3">
      <c r="A1361" s="36">
        <v>45139</v>
      </c>
      <c r="B1361" s="37" t="s">
        <v>27</v>
      </c>
      <c r="C1361" s="37" t="s">
        <v>118</v>
      </c>
      <c r="D1361" s="37" t="s">
        <v>76</v>
      </c>
      <c r="E1361" s="37" t="s">
        <v>7</v>
      </c>
      <c r="F1361" s="37" t="s">
        <v>168</v>
      </c>
      <c r="G1361" s="37" t="s">
        <v>169</v>
      </c>
      <c r="H1361" s="37" t="s">
        <v>170</v>
      </c>
      <c r="I1361" s="37" t="s">
        <v>76</v>
      </c>
      <c r="J1361" s="37" t="s">
        <v>36</v>
      </c>
      <c r="K1361" s="38">
        <v>12</v>
      </c>
      <c r="L1361" s="39"/>
      <c r="M1361" s="37"/>
      <c r="N1361" s="40">
        <v>6.2439999999999998</v>
      </c>
      <c r="O1361" s="38">
        <v>6.2440160000000002</v>
      </c>
      <c r="P1361" s="39"/>
      <c r="Q1361" s="39"/>
      <c r="R1361" s="40">
        <v>6.2439999999999998</v>
      </c>
      <c r="S1361" s="38">
        <v>6.2440160000000002</v>
      </c>
      <c r="T1361" s="39"/>
      <c r="U1361" s="39"/>
      <c r="V1361" s="8">
        <f t="shared" si="21"/>
        <v>2023</v>
      </c>
    </row>
    <row r="1362" spans="1:22" s="41" customFormat="1" ht="14.4" hidden="1" x14ac:dyDescent="0.3">
      <c r="A1362" s="36">
        <v>45139</v>
      </c>
      <c r="B1362" s="37" t="s">
        <v>30</v>
      </c>
      <c r="C1362" s="37" t="s">
        <v>118</v>
      </c>
      <c r="D1362" s="37" t="s">
        <v>76</v>
      </c>
      <c r="E1362" s="37" t="s">
        <v>7</v>
      </c>
      <c r="F1362" s="37" t="s">
        <v>168</v>
      </c>
      <c r="G1362" s="37" t="s">
        <v>169</v>
      </c>
      <c r="H1362" s="37" t="s">
        <v>170</v>
      </c>
      <c r="I1362" s="37" t="s">
        <v>76</v>
      </c>
      <c r="J1362" s="37" t="s">
        <v>52</v>
      </c>
      <c r="K1362" s="38">
        <v>13.227736</v>
      </c>
      <c r="L1362" s="39"/>
      <c r="M1362" s="37"/>
      <c r="N1362" s="40">
        <v>6.2439999999999998</v>
      </c>
      <c r="O1362" s="38">
        <v>6.2440170000000004</v>
      </c>
      <c r="P1362" s="39"/>
      <c r="Q1362" s="39"/>
      <c r="R1362" s="40">
        <v>6.2439999999999998</v>
      </c>
      <c r="S1362" s="38">
        <v>6.2440170000000004</v>
      </c>
      <c r="T1362" s="39"/>
      <c r="U1362" s="39"/>
      <c r="V1362" s="8">
        <f t="shared" si="21"/>
        <v>2023</v>
      </c>
    </row>
    <row r="1363" spans="1:22" s="41" customFormat="1" ht="14.4" hidden="1" x14ac:dyDescent="0.3">
      <c r="A1363" s="36">
        <v>45170</v>
      </c>
      <c r="B1363" s="37" t="s">
        <v>27</v>
      </c>
      <c r="C1363" s="37" t="s">
        <v>118</v>
      </c>
      <c r="D1363" s="37" t="s">
        <v>76</v>
      </c>
      <c r="E1363" s="37" t="s">
        <v>7</v>
      </c>
      <c r="F1363" s="37" t="s">
        <v>168</v>
      </c>
      <c r="G1363" s="37" t="s">
        <v>169</v>
      </c>
      <c r="H1363" s="37" t="s">
        <v>170</v>
      </c>
      <c r="I1363" s="37" t="s">
        <v>76</v>
      </c>
      <c r="J1363" s="37" t="s">
        <v>36</v>
      </c>
      <c r="K1363" s="38">
        <v>12</v>
      </c>
      <c r="L1363" s="39"/>
      <c r="M1363" s="37"/>
      <c r="N1363" s="40">
        <v>6.2439999999999998</v>
      </c>
      <c r="O1363" s="38">
        <v>6.2440160000000002</v>
      </c>
      <c r="P1363" s="39"/>
      <c r="Q1363" s="39"/>
      <c r="R1363" s="40">
        <v>6.2439999999999998</v>
      </c>
      <c r="S1363" s="38">
        <v>6.2440160000000002</v>
      </c>
      <c r="T1363" s="39"/>
      <c r="U1363" s="39"/>
      <c r="V1363" s="8">
        <f t="shared" si="21"/>
        <v>2023</v>
      </c>
    </row>
    <row r="1364" spans="1:22" s="41" customFormat="1" ht="14.4" hidden="1" x14ac:dyDescent="0.3">
      <c r="A1364" s="36">
        <v>45170</v>
      </c>
      <c r="B1364" s="37" t="s">
        <v>30</v>
      </c>
      <c r="C1364" s="37" t="s">
        <v>118</v>
      </c>
      <c r="D1364" s="37" t="s">
        <v>76</v>
      </c>
      <c r="E1364" s="37" t="s">
        <v>7</v>
      </c>
      <c r="F1364" s="37" t="s">
        <v>168</v>
      </c>
      <c r="G1364" s="37" t="s">
        <v>169</v>
      </c>
      <c r="H1364" s="37" t="s">
        <v>170</v>
      </c>
      <c r="I1364" s="37" t="s">
        <v>76</v>
      </c>
      <c r="J1364" s="37" t="s">
        <v>52</v>
      </c>
      <c r="K1364" s="38">
        <v>13.227736</v>
      </c>
      <c r="L1364" s="39"/>
      <c r="M1364" s="37"/>
      <c r="N1364" s="40">
        <v>6.2439999999999998</v>
      </c>
      <c r="O1364" s="38">
        <v>6.2440170000000004</v>
      </c>
      <c r="P1364" s="39"/>
      <c r="Q1364" s="39"/>
      <c r="R1364" s="40">
        <v>6.2439999999999998</v>
      </c>
      <c r="S1364" s="38">
        <v>6.2440170000000004</v>
      </c>
      <c r="T1364" s="39"/>
      <c r="U1364" s="39"/>
      <c r="V1364" s="8">
        <f t="shared" si="21"/>
        <v>2023</v>
      </c>
    </row>
    <row r="1365" spans="1:22" s="41" customFormat="1" ht="14.4" hidden="1" x14ac:dyDescent="0.3">
      <c r="A1365" s="36">
        <v>45200</v>
      </c>
      <c r="B1365" s="37" t="s">
        <v>27</v>
      </c>
      <c r="C1365" s="37" t="s">
        <v>118</v>
      </c>
      <c r="D1365" s="37" t="s">
        <v>76</v>
      </c>
      <c r="E1365" s="37" t="s">
        <v>7</v>
      </c>
      <c r="F1365" s="37" t="s">
        <v>168</v>
      </c>
      <c r="G1365" s="37" t="s">
        <v>169</v>
      </c>
      <c r="H1365" s="37" t="s">
        <v>170</v>
      </c>
      <c r="I1365" s="37" t="s">
        <v>76</v>
      </c>
      <c r="J1365" s="37" t="s">
        <v>36</v>
      </c>
      <c r="K1365" s="38">
        <v>12</v>
      </c>
      <c r="L1365" s="39"/>
      <c r="M1365" s="37"/>
      <c r="N1365" s="40">
        <v>6.2439999999999998</v>
      </c>
      <c r="O1365" s="38">
        <v>6.2440160000000002</v>
      </c>
      <c r="P1365" s="39"/>
      <c r="Q1365" s="39"/>
      <c r="R1365" s="40">
        <v>6.2439999999999998</v>
      </c>
      <c r="S1365" s="38">
        <v>6.2440160000000002</v>
      </c>
      <c r="T1365" s="39"/>
      <c r="U1365" s="39"/>
      <c r="V1365" s="8">
        <f t="shared" si="21"/>
        <v>2023</v>
      </c>
    </row>
    <row r="1366" spans="1:22" s="41" customFormat="1" ht="14.4" hidden="1" x14ac:dyDescent="0.3">
      <c r="A1366" s="36">
        <v>45200</v>
      </c>
      <c r="B1366" s="37" t="s">
        <v>30</v>
      </c>
      <c r="C1366" s="37" t="s">
        <v>118</v>
      </c>
      <c r="D1366" s="37" t="s">
        <v>76</v>
      </c>
      <c r="E1366" s="37" t="s">
        <v>7</v>
      </c>
      <c r="F1366" s="37" t="s">
        <v>168</v>
      </c>
      <c r="G1366" s="37" t="s">
        <v>169</v>
      </c>
      <c r="H1366" s="37" t="s">
        <v>170</v>
      </c>
      <c r="I1366" s="37" t="s">
        <v>76</v>
      </c>
      <c r="J1366" s="37" t="s">
        <v>52</v>
      </c>
      <c r="K1366" s="38">
        <v>13.227736</v>
      </c>
      <c r="L1366" s="39"/>
      <c r="M1366" s="37"/>
      <c r="N1366" s="40">
        <v>6.2439999999999998</v>
      </c>
      <c r="O1366" s="38">
        <v>6.2440170000000004</v>
      </c>
      <c r="P1366" s="39"/>
      <c r="Q1366" s="39"/>
      <c r="R1366" s="40">
        <v>6.2439999999999998</v>
      </c>
      <c r="S1366" s="38">
        <v>6.2440170000000004</v>
      </c>
      <c r="T1366" s="39"/>
      <c r="U1366" s="39"/>
      <c r="V1366" s="8">
        <f t="shared" si="21"/>
        <v>2023</v>
      </c>
    </row>
    <row r="1367" spans="1:22" s="41" customFormat="1" ht="14.4" hidden="1" x14ac:dyDescent="0.3">
      <c r="A1367" s="36">
        <v>45231</v>
      </c>
      <c r="B1367" s="37" t="s">
        <v>27</v>
      </c>
      <c r="C1367" s="37" t="s">
        <v>118</v>
      </c>
      <c r="D1367" s="37" t="s">
        <v>76</v>
      </c>
      <c r="E1367" s="37" t="s">
        <v>7</v>
      </c>
      <c r="F1367" s="37" t="s">
        <v>168</v>
      </c>
      <c r="G1367" s="37" t="s">
        <v>169</v>
      </c>
      <c r="H1367" s="37" t="s">
        <v>170</v>
      </c>
      <c r="I1367" s="37" t="s">
        <v>76</v>
      </c>
      <c r="J1367" s="37" t="s">
        <v>36</v>
      </c>
      <c r="K1367" s="38">
        <v>12</v>
      </c>
      <c r="L1367" s="39"/>
      <c r="M1367" s="37"/>
      <c r="N1367" s="40">
        <v>6.2439999999999998</v>
      </c>
      <c r="O1367" s="38">
        <v>6.2440160000000002</v>
      </c>
      <c r="P1367" s="39"/>
      <c r="Q1367" s="39"/>
      <c r="R1367" s="40">
        <v>6.2439999999999998</v>
      </c>
      <c r="S1367" s="38">
        <v>6.2440160000000002</v>
      </c>
      <c r="T1367" s="39"/>
      <c r="U1367" s="39"/>
      <c r="V1367" s="8">
        <f t="shared" si="21"/>
        <v>2023</v>
      </c>
    </row>
    <row r="1368" spans="1:22" s="41" customFormat="1" ht="14.4" hidden="1" x14ac:dyDescent="0.3">
      <c r="A1368" s="36">
        <v>45231</v>
      </c>
      <c r="B1368" s="37" t="s">
        <v>30</v>
      </c>
      <c r="C1368" s="37" t="s">
        <v>118</v>
      </c>
      <c r="D1368" s="37" t="s">
        <v>76</v>
      </c>
      <c r="E1368" s="37" t="s">
        <v>7</v>
      </c>
      <c r="F1368" s="37" t="s">
        <v>168</v>
      </c>
      <c r="G1368" s="37" t="s">
        <v>169</v>
      </c>
      <c r="H1368" s="37" t="s">
        <v>170</v>
      </c>
      <c r="I1368" s="37" t="s">
        <v>76</v>
      </c>
      <c r="J1368" s="37" t="s">
        <v>52</v>
      </c>
      <c r="K1368" s="38">
        <v>13.227736</v>
      </c>
      <c r="L1368" s="39"/>
      <c r="M1368" s="37"/>
      <c r="N1368" s="40">
        <v>6.2439999999999998</v>
      </c>
      <c r="O1368" s="38">
        <v>6.2440170000000004</v>
      </c>
      <c r="P1368" s="39"/>
      <c r="Q1368" s="39"/>
      <c r="R1368" s="40">
        <v>6.2439999999999998</v>
      </c>
      <c r="S1368" s="38">
        <v>6.2440170000000004</v>
      </c>
      <c r="T1368" s="39"/>
      <c r="U1368" s="39"/>
      <c r="V1368" s="8">
        <f t="shared" si="21"/>
        <v>2023</v>
      </c>
    </row>
    <row r="1369" spans="1:22" s="41" customFormat="1" ht="14.4" hidden="1" x14ac:dyDescent="0.3">
      <c r="A1369" s="36">
        <v>45261</v>
      </c>
      <c r="B1369" s="37" t="s">
        <v>27</v>
      </c>
      <c r="C1369" s="37" t="s">
        <v>118</v>
      </c>
      <c r="D1369" s="37" t="s">
        <v>76</v>
      </c>
      <c r="E1369" s="37" t="s">
        <v>7</v>
      </c>
      <c r="F1369" s="37" t="s">
        <v>168</v>
      </c>
      <c r="G1369" s="37" t="s">
        <v>169</v>
      </c>
      <c r="H1369" s="37" t="s">
        <v>170</v>
      </c>
      <c r="I1369" s="37" t="s">
        <v>76</v>
      </c>
      <c r="J1369" s="37" t="s">
        <v>36</v>
      </c>
      <c r="K1369" s="38">
        <v>12</v>
      </c>
      <c r="L1369" s="39"/>
      <c r="M1369" s="37"/>
      <c r="N1369" s="40">
        <v>6.2439999999999998</v>
      </c>
      <c r="O1369" s="38">
        <v>6.2440160000000002</v>
      </c>
      <c r="P1369" s="39"/>
      <c r="Q1369" s="39"/>
      <c r="R1369" s="40">
        <v>6.2439999999999998</v>
      </c>
      <c r="S1369" s="38">
        <v>6.2440160000000002</v>
      </c>
      <c r="T1369" s="39"/>
      <c r="U1369" s="39"/>
      <c r="V1369" s="8">
        <f t="shared" si="21"/>
        <v>2023</v>
      </c>
    </row>
    <row r="1370" spans="1:22" s="41" customFormat="1" ht="14.4" hidden="1" x14ac:dyDescent="0.3">
      <c r="A1370" s="36">
        <v>45261</v>
      </c>
      <c r="B1370" s="37" t="s">
        <v>30</v>
      </c>
      <c r="C1370" s="37" t="s">
        <v>118</v>
      </c>
      <c r="D1370" s="37" t="s">
        <v>76</v>
      </c>
      <c r="E1370" s="37" t="s">
        <v>7</v>
      </c>
      <c r="F1370" s="37" t="s">
        <v>168</v>
      </c>
      <c r="G1370" s="37" t="s">
        <v>169</v>
      </c>
      <c r="H1370" s="37" t="s">
        <v>170</v>
      </c>
      <c r="I1370" s="37" t="s">
        <v>76</v>
      </c>
      <c r="J1370" s="37" t="s">
        <v>52</v>
      </c>
      <c r="K1370" s="38">
        <v>13.227736</v>
      </c>
      <c r="L1370" s="39"/>
      <c r="M1370" s="37"/>
      <c r="N1370" s="40">
        <v>6.2439999999999998</v>
      </c>
      <c r="O1370" s="38">
        <v>6.2440170000000004</v>
      </c>
      <c r="P1370" s="39"/>
      <c r="Q1370" s="39"/>
      <c r="R1370" s="40">
        <v>6.2439999999999998</v>
      </c>
      <c r="S1370" s="38">
        <v>6.2440170000000004</v>
      </c>
      <c r="T1370" s="39"/>
      <c r="U1370" s="39"/>
      <c r="V1370" s="8">
        <f t="shared" si="21"/>
        <v>2023</v>
      </c>
    </row>
    <row r="1371" spans="1:22" s="41" customFormat="1" ht="20.399999999999999" hidden="1" x14ac:dyDescent="0.3">
      <c r="A1371" s="36">
        <v>44562</v>
      </c>
      <c r="B1371" s="37" t="s">
        <v>19</v>
      </c>
      <c r="C1371" s="37" t="s">
        <v>123</v>
      </c>
      <c r="D1371" s="37" t="s">
        <v>77</v>
      </c>
      <c r="E1371" s="37" t="s">
        <v>5</v>
      </c>
      <c r="F1371" s="37" t="s">
        <v>171</v>
      </c>
      <c r="G1371" s="37" t="s">
        <v>77</v>
      </c>
      <c r="H1371" s="37" t="s">
        <v>132</v>
      </c>
      <c r="I1371" s="37" t="s">
        <v>127</v>
      </c>
      <c r="J1371" s="37" t="s">
        <v>34</v>
      </c>
      <c r="K1371" s="38">
        <v>9.7495069999999995</v>
      </c>
      <c r="L1371" s="39"/>
      <c r="M1371" s="37"/>
      <c r="N1371" s="40">
        <v>1.7669999999999999</v>
      </c>
      <c r="O1371" s="38">
        <v>1.765131</v>
      </c>
      <c r="P1371" s="38">
        <v>9.0799999999999995E-4</v>
      </c>
      <c r="Q1371" s="38">
        <v>9.9099999999999991E-4</v>
      </c>
      <c r="R1371" s="40">
        <v>1.7669999999999999</v>
      </c>
      <c r="S1371" s="38">
        <v>1.765131</v>
      </c>
      <c r="T1371" s="38">
        <v>9.0799999999999995E-4</v>
      </c>
      <c r="U1371" s="38">
        <v>9.9099999999999991E-4</v>
      </c>
      <c r="V1371" s="8">
        <f t="shared" si="21"/>
        <v>2022</v>
      </c>
    </row>
    <row r="1372" spans="1:22" s="41" customFormat="1" ht="20.399999999999999" hidden="1" x14ac:dyDescent="0.3">
      <c r="A1372" s="36">
        <v>44562</v>
      </c>
      <c r="B1372" s="37" t="s">
        <v>20</v>
      </c>
      <c r="C1372" s="37" t="s">
        <v>123</v>
      </c>
      <c r="D1372" s="37" t="s">
        <v>77</v>
      </c>
      <c r="E1372" s="37" t="s">
        <v>5</v>
      </c>
      <c r="F1372" s="37" t="s">
        <v>171</v>
      </c>
      <c r="G1372" s="37" t="s">
        <v>77</v>
      </c>
      <c r="H1372" s="37" t="s">
        <v>132</v>
      </c>
      <c r="I1372" s="37" t="s">
        <v>127</v>
      </c>
      <c r="J1372" s="37" t="s">
        <v>34</v>
      </c>
      <c r="K1372" s="38">
        <v>0.69889199999999996</v>
      </c>
      <c r="L1372" s="39"/>
      <c r="M1372" s="37"/>
      <c r="N1372" s="40">
        <v>0.151</v>
      </c>
      <c r="O1372" s="38">
        <v>0.149927</v>
      </c>
      <c r="P1372" s="38">
        <v>3.9100000000000002E-4</v>
      </c>
      <c r="Q1372" s="38">
        <v>2.13E-4</v>
      </c>
      <c r="R1372" s="39" t="s">
        <v>117</v>
      </c>
      <c r="S1372" s="39"/>
      <c r="T1372" s="39"/>
      <c r="U1372" s="39"/>
      <c r="V1372" s="8">
        <f t="shared" si="21"/>
        <v>2022</v>
      </c>
    </row>
    <row r="1373" spans="1:22" s="41" customFormat="1" ht="20.399999999999999" hidden="1" x14ac:dyDescent="0.3">
      <c r="A1373" s="36">
        <v>44593</v>
      </c>
      <c r="B1373" s="37" t="s">
        <v>19</v>
      </c>
      <c r="C1373" s="37" t="s">
        <v>123</v>
      </c>
      <c r="D1373" s="37" t="s">
        <v>77</v>
      </c>
      <c r="E1373" s="37" t="s">
        <v>5</v>
      </c>
      <c r="F1373" s="37" t="s">
        <v>171</v>
      </c>
      <c r="G1373" s="37" t="s">
        <v>77</v>
      </c>
      <c r="H1373" s="37" t="s">
        <v>132</v>
      </c>
      <c r="I1373" s="37" t="s">
        <v>127</v>
      </c>
      <c r="J1373" s="37" t="s">
        <v>34</v>
      </c>
      <c r="K1373" s="38">
        <v>9.7495069999999995</v>
      </c>
      <c r="L1373" s="39"/>
      <c r="M1373" s="37"/>
      <c r="N1373" s="40">
        <v>1.7669999999999999</v>
      </c>
      <c r="O1373" s="38">
        <v>1.765131</v>
      </c>
      <c r="P1373" s="38">
        <v>9.0799999999999995E-4</v>
      </c>
      <c r="Q1373" s="38">
        <v>9.9099999999999991E-4</v>
      </c>
      <c r="R1373" s="40">
        <v>1.7669999999999999</v>
      </c>
      <c r="S1373" s="38">
        <v>1.765131</v>
      </c>
      <c r="T1373" s="38">
        <v>9.0799999999999995E-4</v>
      </c>
      <c r="U1373" s="38">
        <v>9.9099999999999991E-4</v>
      </c>
      <c r="V1373" s="8">
        <f t="shared" si="21"/>
        <v>2022</v>
      </c>
    </row>
    <row r="1374" spans="1:22" s="41" customFormat="1" ht="20.399999999999999" hidden="1" x14ac:dyDescent="0.3">
      <c r="A1374" s="36">
        <v>44593</v>
      </c>
      <c r="B1374" s="37" t="s">
        <v>20</v>
      </c>
      <c r="C1374" s="37" t="s">
        <v>123</v>
      </c>
      <c r="D1374" s="37" t="s">
        <v>77</v>
      </c>
      <c r="E1374" s="37" t="s">
        <v>5</v>
      </c>
      <c r="F1374" s="37" t="s">
        <v>171</v>
      </c>
      <c r="G1374" s="37" t="s">
        <v>77</v>
      </c>
      <c r="H1374" s="37" t="s">
        <v>132</v>
      </c>
      <c r="I1374" s="37" t="s">
        <v>127</v>
      </c>
      <c r="J1374" s="37" t="s">
        <v>34</v>
      </c>
      <c r="K1374" s="38">
        <v>0.69889199999999996</v>
      </c>
      <c r="L1374" s="39"/>
      <c r="M1374" s="37"/>
      <c r="N1374" s="40">
        <v>0.151</v>
      </c>
      <c r="O1374" s="38">
        <v>0.149927</v>
      </c>
      <c r="P1374" s="38">
        <v>3.9100000000000002E-4</v>
      </c>
      <c r="Q1374" s="38">
        <v>2.13E-4</v>
      </c>
      <c r="R1374" s="39" t="s">
        <v>117</v>
      </c>
      <c r="S1374" s="39"/>
      <c r="T1374" s="39"/>
      <c r="U1374" s="39"/>
      <c r="V1374" s="8">
        <f t="shared" si="21"/>
        <v>2022</v>
      </c>
    </row>
    <row r="1375" spans="1:22" s="41" customFormat="1" ht="20.399999999999999" hidden="1" x14ac:dyDescent="0.3">
      <c r="A1375" s="36">
        <v>44621</v>
      </c>
      <c r="B1375" s="37" t="s">
        <v>19</v>
      </c>
      <c r="C1375" s="37" t="s">
        <v>123</v>
      </c>
      <c r="D1375" s="37" t="s">
        <v>77</v>
      </c>
      <c r="E1375" s="37" t="s">
        <v>5</v>
      </c>
      <c r="F1375" s="37" t="s">
        <v>171</v>
      </c>
      <c r="G1375" s="37" t="s">
        <v>77</v>
      </c>
      <c r="H1375" s="37" t="s">
        <v>132</v>
      </c>
      <c r="I1375" s="37" t="s">
        <v>127</v>
      </c>
      <c r="J1375" s="37" t="s">
        <v>34</v>
      </c>
      <c r="K1375" s="38">
        <v>9.7495069999999995</v>
      </c>
      <c r="L1375" s="39"/>
      <c r="M1375" s="37"/>
      <c r="N1375" s="40">
        <v>1.7669999999999999</v>
      </c>
      <c r="O1375" s="38">
        <v>1.765131</v>
      </c>
      <c r="P1375" s="38">
        <v>9.0799999999999995E-4</v>
      </c>
      <c r="Q1375" s="38">
        <v>9.9099999999999991E-4</v>
      </c>
      <c r="R1375" s="40">
        <v>1.7669999999999999</v>
      </c>
      <c r="S1375" s="38">
        <v>1.765131</v>
      </c>
      <c r="T1375" s="38">
        <v>9.0799999999999995E-4</v>
      </c>
      <c r="U1375" s="38">
        <v>9.9099999999999991E-4</v>
      </c>
      <c r="V1375" s="8">
        <f t="shared" si="21"/>
        <v>2022</v>
      </c>
    </row>
    <row r="1376" spans="1:22" s="41" customFormat="1" ht="20.399999999999999" hidden="1" x14ac:dyDescent="0.3">
      <c r="A1376" s="36">
        <v>44621</v>
      </c>
      <c r="B1376" s="37" t="s">
        <v>20</v>
      </c>
      <c r="C1376" s="37" t="s">
        <v>123</v>
      </c>
      <c r="D1376" s="37" t="s">
        <v>77</v>
      </c>
      <c r="E1376" s="37" t="s">
        <v>5</v>
      </c>
      <c r="F1376" s="37" t="s">
        <v>171</v>
      </c>
      <c r="G1376" s="37" t="s">
        <v>77</v>
      </c>
      <c r="H1376" s="37" t="s">
        <v>132</v>
      </c>
      <c r="I1376" s="37" t="s">
        <v>127</v>
      </c>
      <c r="J1376" s="37" t="s">
        <v>34</v>
      </c>
      <c r="K1376" s="38">
        <v>0.69889199999999996</v>
      </c>
      <c r="L1376" s="39"/>
      <c r="M1376" s="37"/>
      <c r="N1376" s="40">
        <v>0.151</v>
      </c>
      <c r="O1376" s="38">
        <v>0.149927</v>
      </c>
      <c r="P1376" s="38">
        <v>3.9100000000000002E-4</v>
      </c>
      <c r="Q1376" s="38">
        <v>2.13E-4</v>
      </c>
      <c r="R1376" s="39" t="s">
        <v>117</v>
      </c>
      <c r="S1376" s="39"/>
      <c r="T1376" s="39"/>
      <c r="U1376" s="39"/>
      <c r="V1376" s="8">
        <f t="shared" si="21"/>
        <v>2022</v>
      </c>
    </row>
    <row r="1377" spans="1:22" s="41" customFormat="1" ht="20.399999999999999" hidden="1" x14ac:dyDescent="0.3">
      <c r="A1377" s="36">
        <v>44652</v>
      </c>
      <c r="B1377" s="37" t="s">
        <v>19</v>
      </c>
      <c r="C1377" s="37" t="s">
        <v>123</v>
      </c>
      <c r="D1377" s="37" t="s">
        <v>77</v>
      </c>
      <c r="E1377" s="37" t="s">
        <v>5</v>
      </c>
      <c r="F1377" s="37" t="s">
        <v>171</v>
      </c>
      <c r="G1377" s="37" t="s">
        <v>77</v>
      </c>
      <c r="H1377" s="37" t="s">
        <v>132</v>
      </c>
      <c r="I1377" s="37" t="s">
        <v>127</v>
      </c>
      <c r="J1377" s="37" t="s">
        <v>34</v>
      </c>
      <c r="K1377" s="38">
        <v>9.7495069999999995</v>
      </c>
      <c r="L1377" s="39"/>
      <c r="M1377" s="37"/>
      <c r="N1377" s="40">
        <v>1.7669999999999999</v>
      </c>
      <c r="O1377" s="38">
        <v>1.765131</v>
      </c>
      <c r="P1377" s="38">
        <v>9.0799999999999995E-4</v>
      </c>
      <c r="Q1377" s="38">
        <v>9.9099999999999991E-4</v>
      </c>
      <c r="R1377" s="40">
        <v>1.7669999999999999</v>
      </c>
      <c r="S1377" s="38">
        <v>1.765131</v>
      </c>
      <c r="T1377" s="38">
        <v>9.0799999999999995E-4</v>
      </c>
      <c r="U1377" s="38">
        <v>9.9099999999999991E-4</v>
      </c>
      <c r="V1377" s="8">
        <f t="shared" si="21"/>
        <v>2022</v>
      </c>
    </row>
    <row r="1378" spans="1:22" s="41" customFormat="1" ht="20.399999999999999" hidden="1" x14ac:dyDescent="0.3">
      <c r="A1378" s="36">
        <v>44652</v>
      </c>
      <c r="B1378" s="37" t="s">
        <v>20</v>
      </c>
      <c r="C1378" s="37" t="s">
        <v>123</v>
      </c>
      <c r="D1378" s="37" t="s">
        <v>77</v>
      </c>
      <c r="E1378" s="37" t="s">
        <v>5</v>
      </c>
      <c r="F1378" s="37" t="s">
        <v>171</v>
      </c>
      <c r="G1378" s="37" t="s">
        <v>77</v>
      </c>
      <c r="H1378" s="37" t="s">
        <v>132</v>
      </c>
      <c r="I1378" s="37" t="s">
        <v>127</v>
      </c>
      <c r="J1378" s="37" t="s">
        <v>34</v>
      </c>
      <c r="K1378" s="38">
        <v>0.69889199999999996</v>
      </c>
      <c r="L1378" s="39"/>
      <c r="M1378" s="37"/>
      <c r="N1378" s="40">
        <v>0.151</v>
      </c>
      <c r="O1378" s="38">
        <v>0.149927</v>
      </c>
      <c r="P1378" s="38">
        <v>3.9100000000000002E-4</v>
      </c>
      <c r="Q1378" s="38">
        <v>2.13E-4</v>
      </c>
      <c r="R1378" s="39" t="s">
        <v>117</v>
      </c>
      <c r="S1378" s="39"/>
      <c r="T1378" s="39"/>
      <c r="U1378" s="39"/>
      <c r="V1378" s="8">
        <f t="shared" si="21"/>
        <v>2022</v>
      </c>
    </row>
    <row r="1379" spans="1:22" s="41" customFormat="1" ht="20.399999999999999" hidden="1" x14ac:dyDescent="0.3">
      <c r="A1379" s="36">
        <v>44682</v>
      </c>
      <c r="B1379" s="37" t="s">
        <v>19</v>
      </c>
      <c r="C1379" s="37" t="s">
        <v>123</v>
      </c>
      <c r="D1379" s="37" t="s">
        <v>77</v>
      </c>
      <c r="E1379" s="37" t="s">
        <v>5</v>
      </c>
      <c r="F1379" s="37" t="s">
        <v>171</v>
      </c>
      <c r="G1379" s="37" t="s">
        <v>77</v>
      </c>
      <c r="H1379" s="37" t="s">
        <v>132</v>
      </c>
      <c r="I1379" s="37" t="s">
        <v>127</v>
      </c>
      <c r="J1379" s="37" t="s">
        <v>34</v>
      </c>
      <c r="K1379" s="38">
        <v>9.7495069999999995</v>
      </c>
      <c r="L1379" s="39"/>
      <c r="M1379" s="37"/>
      <c r="N1379" s="40">
        <v>1.7669999999999999</v>
      </c>
      <c r="O1379" s="38">
        <v>1.765131</v>
      </c>
      <c r="P1379" s="38">
        <v>9.0799999999999995E-4</v>
      </c>
      <c r="Q1379" s="38">
        <v>9.9099999999999991E-4</v>
      </c>
      <c r="R1379" s="40">
        <v>1.7669999999999999</v>
      </c>
      <c r="S1379" s="38">
        <v>1.765131</v>
      </c>
      <c r="T1379" s="38">
        <v>9.0799999999999995E-4</v>
      </c>
      <c r="U1379" s="38">
        <v>9.9099999999999991E-4</v>
      </c>
      <c r="V1379" s="8">
        <f t="shared" si="21"/>
        <v>2022</v>
      </c>
    </row>
    <row r="1380" spans="1:22" s="41" customFormat="1" ht="20.399999999999999" hidden="1" x14ac:dyDescent="0.3">
      <c r="A1380" s="36">
        <v>44682</v>
      </c>
      <c r="B1380" s="37" t="s">
        <v>20</v>
      </c>
      <c r="C1380" s="37" t="s">
        <v>123</v>
      </c>
      <c r="D1380" s="37" t="s">
        <v>77</v>
      </c>
      <c r="E1380" s="37" t="s">
        <v>5</v>
      </c>
      <c r="F1380" s="37" t="s">
        <v>171</v>
      </c>
      <c r="G1380" s="37" t="s">
        <v>77</v>
      </c>
      <c r="H1380" s="37" t="s">
        <v>132</v>
      </c>
      <c r="I1380" s="37" t="s">
        <v>127</v>
      </c>
      <c r="J1380" s="37" t="s">
        <v>34</v>
      </c>
      <c r="K1380" s="38">
        <v>0.69889199999999996</v>
      </c>
      <c r="L1380" s="39"/>
      <c r="M1380" s="37"/>
      <c r="N1380" s="40">
        <v>0.151</v>
      </c>
      <c r="O1380" s="38">
        <v>0.149927</v>
      </c>
      <c r="P1380" s="38">
        <v>3.9100000000000002E-4</v>
      </c>
      <c r="Q1380" s="38">
        <v>2.13E-4</v>
      </c>
      <c r="R1380" s="39" t="s">
        <v>117</v>
      </c>
      <c r="S1380" s="39"/>
      <c r="T1380" s="39"/>
      <c r="U1380" s="39"/>
      <c r="V1380" s="8">
        <f t="shared" si="21"/>
        <v>2022</v>
      </c>
    </row>
    <row r="1381" spans="1:22" s="41" customFormat="1" ht="20.399999999999999" hidden="1" x14ac:dyDescent="0.3">
      <c r="A1381" s="36">
        <v>44713</v>
      </c>
      <c r="B1381" s="37" t="s">
        <v>19</v>
      </c>
      <c r="C1381" s="37" t="s">
        <v>123</v>
      </c>
      <c r="D1381" s="37" t="s">
        <v>77</v>
      </c>
      <c r="E1381" s="37" t="s">
        <v>5</v>
      </c>
      <c r="F1381" s="37" t="s">
        <v>171</v>
      </c>
      <c r="G1381" s="37" t="s">
        <v>77</v>
      </c>
      <c r="H1381" s="37" t="s">
        <v>132</v>
      </c>
      <c r="I1381" s="37" t="s">
        <v>127</v>
      </c>
      <c r="J1381" s="37" t="s">
        <v>34</v>
      </c>
      <c r="K1381" s="38">
        <v>9.7495069999999995</v>
      </c>
      <c r="L1381" s="39"/>
      <c r="M1381" s="37"/>
      <c r="N1381" s="40">
        <v>1.7669999999999999</v>
      </c>
      <c r="O1381" s="38">
        <v>1.765131</v>
      </c>
      <c r="P1381" s="38">
        <v>9.0799999999999995E-4</v>
      </c>
      <c r="Q1381" s="38">
        <v>9.9099999999999991E-4</v>
      </c>
      <c r="R1381" s="40">
        <v>1.7669999999999999</v>
      </c>
      <c r="S1381" s="38">
        <v>1.765131</v>
      </c>
      <c r="T1381" s="38">
        <v>9.0799999999999995E-4</v>
      </c>
      <c r="U1381" s="38">
        <v>9.9099999999999991E-4</v>
      </c>
      <c r="V1381" s="8">
        <f t="shared" si="21"/>
        <v>2022</v>
      </c>
    </row>
    <row r="1382" spans="1:22" s="41" customFormat="1" ht="20.399999999999999" hidden="1" x14ac:dyDescent="0.3">
      <c r="A1382" s="36">
        <v>44713</v>
      </c>
      <c r="B1382" s="37" t="s">
        <v>20</v>
      </c>
      <c r="C1382" s="37" t="s">
        <v>123</v>
      </c>
      <c r="D1382" s="37" t="s">
        <v>77</v>
      </c>
      <c r="E1382" s="37" t="s">
        <v>5</v>
      </c>
      <c r="F1382" s="37" t="s">
        <v>171</v>
      </c>
      <c r="G1382" s="37" t="s">
        <v>77</v>
      </c>
      <c r="H1382" s="37" t="s">
        <v>132</v>
      </c>
      <c r="I1382" s="37" t="s">
        <v>127</v>
      </c>
      <c r="J1382" s="37" t="s">
        <v>34</v>
      </c>
      <c r="K1382" s="38">
        <v>0.69889199999999996</v>
      </c>
      <c r="L1382" s="39"/>
      <c r="M1382" s="37"/>
      <c r="N1382" s="40">
        <v>0.151</v>
      </c>
      <c r="O1382" s="38">
        <v>0.149927</v>
      </c>
      <c r="P1382" s="38">
        <v>3.9100000000000002E-4</v>
      </c>
      <c r="Q1382" s="38">
        <v>2.13E-4</v>
      </c>
      <c r="R1382" s="39" t="s">
        <v>117</v>
      </c>
      <c r="S1382" s="39"/>
      <c r="T1382" s="39"/>
      <c r="U1382" s="39"/>
      <c r="V1382" s="8">
        <f t="shared" si="21"/>
        <v>2022</v>
      </c>
    </row>
    <row r="1383" spans="1:22" s="41" customFormat="1" ht="20.399999999999999" hidden="1" x14ac:dyDescent="0.3">
      <c r="A1383" s="36">
        <v>44743</v>
      </c>
      <c r="B1383" s="37" t="s">
        <v>19</v>
      </c>
      <c r="C1383" s="37" t="s">
        <v>123</v>
      </c>
      <c r="D1383" s="37" t="s">
        <v>77</v>
      </c>
      <c r="E1383" s="37" t="s">
        <v>5</v>
      </c>
      <c r="F1383" s="37" t="s">
        <v>171</v>
      </c>
      <c r="G1383" s="37" t="s">
        <v>77</v>
      </c>
      <c r="H1383" s="37" t="s">
        <v>132</v>
      </c>
      <c r="I1383" s="37" t="s">
        <v>127</v>
      </c>
      <c r="J1383" s="37" t="s">
        <v>34</v>
      </c>
      <c r="K1383" s="38">
        <v>9.7495069999999995</v>
      </c>
      <c r="L1383" s="39"/>
      <c r="M1383" s="37"/>
      <c r="N1383" s="40">
        <v>1.7669999999999999</v>
      </c>
      <c r="O1383" s="38">
        <v>1.765131</v>
      </c>
      <c r="P1383" s="38">
        <v>9.0799999999999995E-4</v>
      </c>
      <c r="Q1383" s="38">
        <v>9.9099999999999991E-4</v>
      </c>
      <c r="R1383" s="40">
        <v>1.7669999999999999</v>
      </c>
      <c r="S1383" s="38">
        <v>1.765131</v>
      </c>
      <c r="T1383" s="38">
        <v>9.0799999999999995E-4</v>
      </c>
      <c r="U1383" s="38">
        <v>9.9099999999999991E-4</v>
      </c>
      <c r="V1383" s="8">
        <f t="shared" si="21"/>
        <v>2022</v>
      </c>
    </row>
    <row r="1384" spans="1:22" s="41" customFormat="1" ht="20.399999999999999" hidden="1" x14ac:dyDescent="0.3">
      <c r="A1384" s="36">
        <v>44743</v>
      </c>
      <c r="B1384" s="37" t="s">
        <v>20</v>
      </c>
      <c r="C1384" s="37" t="s">
        <v>123</v>
      </c>
      <c r="D1384" s="37" t="s">
        <v>77</v>
      </c>
      <c r="E1384" s="37" t="s">
        <v>5</v>
      </c>
      <c r="F1384" s="37" t="s">
        <v>171</v>
      </c>
      <c r="G1384" s="37" t="s">
        <v>77</v>
      </c>
      <c r="H1384" s="37" t="s">
        <v>132</v>
      </c>
      <c r="I1384" s="37" t="s">
        <v>127</v>
      </c>
      <c r="J1384" s="37" t="s">
        <v>34</v>
      </c>
      <c r="K1384" s="38">
        <v>0.69889199999999996</v>
      </c>
      <c r="L1384" s="39"/>
      <c r="M1384" s="37"/>
      <c r="N1384" s="40">
        <v>0.151</v>
      </c>
      <c r="O1384" s="38">
        <v>0.149927</v>
      </c>
      <c r="P1384" s="38">
        <v>3.9100000000000002E-4</v>
      </c>
      <c r="Q1384" s="38">
        <v>2.13E-4</v>
      </c>
      <c r="R1384" s="39" t="s">
        <v>117</v>
      </c>
      <c r="S1384" s="39"/>
      <c r="T1384" s="39"/>
      <c r="U1384" s="39"/>
      <c r="V1384" s="8">
        <f t="shared" si="21"/>
        <v>2022</v>
      </c>
    </row>
    <row r="1385" spans="1:22" s="41" customFormat="1" ht="20.399999999999999" hidden="1" x14ac:dyDescent="0.3">
      <c r="A1385" s="36">
        <v>44774</v>
      </c>
      <c r="B1385" s="37" t="s">
        <v>19</v>
      </c>
      <c r="C1385" s="37" t="s">
        <v>123</v>
      </c>
      <c r="D1385" s="37" t="s">
        <v>77</v>
      </c>
      <c r="E1385" s="37" t="s">
        <v>5</v>
      </c>
      <c r="F1385" s="37" t="s">
        <v>171</v>
      </c>
      <c r="G1385" s="37" t="s">
        <v>77</v>
      </c>
      <c r="H1385" s="37" t="s">
        <v>132</v>
      </c>
      <c r="I1385" s="37" t="s">
        <v>127</v>
      </c>
      <c r="J1385" s="37" t="s">
        <v>34</v>
      </c>
      <c r="K1385" s="38">
        <v>9.7495069999999995</v>
      </c>
      <c r="L1385" s="39"/>
      <c r="M1385" s="37"/>
      <c r="N1385" s="40">
        <v>1.7669999999999999</v>
      </c>
      <c r="O1385" s="38">
        <v>1.765131</v>
      </c>
      <c r="P1385" s="38">
        <v>9.0799999999999995E-4</v>
      </c>
      <c r="Q1385" s="38">
        <v>9.9099999999999991E-4</v>
      </c>
      <c r="R1385" s="40">
        <v>1.7669999999999999</v>
      </c>
      <c r="S1385" s="38">
        <v>1.765131</v>
      </c>
      <c r="T1385" s="38">
        <v>9.0799999999999995E-4</v>
      </c>
      <c r="U1385" s="38">
        <v>9.9099999999999991E-4</v>
      </c>
      <c r="V1385" s="8">
        <f t="shared" si="21"/>
        <v>2022</v>
      </c>
    </row>
    <row r="1386" spans="1:22" s="41" customFormat="1" ht="20.399999999999999" hidden="1" x14ac:dyDescent="0.3">
      <c r="A1386" s="36">
        <v>44774</v>
      </c>
      <c r="B1386" s="37" t="s">
        <v>20</v>
      </c>
      <c r="C1386" s="37" t="s">
        <v>123</v>
      </c>
      <c r="D1386" s="37" t="s">
        <v>77</v>
      </c>
      <c r="E1386" s="37" t="s">
        <v>5</v>
      </c>
      <c r="F1386" s="37" t="s">
        <v>171</v>
      </c>
      <c r="G1386" s="37" t="s">
        <v>77</v>
      </c>
      <c r="H1386" s="37" t="s">
        <v>132</v>
      </c>
      <c r="I1386" s="37" t="s">
        <v>127</v>
      </c>
      <c r="J1386" s="37" t="s">
        <v>34</v>
      </c>
      <c r="K1386" s="38">
        <v>0.69889199999999996</v>
      </c>
      <c r="L1386" s="39"/>
      <c r="M1386" s="37"/>
      <c r="N1386" s="40">
        <v>0.151</v>
      </c>
      <c r="O1386" s="38">
        <v>0.149927</v>
      </c>
      <c r="P1386" s="38">
        <v>3.9100000000000002E-4</v>
      </c>
      <c r="Q1386" s="38">
        <v>2.13E-4</v>
      </c>
      <c r="R1386" s="39" t="s">
        <v>117</v>
      </c>
      <c r="S1386" s="39"/>
      <c r="T1386" s="39"/>
      <c r="U1386" s="39"/>
      <c r="V1386" s="8">
        <f t="shared" si="21"/>
        <v>2022</v>
      </c>
    </row>
    <row r="1387" spans="1:22" s="41" customFormat="1" ht="20.399999999999999" hidden="1" x14ac:dyDescent="0.3">
      <c r="A1387" s="36">
        <v>44805</v>
      </c>
      <c r="B1387" s="37" t="s">
        <v>19</v>
      </c>
      <c r="C1387" s="37" t="s">
        <v>123</v>
      </c>
      <c r="D1387" s="37" t="s">
        <v>77</v>
      </c>
      <c r="E1387" s="37" t="s">
        <v>5</v>
      </c>
      <c r="F1387" s="37" t="s">
        <v>171</v>
      </c>
      <c r="G1387" s="37" t="s">
        <v>77</v>
      </c>
      <c r="H1387" s="37" t="s">
        <v>132</v>
      </c>
      <c r="I1387" s="37" t="s">
        <v>127</v>
      </c>
      <c r="J1387" s="37" t="s">
        <v>34</v>
      </c>
      <c r="K1387" s="38">
        <v>9.7495069999999995</v>
      </c>
      <c r="L1387" s="39"/>
      <c r="M1387" s="37"/>
      <c r="N1387" s="40">
        <v>1.7669999999999999</v>
      </c>
      <c r="O1387" s="38">
        <v>1.765131</v>
      </c>
      <c r="P1387" s="38">
        <v>9.0799999999999995E-4</v>
      </c>
      <c r="Q1387" s="38">
        <v>9.9099999999999991E-4</v>
      </c>
      <c r="R1387" s="40">
        <v>1.7669999999999999</v>
      </c>
      <c r="S1387" s="38">
        <v>1.765131</v>
      </c>
      <c r="T1387" s="38">
        <v>9.0799999999999995E-4</v>
      </c>
      <c r="U1387" s="38">
        <v>9.9099999999999991E-4</v>
      </c>
      <c r="V1387" s="8">
        <f t="shared" si="21"/>
        <v>2022</v>
      </c>
    </row>
    <row r="1388" spans="1:22" s="41" customFormat="1" ht="20.399999999999999" hidden="1" x14ac:dyDescent="0.3">
      <c r="A1388" s="36">
        <v>44805</v>
      </c>
      <c r="B1388" s="37" t="s">
        <v>20</v>
      </c>
      <c r="C1388" s="37" t="s">
        <v>123</v>
      </c>
      <c r="D1388" s="37" t="s">
        <v>77</v>
      </c>
      <c r="E1388" s="37" t="s">
        <v>5</v>
      </c>
      <c r="F1388" s="37" t="s">
        <v>171</v>
      </c>
      <c r="G1388" s="37" t="s">
        <v>77</v>
      </c>
      <c r="H1388" s="37" t="s">
        <v>132</v>
      </c>
      <c r="I1388" s="37" t="s">
        <v>127</v>
      </c>
      <c r="J1388" s="37" t="s">
        <v>34</v>
      </c>
      <c r="K1388" s="38">
        <v>0.69889199999999996</v>
      </c>
      <c r="L1388" s="39"/>
      <c r="M1388" s="37"/>
      <c r="N1388" s="40">
        <v>0.151</v>
      </c>
      <c r="O1388" s="38">
        <v>0.149927</v>
      </c>
      <c r="P1388" s="38">
        <v>3.9100000000000002E-4</v>
      </c>
      <c r="Q1388" s="38">
        <v>2.13E-4</v>
      </c>
      <c r="R1388" s="39" t="s">
        <v>117</v>
      </c>
      <c r="S1388" s="39"/>
      <c r="T1388" s="39"/>
      <c r="U1388" s="39"/>
      <c r="V1388" s="8">
        <f t="shared" si="21"/>
        <v>2022</v>
      </c>
    </row>
    <row r="1389" spans="1:22" s="41" customFormat="1" ht="20.399999999999999" hidden="1" x14ac:dyDescent="0.3">
      <c r="A1389" s="36">
        <v>44835</v>
      </c>
      <c r="B1389" s="37" t="s">
        <v>19</v>
      </c>
      <c r="C1389" s="37" t="s">
        <v>123</v>
      </c>
      <c r="D1389" s="37" t="s">
        <v>77</v>
      </c>
      <c r="E1389" s="37" t="s">
        <v>5</v>
      </c>
      <c r="F1389" s="37" t="s">
        <v>171</v>
      </c>
      <c r="G1389" s="37" t="s">
        <v>77</v>
      </c>
      <c r="H1389" s="37" t="s">
        <v>132</v>
      </c>
      <c r="I1389" s="37" t="s">
        <v>127</v>
      </c>
      <c r="J1389" s="37" t="s">
        <v>34</v>
      </c>
      <c r="K1389" s="38">
        <v>9.7495069999999995</v>
      </c>
      <c r="L1389" s="39"/>
      <c r="M1389" s="37"/>
      <c r="N1389" s="40">
        <v>1.7669999999999999</v>
      </c>
      <c r="O1389" s="38">
        <v>1.765131</v>
      </c>
      <c r="P1389" s="38">
        <v>9.0799999999999995E-4</v>
      </c>
      <c r="Q1389" s="38">
        <v>9.9099999999999991E-4</v>
      </c>
      <c r="R1389" s="40">
        <v>1.7669999999999999</v>
      </c>
      <c r="S1389" s="38">
        <v>1.765131</v>
      </c>
      <c r="T1389" s="38">
        <v>9.0799999999999995E-4</v>
      </c>
      <c r="U1389" s="38">
        <v>9.9099999999999991E-4</v>
      </c>
      <c r="V1389" s="8">
        <f t="shared" si="21"/>
        <v>2022</v>
      </c>
    </row>
    <row r="1390" spans="1:22" s="41" customFormat="1" ht="20.399999999999999" hidden="1" x14ac:dyDescent="0.3">
      <c r="A1390" s="36">
        <v>44835</v>
      </c>
      <c r="B1390" s="37" t="s">
        <v>20</v>
      </c>
      <c r="C1390" s="37" t="s">
        <v>123</v>
      </c>
      <c r="D1390" s="37" t="s">
        <v>77</v>
      </c>
      <c r="E1390" s="37" t="s">
        <v>5</v>
      </c>
      <c r="F1390" s="37" t="s">
        <v>171</v>
      </c>
      <c r="G1390" s="37" t="s">
        <v>77</v>
      </c>
      <c r="H1390" s="37" t="s">
        <v>132</v>
      </c>
      <c r="I1390" s="37" t="s">
        <v>127</v>
      </c>
      <c r="J1390" s="37" t="s">
        <v>34</v>
      </c>
      <c r="K1390" s="38">
        <v>0.69889199999999996</v>
      </c>
      <c r="L1390" s="39"/>
      <c r="M1390" s="37"/>
      <c r="N1390" s="40">
        <v>0.151</v>
      </c>
      <c r="O1390" s="38">
        <v>0.149927</v>
      </c>
      <c r="P1390" s="38">
        <v>3.9100000000000002E-4</v>
      </c>
      <c r="Q1390" s="38">
        <v>2.13E-4</v>
      </c>
      <c r="R1390" s="39" t="s">
        <v>117</v>
      </c>
      <c r="S1390" s="39"/>
      <c r="T1390" s="39"/>
      <c r="U1390" s="39"/>
      <c r="V1390" s="8">
        <f t="shared" si="21"/>
        <v>2022</v>
      </c>
    </row>
    <row r="1391" spans="1:22" s="41" customFormat="1" ht="20.399999999999999" hidden="1" x14ac:dyDescent="0.3">
      <c r="A1391" s="36">
        <v>44866</v>
      </c>
      <c r="B1391" s="37" t="s">
        <v>19</v>
      </c>
      <c r="C1391" s="37" t="s">
        <v>123</v>
      </c>
      <c r="D1391" s="37" t="s">
        <v>77</v>
      </c>
      <c r="E1391" s="37" t="s">
        <v>5</v>
      </c>
      <c r="F1391" s="37" t="s">
        <v>171</v>
      </c>
      <c r="G1391" s="37" t="s">
        <v>77</v>
      </c>
      <c r="H1391" s="37" t="s">
        <v>132</v>
      </c>
      <c r="I1391" s="37" t="s">
        <v>127</v>
      </c>
      <c r="J1391" s="37" t="s">
        <v>34</v>
      </c>
      <c r="K1391" s="38">
        <v>9.7495069999999995</v>
      </c>
      <c r="L1391" s="39"/>
      <c r="M1391" s="37"/>
      <c r="N1391" s="40">
        <v>1.7669999999999999</v>
      </c>
      <c r="O1391" s="38">
        <v>1.765131</v>
      </c>
      <c r="P1391" s="38">
        <v>9.0799999999999995E-4</v>
      </c>
      <c r="Q1391" s="38">
        <v>9.9099999999999991E-4</v>
      </c>
      <c r="R1391" s="40">
        <v>1.7669999999999999</v>
      </c>
      <c r="S1391" s="38">
        <v>1.765131</v>
      </c>
      <c r="T1391" s="38">
        <v>9.0799999999999995E-4</v>
      </c>
      <c r="U1391" s="38">
        <v>9.9099999999999991E-4</v>
      </c>
      <c r="V1391" s="8">
        <f t="shared" si="21"/>
        <v>2022</v>
      </c>
    </row>
    <row r="1392" spans="1:22" s="41" customFormat="1" ht="20.399999999999999" hidden="1" x14ac:dyDescent="0.3">
      <c r="A1392" s="36">
        <v>44866</v>
      </c>
      <c r="B1392" s="37" t="s">
        <v>20</v>
      </c>
      <c r="C1392" s="37" t="s">
        <v>123</v>
      </c>
      <c r="D1392" s="37" t="s">
        <v>77</v>
      </c>
      <c r="E1392" s="37" t="s">
        <v>5</v>
      </c>
      <c r="F1392" s="37" t="s">
        <v>171</v>
      </c>
      <c r="G1392" s="37" t="s">
        <v>77</v>
      </c>
      <c r="H1392" s="37" t="s">
        <v>132</v>
      </c>
      <c r="I1392" s="37" t="s">
        <v>127</v>
      </c>
      <c r="J1392" s="37" t="s">
        <v>34</v>
      </c>
      <c r="K1392" s="38">
        <v>0.69889199999999996</v>
      </c>
      <c r="L1392" s="39"/>
      <c r="M1392" s="37"/>
      <c r="N1392" s="40">
        <v>0.151</v>
      </c>
      <c r="O1392" s="38">
        <v>0.149927</v>
      </c>
      <c r="P1392" s="38">
        <v>3.9100000000000002E-4</v>
      </c>
      <c r="Q1392" s="38">
        <v>2.13E-4</v>
      </c>
      <c r="R1392" s="39" t="s">
        <v>117</v>
      </c>
      <c r="S1392" s="39"/>
      <c r="T1392" s="39"/>
      <c r="U1392" s="39"/>
      <c r="V1392" s="8">
        <f t="shared" si="21"/>
        <v>2022</v>
      </c>
    </row>
    <row r="1393" spans="1:22" s="41" customFormat="1" ht="20.399999999999999" hidden="1" x14ac:dyDescent="0.3">
      <c r="A1393" s="36">
        <v>44896</v>
      </c>
      <c r="B1393" s="37" t="s">
        <v>19</v>
      </c>
      <c r="C1393" s="37" t="s">
        <v>123</v>
      </c>
      <c r="D1393" s="37" t="s">
        <v>77</v>
      </c>
      <c r="E1393" s="37" t="s">
        <v>5</v>
      </c>
      <c r="F1393" s="37" t="s">
        <v>171</v>
      </c>
      <c r="G1393" s="37" t="s">
        <v>77</v>
      </c>
      <c r="H1393" s="37" t="s">
        <v>132</v>
      </c>
      <c r="I1393" s="37" t="s">
        <v>127</v>
      </c>
      <c r="J1393" s="37" t="s">
        <v>34</v>
      </c>
      <c r="K1393" s="38">
        <v>9.7495069999999995</v>
      </c>
      <c r="L1393" s="39"/>
      <c r="M1393" s="37"/>
      <c r="N1393" s="40">
        <v>1.7669999999999999</v>
      </c>
      <c r="O1393" s="38">
        <v>1.765131</v>
      </c>
      <c r="P1393" s="38">
        <v>9.0799999999999995E-4</v>
      </c>
      <c r="Q1393" s="38">
        <v>9.9099999999999991E-4</v>
      </c>
      <c r="R1393" s="40">
        <v>1.7669999999999999</v>
      </c>
      <c r="S1393" s="38">
        <v>1.765131</v>
      </c>
      <c r="T1393" s="38">
        <v>9.0799999999999995E-4</v>
      </c>
      <c r="U1393" s="38">
        <v>9.9099999999999991E-4</v>
      </c>
      <c r="V1393" s="8">
        <f t="shared" si="21"/>
        <v>2022</v>
      </c>
    </row>
    <row r="1394" spans="1:22" s="41" customFormat="1" ht="20.399999999999999" hidden="1" x14ac:dyDescent="0.3">
      <c r="A1394" s="36">
        <v>44896</v>
      </c>
      <c r="B1394" s="37" t="s">
        <v>20</v>
      </c>
      <c r="C1394" s="37" t="s">
        <v>123</v>
      </c>
      <c r="D1394" s="37" t="s">
        <v>77</v>
      </c>
      <c r="E1394" s="37" t="s">
        <v>5</v>
      </c>
      <c r="F1394" s="37" t="s">
        <v>171</v>
      </c>
      <c r="G1394" s="37" t="s">
        <v>77</v>
      </c>
      <c r="H1394" s="37" t="s">
        <v>132</v>
      </c>
      <c r="I1394" s="37" t="s">
        <v>127</v>
      </c>
      <c r="J1394" s="37" t="s">
        <v>34</v>
      </c>
      <c r="K1394" s="38">
        <v>0.69889199999999996</v>
      </c>
      <c r="L1394" s="39"/>
      <c r="M1394" s="37"/>
      <c r="N1394" s="40">
        <v>0.151</v>
      </c>
      <c r="O1394" s="38">
        <v>0.149927</v>
      </c>
      <c r="P1394" s="38">
        <v>3.9100000000000002E-4</v>
      </c>
      <c r="Q1394" s="38">
        <v>2.13E-4</v>
      </c>
      <c r="R1394" s="39" t="s">
        <v>117</v>
      </c>
      <c r="S1394" s="39"/>
      <c r="T1394" s="39"/>
      <c r="U1394" s="39"/>
      <c r="V1394" s="8">
        <f t="shared" si="21"/>
        <v>2022</v>
      </c>
    </row>
    <row r="1395" spans="1:22" s="41" customFormat="1" ht="20.399999999999999" hidden="1" x14ac:dyDescent="0.3">
      <c r="A1395" s="36">
        <v>44927</v>
      </c>
      <c r="B1395" s="37" t="s">
        <v>19</v>
      </c>
      <c r="C1395" s="37" t="s">
        <v>123</v>
      </c>
      <c r="D1395" s="37" t="s">
        <v>77</v>
      </c>
      <c r="E1395" s="37" t="s">
        <v>5</v>
      </c>
      <c r="F1395" s="37" t="s">
        <v>171</v>
      </c>
      <c r="G1395" s="37" t="s">
        <v>77</v>
      </c>
      <c r="H1395" s="37" t="s">
        <v>132</v>
      </c>
      <c r="I1395" s="37" t="s">
        <v>127</v>
      </c>
      <c r="J1395" s="37" t="s">
        <v>34</v>
      </c>
      <c r="K1395" s="38">
        <v>7.7370760000000001</v>
      </c>
      <c r="L1395" s="39"/>
      <c r="M1395" s="37"/>
      <c r="N1395" s="40">
        <v>1.4019999999999999</v>
      </c>
      <c r="O1395" s="38">
        <v>1.400784</v>
      </c>
      <c r="P1395" s="38">
        <v>7.2099999999999996E-4</v>
      </c>
      <c r="Q1395" s="38">
        <v>7.8700000000000005E-4</v>
      </c>
      <c r="R1395" s="40">
        <v>1.4019999999999999</v>
      </c>
      <c r="S1395" s="38">
        <v>1.400784</v>
      </c>
      <c r="T1395" s="38">
        <v>7.2099999999999996E-4</v>
      </c>
      <c r="U1395" s="38">
        <v>7.8700000000000005E-4</v>
      </c>
      <c r="V1395" s="8">
        <f t="shared" si="21"/>
        <v>2023</v>
      </c>
    </row>
    <row r="1396" spans="1:22" s="41" customFormat="1" ht="20.399999999999999" hidden="1" x14ac:dyDescent="0.3">
      <c r="A1396" s="36">
        <v>44927</v>
      </c>
      <c r="B1396" s="37" t="s">
        <v>20</v>
      </c>
      <c r="C1396" s="37" t="s">
        <v>123</v>
      </c>
      <c r="D1396" s="37" t="s">
        <v>77</v>
      </c>
      <c r="E1396" s="37" t="s">
        <v>5</v>
      </c>
      <c r="F1396" s="37" t="s">
        <v>171</v>
      </c>
      <c r="G1396" s="37" t="s">
        <v>77</v>
      </c>
      <c r="H1396" s="37" t="s">
        <v>132</v>
      </c>
      <c r="I1396" s="37" t="s">
        <v>127</v>
      </c>
      <c r="J1396" s="37" t="s">
        <v>34</v>
      </c>
      <c r="K1396" s="38">
        <v>1.1900809999999999</v>
      </c>
      <c r="L1396" s="39"/>
      <c r="M1396" s="37"/>
      <c r="N1396" s="40">
        <v>0.25600000000000001</v>
      </c>
      <c r="O1396" s="38">
        <v>0.25529800000000002</v>
      </c>
      <c r="P1396" s="38">
        <v>6.6500000000000001E-4</v>
      </c>
      <c r="Q1396" s="38">
        <v>3.6299999999999999E-4</v>
      </c>
      <c r="R1396" s="40">
        <v>0.25600000000000001</v>
      </c>
      <c r="S1396" s="38">
        <v>0.25529800000000002</v>
      </c>
      <c r="T1396" s="38">
        <v>6.6500000000000001E-4</v>
      </c>
      <c r="U1396" s="38">
        <v>3.6299999999999999E-4</v>
      </c>
      <c r="V1396" s="8">
        <f t="shared" ref="V1396:V1459" si="22">YEAR(A1396)</f>
        <v>2023</v>
      </c>
    </row>
    <row r="1397" spans="1:22" s="41" customFormat="1" ht="20.399999999999999" hidden="1" x14ac:dyDescent="0.3">
      <c r="A1397" s="36">
        <v>44958</v>
      </c>
      <c r="B1397" s="37" t="s">
        <v>19</v>
      </c>
      <c r="C1397" s="37" t="s">
        <v>123</v>
      </c>
      <c r="D1397" s="37" t="s">
        <v>77</v>
      </c>
      <c r="E1397" s="37" t="s">
        <v>5</v>
      </c>
      <c r="F1397" s="37" t="s">
        <v>171</v>
      </c>
      <c r="G1397" s="37" t="s">
        <v>77</v>
      </c>
      <c r="H1397" s="37" t="s">
        <v>132</v>
      </c>
      <c r="I1397" s="37" t="s">
        <v>127</v>
      </c>
      <c r="J1397" s="37" t="s">
        <v>34</v>
      </c>
      <c r="K1397" s="38">
        <v>7.8543050000000001</v>
      </c>
      <c r="L1397" s="39"/>
      <c r="M1397" s="37"/>
      <c r="N1397" s="40">
        <v>1.4239999999999999</v>
      </c>
      <c r="O1397" s="38">
        <v>1.4220079999999999</v>
      </c>
      <c r="P1397" s="38">
        <v>7.3200000000000001E-4</v>
      </c>
      <c r="Q1397" s="38">
        <v>7.9900000000000001E-4</v>
      </c>
      <c r="R1397" s="40">
        <v>1.4239999999999999</v>
      </c>
      <c r="S1397" s="38">
        <v>1.4220079999999999</v>
      </c>
      <c r="T1397" s="38">
        <v>7.3200000000000001E-4</v>
      </c>
      <c r="U1397" s="38">
        <v>7.9900000000000001E-4</v>
      </c>
      <c r="V1397" s="8">
        <f t="shared" si="22"/>
        <v>2023</v>
      </c>
    </row>
    <row r="1398" spans="1:22" s="41" customFormat="1" ht="20.399999999999999" hidden="1" x14ac:dyDescent="0.3">
      <c r="A1398" s="36">
        <v>44986</v>
      </c>
      <c r="B1398" s="37" t="s">
        <v>19</v>
      </c>
      <c r="C1398" s="37" t="s">
        <v>123</v>
      </c>
      <c r="D1398" s="37" t="s">
        <v>77</v>
      </c>
      <c r="E1398" s="37" t="s">
        <v>5</v>
      </c>
      <c r="F1398" s="37" t="s">
        <v>171</v>
      </c>
      <c r="G1398" s="37" t="s">
        <v>77</v>
      </c>
      <c r="H1398" s="37" t="s">
        <v>132</v>
      </c>
      <c r="I1398" s="37" t="s">
        <v>127</v>
      </c>
      <c r="J1398" s="37" t="s">
        <v>34</v>
      </c>
      <c r="K1398" s="38">
        <v>9.2317389999999993</v>
      </c>
      <c r="L1398" s="39"/>
      <c r="M1398" s="37"/>
      <c r="N1398" s="40">
        <v>1.673</v>
      </c>
      <c r="O1398" s="38">
        <v>1.6713899999999999</v>
      </c>
      <c r="P1398" s="38">
        <v>8.5999999999999998E-4</v>
      </c>
      <c r="Q1398" s="38">
        <v>9.3899999999999995E-4</v>
      </c>
      <c r="R1398" s="40">
        <v>1.673</v>
      </c>
      <c r="S1398" s="38">
        <v>1.6713899999999999</v>
      </c>
      <c r="T1398" s="38">
        <v>8.5999999999999998E-4</v>
      </c>
      <c r="U1398" s="38">
        <v>9.3899999999999995E-4</v>
      </c>
      <c r="V1398" s="8">
        <f t="shared" si="22"/>
        <v>2023</v>
      </c>
    </row>
    <row r="1399" spans="1:22" s="41" customFormat="1" ht="20.399999999999999" hidden="1" x14ac:dyDescent="0.3">
      <c r="A1399" s="36">
        <v>44986</v>
      </c>
      <c r="B1399" s="37" t="s">
        <v>20</v>
      </c>
      <c r="C1399" s="37" t="s">
        <v>123</v>
      </c>
      <c r="D1399" s="37" t="s">
        <v>77</v>
      </c>
      <c r="E1399" s="37" t="s">
        <v>5</v>
      </c>
      <c r="F1399" s="37" t="s">
        <v>171</v>
      </c>
      <c r="G1399" s="37" t="s">
        <v>77</v>
      </c>
      <c r="H1399" s="37" t="s">
        <v>132</v>
      </c>
      <c r="I1399" s="37" t="s">
        <v>127</v>
      </c>
      <c r="J1399" s="37" t="s">
        <v>34</v>
      </c>
      <c r="K1399" s="38">
        <v>0.896563</v>
      </c>
      <c r="L1399" s="39"/>
      <c r="M1399" s="37"/>
      <c r="N1399" s="40">
        <v>0.193</v>
      </c>
      <c r="O1399" s="38">
        <v>0.192332</v>
      </c>
      <c r="P1399" s="38">
        <v>5.0100000000000003E-4</v>
      </c>
      <c r="Q1399" s="38">
        <v>2.7300000000000002E-4</v>
      </c>
      <c r="R1399" s="40">
        <v>0.193</v>
      </c>
      <c r="S1399" s="38">
        <v>0.192332</v>
      </c>
      <c r="T1399" s="38">
        <v>5.0100000000000003E-4</v>
      </c>
      <c r="U1399" s="38">
        <v>2.7399999999999999E-4</v>
      </c>
      <c r="V1399" s="8">
        <f t="shared" si="22"/>
        <v>2023</v>
      </c>
    </row>
    <row r="1400" spans="1:22" s="41" customFormat="1" ht="20.399999999999999" hidden="1" x14ac:dyDescent="0.3">
      <c r="A1400" s="36">
        <v>45017</v>
      </c>
      <c r="B1400" s="37" t="s">
        <v>19</v>
      </c>
      <c r="C1400" s="37" t="s">
        <v>123</v>
      </c>
      <c r="D1400" s="37" t="s">
        <v>77</v>
      </c>
      <c r="E1400" s="37" t="s">
        <v>5</v>
      </c>
      <c r="F1400" s="37" t="s">
        <v>171</v>
      </c>
      <c r="G1400" s="37" t="s">
        <v>77</v>
      </c>
      <c r="H1400" s="37" t="s">
        <v>132</v>
      </c>
      <c r="I1400" s="37" t="s">
        <v>127</v>
      </c>
      <c r="J1400" s="37" t="s">
        <v>34</v>
      </c>
      <c r="K1400" s="38">
        <v>7.3267769999999999</v>
      </c>
      <c r="L1400" s="39"/>
      <c r="M1400" s="37"/>
      <c r="N1400" s="40">
        <v>1.3280000000000001</v>
      </c>
      <c r="O1400" s="38">
        <v>1.3265</v>
      </c>
      <c r="P1400" s="38">
        <v>6.8300000000000001E-4</v>
      </c>
      <c r="Q1400" s="38">
        <v>7.45E-4</v>
      </c>
      <c r="R1400" s="40">
        <v>1.3280000000000001</v>
      </c>
      <c r="S1400" s="38">
        <v>1.3265</v>
      </c>
      <c r="T1400" s="38">
        <v>6.8300000000000001E-4</v>
      </c>
      <c r="U1400" s="38">
        <v>7.45E-4</v>
      </c>
      <c r="V1400" s="8">
        <f t="shared" si="22"/>
        <v>2023</v>
      </c>
    </row>
    <row r="1401" spans="1:22" s="41" customFormat="1" ht="20.399999999999999" hidden="1" x14ac:dyDescent="0.3">
      <c r="A1401" s="36">
        <v>45047</v>
      </c>
      <c r="B1401" s="37" t="s">
        <v>19</v>
      </c>
      <c r="C1401" s="37" t="s">
        <v>123</v>
      </c>
      <c r="D1401" s="37" t="s">
        <v>77</v>
      </c>
      <c r="E1401" s="37" t="s">
        <v>5</v>
      </c>
      <c r="F1401" s="37" t="s">
        <v>171</v>
      </c>
      <c r="G1401" s="37" t="s">
        <v>77</v>
      </c>
      <c r="H1401" s="37" t="s">
        <v>132</v>
      </c>
      <c r="I1401" s="37" t="s">
        <v>127</v>
      </c>
      <c r="J1401" s="37" t="s">
        <v>34</v>
      </c>
      <c r="K1401" s="38">
        <v>5.8907290000000003</v>
      </c>
      <c r="L1401" s="39"/>
      <c r="M1401" s="37"/>
      <c r="N1401" s="40">
        <v>1.0680000000000001</v>
      </c>
      <c r="O1401" s="38">
        <v>1.066506</v>
      </c>
      <c r="P1401" s="38">
        <v>5.4900000000000001E-4</v>
      </c>
      <c r="Q1401" s="38">
        <v>5.9900000000000003E-4</v>
      </c>
      <c r="R1401" s="40">
        <v>1.0680000000000001</v>
      </c>
      <c r="S1401" s="38">
        <v>1.066506</v>
      </c>
      <c r="T1401" s="38">
        <v>5.4900000000000001E-4</v>
      </c>
      <c r="U1401" s="38">
        <v>5.9900000000000003E-4</v>
      </c>
      <c r="V1401" s="8">
        <f t="shared" si="22"/>
        <v>2023</v>
      </c>
    </row>
    <row r="1402" spans="1:22" s="41" customFormat="1" ht="20.399999999999999" hidden="1" x14ac:dyDescent="0.3">
      <c r="A1402" s="36">
        <v>45047</v>
      </c>
      <c r="B1402" s="37" t="s">
        <v>20</v>
      </c>
      <c r="C1402" s="37" t="s">
        <v>123</v>
      </c>
      <c r="D1402" s="37" t="s">
        <v>77</v>
      </c>
      <c r="E1402" s="37" t="s">
        <v>5</v>
      </c>
      <c r="F1402" s="37" t="s">
        <v>171</v>
      </c>
      <c r="G1402" s="37" t="s">
        <v>77</v>
      </c>
      <c r="H1402" s="37" t="s">
        <v>132</v>
      </c>
      <c r="I1402" s="37" t="s">
        <v>127</v>
      </c>
      <c r="J1402" s="37" t="s">
        <v>34</v>
      </c>
      <c r="K1402" s="38">
        <v>0.63506499999999999</v>
      </c>
      <c r="L1402" s="39"/>
      <c r="M1402" s="37"/>
      <c r="N1402" s="40">
        <v>0.13700000000000001</v>
      </c>
      <c r="O1402" s="38">
        <v>0.13623499999999999</v>
      </c>
      <c r="P1402" s="38">
        <v>3.5500000000000001E-4</v>
      </c>
      <c r="Q1402" s="38">
        <v>1.94E-4</v>
      </c>
      <c r="R1402" s="40">
        <v>0.13700000000000001</v>
      </c>
      <c r="S1402" s="38">
        <v>0.13623499999999999</v>
      </c>
      <c r="T1402" s="38">
        <v>3.5500000000000001E-4</v>
      </c>
      <c r="U1402" s="38">
        <v>1.94E-4</v>
      </c>
      <c r="V1402" s="8">
        <f t="shared" si="22"/>
        <v>2023</v>
      </c>
    </row>
    <row r="1403" spans="1:22" s="41" customFormat="1" ht="20.399999999999999" hidden="1" x14ac:dyDescent="0.3">
      <c r="A1403" s="36">
        <v>45078</v>
      </c>
      <c r="B1403" s="37" t="s">
        <v>19</v>
      </c>
      <c r="C1403" s="37" t="s">
        <v>123</v>
      </c>
      <c r="D1403" s="37" t="s">
        <v>77</v>
      </c>
      <c r="E1403" s="37" t="s">
        <v>5</v>
      </c>
      <c r="F1403" s="37" t="s">
        <v>171</v>
      </c>
      <c r="G1403" s="37" t="s">
        <v>77</v>
      </c>
      <c r="H1403" s="37" t="s">
        <v>132</v>
      </c>
      <c r="I1403" s="37" t="s">
        <v>127</v>
      </c>
      <c r="J1403" s="37" t="s">
        <v>34</v>
      </c>
      <c r="K1403" s="38">
        <v>8.6162890000000001</v>
      </c>
      <c r="L1403" s="39"/>
      <c r="M1403" s="37"/>
      <c r="N1403" s="40">
        <v>1.5620000000000001</v>
      </c>
      <c r="O1403" s="38">
        <v>1.5599639999999999</v>
      </c>
      <c r="P1403" s="38">
        <v>8.03E-4</v>
      </c>
      <c r="Q1403" s="38">
        <v>8.7600000000000004E-4</v>
      </c>
      <c r="R1403" s="40">
        <v>1.5620000000000001</v>
      </c>
      <c r="S1403" s="38">
        <v>1.5599639999999999</v>
      </c>
      <c r="T1403" s="38">
        <v>8.03E-4</v>
      </c>
      <c r="U1403" s="38">
        <v>8.7600000000000004E-4</v>
      </c>
      <c r="V1403" s="8">
        <f t="shared" si="22"/>
        <v>2023</v>
      </c>
    </row>
    <row r="1404" spans="1:22" s="41" customFormat="1" ht="20.399999999999999" hidden="1" x14ac:dyDescent="0.3">
      <c r="A1404" s="36">
        <v>45108</v>
      </c>
      <c r="B1404" s="37" t="s">
        <v>19</v>
      </c>
      <c r="C1404" s="37" t="s">
        <v>123</v>
      </c>
      <c r="D1404" s="37" t="s">
        <v>77</v>
      </c>
      <c r="E1404" s="37" t="s">
        <v>5</v>
      </c>
      <c r="F1404" s="37" t="s">
        <v>171</v>
      </c>
      <c r="G1404" s="37" t="s">
        <v>77</v>
      </c>
      <c r="H1404" s="37" t="s">
        <v>132</v>
      </c>
      <c r="I1404" s="37" t="s">
        <v>127</v>
      </c>
      <c r="J1404" s="37" t="s">
        <v>34</v>
      </c>
      <c r="K1404" s="38">
        <v>3.3410099999999998</v>
      </c>
      <c r="L1404" s="39"/>
      <c r="M1404" s="37"/>
      <c r="N1404" s="40">
        <v>0.60599999999999998</v>
      </c>
      <c r="O1404" s="38">
        <v>0.60488399999999998</v>
      </c>
      <c r="P1404" s="38">
        <v>3.1100000000000002E-4</v>
      </c>
      <c r="Q1404" s="38">
        <v>3.4000000000000002E-4</v>
      </c>
      <c r="R1404" s="40">
        <v>0.60599999999999998</v>
      </c>
      <c r="S1404" s="38">
        <v>0.60488399999999998</v>
      </c>
      <c r="T1404" s="38">
        <v>3.1100000000000002E-4</v>
      </c>
      <c r="U1404" s="38">
        <v>3.4000000000000002E-4</v>
      </c>
      <c r="V1404" s="8">
        <f t="shared" si="22"/>
        <v>2023</v>
      </c>
    </row>
    <row r="1405" spans="1:22" s="41" customFormat="1" ht="20.399999999999999" hidden="1" x14ac:dyDescent="0.3">
      <c r="A1405" s="36">
        <v>45139</v>
      </c>
      <c r="B1405" s="37" t="s">
        <v>19</v>
      </c>
      <c r="C1405" s="37" t="s">
        <v>123</v>
      </c>
      <c r="D1405" s="37" t="s">
        <v>77</v>
      </c>
      <c r="E1405" s="37" t="s">
        <v>5</v>
      </c>
      <c r="F1405" s="37" t="s">
        <v>171</v>
      </c>
      <c r="G1405" s="37" t="s">
        <v>77</v>
      </c>
      <c r="H1405" s="37" t="s">
        <v>132</v>
      </c>
      <c r="I1405" s="37" t="s">
        <v>127</v>
      </c>
      <c r="J1405" s="37" t="s">
        <v>34</v>
      </c>
      <c r="K1405" s="38">
        <v>5.1873579999999997</v>
      </c>
      <c r="L1405" s="39"/>
      <c r="M1405" s="37"/>
      <c r="N1405" s="40">
        <v>0.94</v>
      </c>
      <c r="O1405" s="38">
        <v>0.93916200000000005</v>
      </c>
      <c r="P1405" s="38">
        <v>4.8299999999999998E-4</v>
      </c>
      <c r="Q1405" s="38">
        <v>5.2700000000000002E-4</v>
      </c>
      <c r="R1405" s="40">
        <v>0.94</v>
      </c>
      <c r="S1405" s="38">
        <v>0.93916200000000005</v>
      </c>
      <c r="T1405" s="38">
        <v>4.8299999999999998E-4</v>
      </c>
      <c r="U1405" s="38">
        <v>5.2700000000000002E-4</v>
      </c>
      <c r="V1405" s="8">
        <f t="shared" si="22"/>
        <v>2023</v>
      </c>
    </row>
    <row r="1406" spans="1:22" s="41" customFormat="1" ht="20.399999999999999" hidden="1" x14ac:dyDescent="0.3">
      <c r="A1406" s="36">
        <v>45139</v>
      </c>
      <c r="B1406" s="37" t="s">
        <v>20</v>
      </c>
      <c r="C1406" s="37" t="s">
        <v>123</v>
      </c>
      <c r="D1406" s="37" t="s">
        <v>77</v>
      </c>
      <c r="E1406" s="37" t="s">
        <v>5</v>
      </c>
      <c r="F1406" s="37" t="s">
        <v>171</v>
      </c>
      <c r="G1406" s="37" t="s">
        <v>77</v>
      </c>
      <c r="H1406" s="37" t="s">
        <v>132</v>
      </c>
      <c r="I1406" s="37" t="s">
        <v>127</v>
      </c>
      <c r="J1406" s="37" t="s">
        <v>34</v>
      </c>
      <c r="K1406" s="38">
        <v>0.57369400000000004</v>
      </c>
      <c r="L1406" s="39"/>
      <c r="M1406" s="37"/>
      <c r="N1406" s="40">
        <v>0.124</v>
      </c>
      <c r="O1406" s="38">
        <v>0.12307</v>
      </c>
      <c r="P1406" s="38">
        <v>3.21E-4</v>
      </c>
      <c r="Q1406" s="38">
        <v>1.75E-4</v>
      </c>
      <c r="R1406" s="40">
        <v>0.124</v>
      </c>
      <c r="S1406" s="38">
        <v>0.12307</v>
      </c>
      <c r="T1406" s="38">
        <v>3.21E-4</v>
      </c>
      <c r="U1406" s="38">
        <v>1.75E-4</v>
      </c>
      <c r="V1406" s="8">
        <f t="shared" si="22"/>
        <v>2023</v>
      </c>
    </row>
    <row r="1407" spans="1:22" s="41" customFormat="1" ht="20.399999999999999" hidden="1" x14ac:dyDescent="0.3">
      <c r="A1407" s="36">
        <v>45170</v>
      </c>
      <c r="B1407" s="37" t="s">
        <v>19</v>
      </c>
      <c r="C1407" s="37" t="s">
        <v>123</v>
      </c>
      <c r="D1407" s="37" t="s">
        <v>77</v>
      </c>
      <c r="E1407" s="37" t="s">
        <v>5</v>
      </c>
      <c r="F1407" s="37" t="s">
        <v>171</v>
      </c>
      <c r="G1407" s="37" t="s">
        <v>77</v>
      </c>
      <c r="H1407" s="37" t="s">
        <v>132</v>
      </c>
      <c r="I1407" s="37" t="s">
        <v>127</v>
      </c>
      <c r="J1407" s="37" t="s">
        <v>34</v>
      </c>
      <c r="K1407" s="38">
        <v>5.1873579999999997</v>
      </c>
      <c r="L1407" s="39"/>
      <c r="M1407" s="37"/>
      <c r="N1407" s="40">
        <v>0.94</v>
      </c>
      <c r="O1407" s="38">
        <v>0.93916200000000005</v>
      </c>
      <c r="P1407" s="38">
        <v>4.8299999999999998E-4</v>
      </c>
      <c r="Q1407" s="38">
        <v>5.2700000000000002E-4</v>
      </c>
      <c r="R1407" s="40">
        <v>0.94</v>
      </c>
      <c r="S1407" s="38">
        <v>0.93916200000000005</v>
      </c>
      <c r="T1407" s="38">
        <v>4.8299999999999998E-4</v>
      </c>
      <c r="U1407" s="38">
        <v>5.2700000000000002E-4</v>
      </c>
      <c r="V1407" s="8">
        <f t="shared" si="22"/>
        <v>2023</v>
      </c>
    </row>
    <row r="1408" spans="1:22" s="41" customFormat="1" ht="20.399999999999999" hidden="1" x14ac:dyDescent="0.3">
      <c r="A1408" s="36">
        <v>45200</v>
      </c>
      <c r="B1408" s="37" t="s">
        <v>19</v>
      </c>
      <c r="C1408" s="37" t="s">
        <v>123</v>
      </c>
      <c r="D1408" s="37" t="s">
        <v>77</v>
      </c>
      <c r="E1408" s="37" t="s">
        <v>5</v>
      </c>
      <c r="F1408" s="37" t="s">
        <v>171</v>
      </c>
      <c r="G1408" s="37" t="s">
        <v>77</v>
      </c>
      <c r="H1408" s="37" t="s">
        <v>132</v>
      </c>
      <c r="I1408" s="37" t="s">
        <v>127</v>
      </c>
      <c r="J1408" s="37" t="s">
        <v>34</v>
      </c>
      <c r="K1408" s="38">
        <v>4.6598300000000004</v>
      </c>
      <c r="L1408" s="39"/>
      <c r="M1408" s="37"/>
      <c r="N1408" s="40">
        <v>0.84499999999999997</v>
      </c>
      <c r="O1408" s="38">
        <v>0.84365400000000002</v>
      </c>
      <c r="P1408" s="38">
        <v>4.3399999999999998E-4</v>
      </c>
      <c r="Q1408" s="38">
        <v>4.7399999999999997E-4</v>
      </c>
      <c r="R1408" s="40">
        <v>0.84499999999999997</v>
      </c>
      <c r="S1408" s="38">
        <v>0.84365400000000002</v>
      </c>
      <c r="T1408" s="38">
        <v>4.3399999999999998E-4</v>
      </c>
      <c r="U1408" s="38">
        <v>4.7399999999999997E-4</v>
      </c>
      <c r="V1408" s="8">
        <f t="shared" si="22"/>
        <v>2023</v>
      </c>
    </row>
    <row r="1409" spans="1:22" s="41" customFormat="1" ht="20.399999999999999" hidden="1" x14ac:dyDescent="0.3">
      <c r="A1409" s="36">
        <v>45231</v>
      </c>
      <c r="B1409" s="37" t="s">
        <v>19</v>
      </c>
      <c r="C1409" s="37" t="s">
        <v>123</v>
      </c>
      <c r="D1409" s="37" t="s">
        <v>77</v>
      </c>
      <c r="E1409" s="37" t="s">
        <v>5</v>
      </c>
      <c r="F1409" s="37" t="s">
        <v>171</v>
      </c>
      <c r="G1409" s="37" t="s">
        <v>77</v>
      </c>
      <c r="H1409" s="37" t="s">
        <v>132</v>
      </c>
      <c r="I1409" s="37" t="s">
        <v>127</v>
      </c>
      <c r="J1409" s="37" t="s">
        <v>34</v>
      </c>
      <c r="K1409" s="38">
        <v>2.3738760000000001</v>
      </c>
      <c r="L1409" s="42">
        <v>187.79</v>
      </c>
      <c r="M1409" s="37"/>
      <c r="N1409" s="40">
        <v>0.43</v>
      </c>
      <c r="O1409" s="38">
        <v>0.429786</v>
      </c>
      <c r="P1409" s="38">
        <v>2.2100000000000001E-4</v>
      </c>
      <c r="Q1409" s="38">
        <v>2.41E-4</v>
      </c>
      <c r="R1409" s="40">
        <v>0.43</v>
      </c>
      <c r="S1409" s="38">
        <v>0.429786</v>
      </c>
      <c r="T1409" s="38">
        <v>2.2100000000000001E-4</v>
      </c>
      <c r="U1409" s="38">
        <v>2.41E-4</v>
      </c>
      <c r="V1409" s="8">
        <f t="shared" si="22"/>
        <v>2023</v>
      </c>
    </row>
    <row r="1410" spans="1:22" s="41" customFormat="1" ht="20.399999999999999" hidden="1" x14ac:dyDescent="0.3">
      <c r="A1410" s="36">
        <v>45231</v>
      </c>
      <c r="B1410" s="37" t="s">
        <v>20</v>
      </c>
      <c r="C1410" s="37" t="s">
        <v>123</v>
      </c>
      <c r="D1410" s="37" t="s">
        <v>77</v>
      </c>
      <c r="E1410" s="37" t="s">
        <v>5</v>
      </c>
      <c r="F1410" s="37" t="s">
        <v>171</v>
      </c>
      <c r="G1410" s="37" t="s">
        <v>77</v>
      </c>
      <c r="H1410" s="37" t="s">
        <v>132</v>
      </c>
      <c r="I1410" s="37" t="s">
        <v>127</v>
      </c>
      <c r="J1410" s="37" t="s">
        <v>34</v>
      </c>
      <c r="K1410" s="38">
        <v>1.2514529999999999</v>
      </c>
      <c r="L1410" s="42">
        <v>332.39</v>
      </c>
      <c r="M1410" s="37"/>
      <c r="N1410" s="40">
        <v>0.27</v>
      </c>
      <c r="O1410" s="38">
        <v>0.26846300000000001</v>
      </c>
      <c r="P1410" s="38">
        <v>6.9899999999999997E-4</v>
      </c>
      <c r="Q1410" s="38">
        <v>3.8200000000000002E-4</v>
      </c>
      <c r="R1410" s="40">
        <v>0.27</v>
      </c>
      <c r="S1410" s="38">
        <v>0.26846300000000001</v>
      </c>
      <c r="T1410" s="38">
        <v>6.9899999999999997E-4</v>
      </c>
      <c r="U1410" s="38">
        <v>3.8200000000000002E-4</v>
      </c>
      <c r="V1410" s="8">
        <f t="shared" si="22"/>
        <v>2023</v>
      </c>
    </row>
    <row r="1411" spans="1:22" s="41" customFormat="1" ht="20.399999999999999" hidden="1" x14ac:dyDescent="0.3">
      <c r="A1411" s="36">
        <v>45261</v>
      </c>
      <c r="B1411" s="37" t="s">
        <v>19</v>
      </c>
      <c r="C1411" s="37" t="s">
        <v>123</v>
      </c>
      <c r="D1411" s="37" t="s">
        <v>77</v>
      </c>
      <c r="E1411" s="37" t="s">
        <v>5</v>
      </c>
      <c r="F1411" s="37" t="s">
        <v>171</v>
      </c>
      <c r="G1411" s="37" t="s">
        <v>77</v>
      </c>
      <c r="H1411" s="37" t="s">
        <v>132</v>
      </c>
      <c r="I1411" s="37" t="s">
        <v>127</v>
      </c>
      <c r="J1411" s="37" t="s">
        <v>34</v>
      </c>
      <c r="K1411" s="38">
        <v>3.8392309999999998</v>
      </c>
      <c r="L1411" s="42">
        <v>271.66000000000003</v>
      </c>
      <c r="M1411" s="37"/>
      <c r="N1411" s="40">
        <v>0.69599999999999995</v>
      </c>
      <c r="O1411" s="38">
        <v>0.69508599999999998</v>
      </c>
      <c r="P1411" s="38">
        <v>3.5799999999999997E-4</v>
      </c>
      <c r="Q1411" s="38">
        <v>3.8999999999999999E-4</v>
      </c>
      <c r="R1411" s="40">
        <v>0.69599999999999995</v>
      </c>
      <c r="S1411" s="38">
        <v>0.69508599999999998</v>
      </c>
      <c r="T1411" s="38">
        <v>3.5799999999999997E-4</v>
      </c>
      <c r="U1411" s="38">
        <v>3.8999999999999999E-4</v>
      </c>
      <c r="V1411" s="8">
        <f t="shared" si="22"/>
        <v>2023</v>
      </c>
    </row>
    <row r="1412" spans="1:22" s="41" customFormat="1" ht="20.399999999999999" hidden="1" x14ac:dyDescent="0.3">
      <c r="A1412" s="36">
        <v>44562</v>
      </c>
      <c r="B1412" s="37" t="s">
        <v>23</v>
      </c>
      <c r="C1412" s="37" t="s">
        <v>123</v>
      </c>
      <c r="D1412" s="37" t="s">
        <v>77</v>
      </c>
      <c r="E1412" s="37" t="s">
        <v>6</v>
      </c>
      <c r="F1412" s="37" t="s">
        <v>171</v>
      </c>
      <c r="G1412" s="37" t="s">
        <v>77</v>
      </c>
      <c r="H1412" s="37" t="s">
        <v>132</v>
      </c>
      <c r="I1412" s="37" t="s">
        <v>127</v>
      </c>
      <c r="J1412" s="37" t="s">
        <v>34</v>
      </c>
      <c r="K1412" s="38">
        <v>14.484</v>
      </c>
      <c r="L1412" s="39"/>
      <c r="M1412" s="37"/>
      <c r="N1412" s="40">
        <v>5.391</v>
      </c>
      <c r="O1412" s="38">
        <v>5.3909250000000002</v>
      </c>
      <c r="P1412" s="39"/>
      <c r="Q1412" s="39"/>
      <c r="R1412" s="40">
        <v>5.407</v>
      </c>
      <c r="S1412" s="38">
        <v>5.3850020000000001</v>
      </c>
      <c r="T1412" s="38">
        <v>1.2555E-2</v>
      </c>
      <c r="U1412" s="38">
        <v>9.5320000000000005E-3</v>
      </c>
      <c r="V1412" s="8">
        <f t="shared" si="22"/>
        <v>2022</v>
      </c>
    </row>
    <row r="1413" spans="1:22" s="41" customFormat="1" ht="20.399999999999999" hidden="1" x14ac:dyDescent="0.3">
      <c r="A1413" s="36">
        <v>44593</v>
      </c>
      <c r="B1413" s="37" t="s">
        <v>23</v>
      </c>
      <c r="C1413" s="37" t="s">
        <v>123</v>
      </c>
      <c r="D1413" s="37" t="s">
        <v>77</v>
      </c>
      <c r="E1413" s="37" t="s">
        <v>6</v>
      </c>
      <c r="F1413" s="37" t="s">
        <v>171</v>
      </c>
      <c r="G1413" s="37" t="s">
        <v>77</v>
      </c>
      <c r="H1413" s="37" t="s">
        <v>132</v>
      </c>
      <c r="I1413" s="37" t="s">
        <v>127</v>
      </c>
      <c r="J1413" s="37" t="s">
        <v>34</v>
      </c>
      <c r="K1413" s="38">
        <v>14.484</v>
      </c>
      <c r="L1413" s="39"/>
      <c r="M1413" s="37"/>
      <c r="N1413" s="40">
        <v>5.391</v>
      </c>
      <c r="O1413" s="38">
        <v>5.3909250000000002</v>
      </c>
      <c r="P1413" s="39"/>
      <c r="Q1413" s="39"/>
      <c r="R1413" s="40">
        <v>5.407</v>
      </c>
      <c r="S1413" s="38">
        <v>5.3850020000000001</v>
      </c>
      <c r="T1413" s="38">
        <v>1.2555E-2</v>
      </c>
      <c r="U1413" s="38">
        <v>9.5320000000000005E-3</v>
      </c>
      <c r="V1413" s="8">
        <f t="shared" si="22"/>
        <v>2022</v>
      </c>
    </row>
    <row r="1414" spans="1:22" s="41" customFormat="1" ht="20.399999999999999" hidden="1" x14ac:dyDescent="0.3">
      <c r="A1414" s="36">
        <v>44621</v>
      </c>
      <c r="B1414" s="37" t="s">
        <v>23</v>
      </c>
      <c r="C1414" s="37" t="s">
        <v>123</v>
      </c>
      <c r="D1414" s="37" t="s">
        <v>77</v>
      </c>
      <c r="E1414" s="37" t="s">
        <v>6</v>
      </c>
      <c r="F1414" s="37" t="s">
        <v>171</v>
      </c>
      <c r="G1414" s="37" t="s">
        <v>77</v>
      </c>
      <c r="H1414" s="37" t="s">
        <v>132</v>
      </c>
      <c r="I1414" s="37" t="s">
        <v>127</v>
      </c>
      <c r="J1414" s="37" t="s">
        <v>34</v>
      </c>
      <c r="K1414" s="38">
        <v>14.484</v>
      </c>
      <c r="L1414" s="39"/>
      <c r="M1414" s="37"/>
      <c r="N1414" s="40">
        <v>5.391</v>
      </c>
      <c r="O1414" s="38">
        <v>5.3909250000000002</v>
      </c>
      <c r="P1414" s="39"/>
      <c r="Q1414" s="39"/>
      <c r="R1414" s="40">
        <v>5.407</v>
      </c>
      <c r="S1414" s="38">
        <v>5.3850020000000001</v>
      </c>
      <c r="T1414" s="38">
        <v>1.2555E-2</v>
      </c>
      <c r="U1414" s="38">
        <v>9.5320000000000005E-3</v>
      </c>
      <c r="V1414" s="8">
        <f t="shared" si="22"/>
        <v>2022</v>
      </c>
    </row>
    <row r="1415" spans="1:22" s="41" customFormat="1" ht="20.399999999999999" hidden="1" x14ac:dyDescent="0.3">
      <c r="A1415" s="36">
        <v>44652</v>
      </c>
      <c r="B1415" s="37" t="s">
        <v>23</v>
      </c>
      <c r="C1415" s="37" t="s">
        <v>123</v>
      </c>
      <c r="D1415" s="37" t="s">
        <v>77</v>
      </c>
      <c r="E1415" s="37" t="s">
        <v>6</v>
      </c>
      <c r="F1415" s="37" t="s">
        <v>171</v>
      </c>
      <c r="G1415" s="37" t="s">
        <v>77</v>
      </c>
      <c r="H1415" s="37" t="s">
        <v>132</v>
      </c>
      <c r="I1415" s="37" t="s">
        <v>127</v>
      </c>
      <c r="J1415" s="37" t="s">
        <v>34</v>
      </c>
      <c r="K1415" s="38">
        <v>14.484</v>
      </c>
      <c r="L1415" s="39"/>
      <c r="M1415" s="37"/>
      <c r="N1415" s="40">
        <v>5.391</v>
      </c>
      <c r="O1415" s="38">
        <v>5.3909250000000002</v>
      </c>
      <c r="P1415" s="39"/>
      <c r="Q1415" s="39"/>
      <c r="R1415" s="40">
        <v>5.407</v>
      </c>
      <c r="S1415" s="38">
        <v>5.3850020000000001</v>
      </c>
      <c r="T1415" s="38">
        <v>1.2555E-2</v>
      </c>
      <c r="U1415" s="38">
        <v>9.5320000000000005E-3</v>
      </c>
      <c r="V1415" s="8">
        <f t="shared" si="22"/>
        <v>2022</v>
      </c>
    </row>
    <row r="1416" spans="1:22" s="41" customFormat="1" ht="20.399999999999999" hidden="1" x14ac:dyDescent="0.3">
      <c r="A1416" s="36">
        <v>44682</v>
      </c>
      <c r="B1416" s="37" t="s">
        <v>23</v>
      </c>
      <c r="C1416" s="37" t="s">
        <v>123</v>
      </c>
      <c r="D1416" s="37" t="s">
        <v>77</v>
      </c>
      <c r="E1416" s="37" t="s">
        <v>6</v>
      </c>
      <c r="F1416" s="37" t="s">
        <v>171</v>
      </c>
      <c r="G1416" s="37" t="s">
        <v>77</v>
      </c>
      <c r="H1416" s="37" t="s">
        <v>132</v>
      </c>
      <c r="I1416" s="37" t="s">
        <v>127</v>
      </c>
      <c r="J1416" s="37" t="s">
        <v>34</v>
      </c>
      <c r="K1416" s="38">
        <v>14.484</v>
      </c>
      <c r="L1416" s="39"/>
      <c r="M1416" s="37"/>
      <c r="N1416" s="40">
        <v>5.391</v>
      </c>
      <c r="O1416" s="38">
        <v>5.3909250000000002</v>
      </c>
      <c r="P1416" s="39"/>
      <c r="Q1416" s="39"/>
      <c r="R1416" s="40">
        <v>5.407</v>
      </c>
      <c r="S1416" s="38">
        <v>5.3850020000000001</v>
      </c>
      <c r="T1416" s="38">
        <v>1.2555E-2</v>
      </c>
      <c r="U1416" s="38">
        <v>9.5320000000000005E-3</v>
      </c>
      <c r="V1416" s="8">
        <f t="shared" si="22"/>
        <v>2022</v>
      </c>
    </row>
    <row r="1417" spans="1:22" s="41" customFormat="1" ht="20.399999999999999" hidden="1" x14ac:dyDescent="0.3">
      <c r="A1417" s="36">
        <v>44713</v>
      </c>
      <c r="B1417" s="37" t="s">
        <v>23</v>
      </c>
      <c r="C1417" s="37" t="s">
        <v>123</v>
      </c>
      <c r="D1417" s="37" t="s">
        <v>77</v>
      </c>
      <c r="E1417" s="37" t="s">
        <v>6</v>
      </c>
      <c r="F1417" s="37" t="s">
        <v>171</v>
      </c>
      <c r="G1417" s="37" t="s">
        <v>77</v>
      </c>
      <c r="H1417" s="37" t="s">
        <v>132</v>
      </c>
      <c r="I1417" s="37" t="s">
        <v>127</v>
      </c>
      <c r="J1417" s="37" t="s">
        <v>34</v>
      </c>
      <c r="K1417" s="38">
        <v>14.484</v>
      </c>
      <c r="L1417" s="39"/>
      <c r="M1417" s="37"/>
      <c r="N1417" s="40">
        <v>5.391</v>
      </c>
      <c r="O1417" s="38">
        <v>5.3909250000000002</v>
      </c>
      <c r="P1417" s="39"/>
      <c r="Q1417" s="39"/>
      <c r="R1417" s="40">
        <v>5.407</v>
      </c>
      <c r="S1417" s="38">
        <v>5.3850020000000001</v>
      </c>
      <c r="T1417" s="38">
        <v>1.2555E-2</v>
      </c>
      <c r="U1417" s="38">
        <v>9.5320000000000005E-3</v>
      </c>
      <c r="V1417" s="8">
        <f t="shared" si="22"/>
        <v>2022</v>
      </c>
    </row>
    <row r="1418" spans="1:22" s="41" customFormat="1" ht="20.399999999999999" hidden="1" x14ac:dyDescent="0.3">
      <c r="A1418" s="36">
        <v>44743</v>
      </c>
      <c r="B1418" s="37" t="s">
        <v>23</v>
      </c>
      <c r="C1418" s="37" t="s">
        <v>123</v>
      </c>
      <c r="D1418" s="37" t="s">
        <v>77</v>
      </c>
      <c r="E1418" s="37" t="s">
        <v>6</v>
      </c>
      <c r="F1418" s="37" t="s">
        <v>171</v>
      </c>
      <c r="G1418" s="37" t="s">
        <v>77</v>
      </c>
      <c r="H1418" s="37" t="s">
        <v>132</v>
      </c>
      <c r="I1418" s="37" t="s">
        <v>127</v>
      </c>
      <c r="J1418" s="37" t="s">
        <v>34</v>
      </c>
      <c r="K1418" s="38">
        <v>14.484</v>
      </c>
      <c r="L1418" s="39"/>
      <c r="M1418" s="37"/>
      <c r="N1418" s="40">
        <v>5.391</v>
      </c>
      <c r="O1418" s="38">
        <v>5.3909250000000002</v>
      </c>
      <c r="P1418" s="39"/>
      <c r="Q1418" s="39"/>
      <c r="R1418" s="40">
        <v>5.407</v>
      </c>
      <c r="S1418" s="38">
        <v>5.3850020000000001</v>
      </c>
      <c r="T1418" s="38">
        <v>1.2555E-2</v>
      </c>
      <c r="U1418" s="38">
        <v>9.5320000000000005E-3</v>
      </c>
      <c r="V1418" s="8">
        <f t="shared" si="22"/>
        <v>2022</v>
      </c>
    </row>
    <row r="1419" spans="1:22" s="41" customFormat="1" ht="20.399999999999999" hidden="1" x14ac:dyDescent="0.3">
      <c r="A1419" s="36">
        <v>44774</v>
      </c>
      <c r="B1419" s="37" t="s">
        <v>23</v>
      </c>
      <c r="C1419" s="37" t="s">
        <v>123</v>
      </c>
      <c r="D1419" s="37" t="s">
        <v>77</v>
      </c>
      <c r="E1419" s="37" t="s">
        <v>6</v>
      </c>
      <c r="F1419" s="37" t="s">
        <v>171</v>
      </c>
      <c r="G1419" s="37" t="s">
        <v>77</v>
      </c>
      <c r="H1419" s="37" t="s">
        <v>132</v>
      </c>
      <c r="I1419" s="37" t="s">
        <v>127</v>
      </c>
      <c r="J1419" s="37" t="s">
        <v>34</v>
      </c>
      <c r="K1419" s="38">
        <v>14.484</v>
      </c>
      <c r="L1419" s="39"/>
      <c r="M1419" s="37"/>
      <c r="N1419" s="40">
        <v>5.391</v>
      </c>
      <c r="O1419" s="38">
        <v>5.3909250000000002</v>
      </c>
      <c r="P1419" s="39"/>
      <c r="Q1419" s="39"/>
      <c r="R1419" s="40">
        <v>5.407</v>
      </c>
      <c r="S1419" s="38">
        <v>5.3850020000000001</v>
      </c>
      <c r="T1419" s="38">
        <v>1.2555E-2</v>
      </c>
      <c r="U1419" s="38">
        <v>9.5320000000000005E-3</v>
      </c>
      <c r="V1419" s="8">
        <f t="shared" si="22"/>
        <v>2022</v>
      </c>
    </row>
    <row r="1420" spans="1:22" s="41" customFormat="1" ht="20.399999999999999" hidden="1" x14ac:dyDescent="0.3">
      <c r="A1420" s="36">
        <v>44805</v>
      </c>
      <c r="B1420" s="37" t="s">
        <v>23</v>
      </c>
      <c r="C1420" s="37" t="s">
        <v>123</v>
      </c>
      <c r="D1420" s="37" t="s">
        <v>77</v>
      </c>
      <c r="E1420" s="37" t="s">
        <v>6</v>
      </c>
      <c r="F1420" s="37" t="s">
        <v>171</v>
      </c>
      <c r="G1420" s="37" t="s">
        <v>77</v>
      </c>
      <c r="H1420" s="37" t="s">
        <v>132</v>
      </c>
      <c r="I1420" s="37" t="s">
        <v>127</v>
      </c>
      <c r="J1420" s="37" t="s">
        <v>34</v>
      </c>
      <c r="K1420" s="38">
        <v>14.484</v>
      </c>
      <c r="L1420" s="39"/>
      <c r="M1420" s="37"/>
      <c r="N1420" s="40">
        <v>5.391</v>
      </c>
      <c r="O1420" s="38">
        <v>5.3909250000000002</v>
      </c>
      <c r="P1420" s="39"/>
      <c r="Q1420" s="39"/>
      <c r="R1420" s="40">
        <v>5.407</v>
      </c>
      <c r="S1420" s="38">
        <v>5.3850020000000001</v>
      </c>
      <c r="T1420" s="38">
        <v>1.2555E-2</v>
      </c>
      <c r="U1420" s="38">
        <v>9.5320000000000005E-3</v>
      </c>
      <c r="V1420" s="8">
        <f t="shared" si="22"/>
        <v>2022</v>
      </c>
    </row>
    <row r="1421" spans="1:22" s="41" customFormat="1" ht="20.399999999999999" hidden="1" x14ac:dyDescent="0.3">
      <c r="A1421" s="36">
        <v>44835</v>
      </c>
      <c r="B1421" s="37" t="s">
        <v>23</v>
      </c>
      <c r="C1421" s="37" t="s">
        <v>123</v>
      </c>
      <c r="D1421" s="37" t="s">
        <v>77</v>
      </c>
      <c r="E1421" s="37" t="s">
        <v>6</v>
      </c>
      <c r="F1421" s="37" t="s">
        <v>171</v>
      </c>
      <c r="G1421" s="37" t="s">
        <v>77</v>
      </c>
      <c r="H1421" s="37" t="s">
        <v>132</v>
      </c>
      <c r="I1421" s="37" t="s">
        <v>127</v>
      </c>
      <c r="J1421" s="37" t="s">
        <v>34</v>
      </c>
      <c r="K1421" s="38">
        <v>14.484</v>
      </c>
      <c r="L1421" s="39"/>
      <c r="M1421" s="37"/>
      <c r="N1421" s="40">
        <v>5.391</v>
      </c>
      <c r="O1421" s="38">
        <v>5.3909250000000002</v>
      </c>
      <c r="P1421" s="39"/>
      <c r="Q1421" s="39"/>
      <c r="R1421" s="40">
        <v>5.407</v>
      </c>
      <c r="S1421" s="38">
        <v>5.3850020000000001</v>
      </c>
      <c r="T1421" s="38">
        <v>1.2555E-2</v>
      </c>
      <c r="U1421" s="38">
        <v>9.5320000000000005E-3</v>
      </c>
      <c r="V1421" s="8">
        <f t="shared" si="22"/>
        <v>2022</v>
      </c>
    </row>
    <row r="1422" spans="1:22" s="41" customFormat="1" ht="20.399999999999999" hidden="1" x14ac:dyDescent="0.3">
      <c r="A1422" s="36">
        <v>44866</v>
      </c>
      <c r="B1422" s="37" t="s">
        <v>23</v>
      </c>
      <c r="C1422" s="37" t="s">
        <v>123</v>
      </c>
      <c r="D1422" s="37" t="s">
        <v>77</v>
      </c>
      <c r="E1422" s="37" t="s">
        <v>6</v>
      </c>
      <c r="F1422" s="37" t="s">
        <v>171</v>
      </c>
      <c r="G1422" s="37" t="s">
        <v>77</v>
      </c>
      <c r="H1422" s="37" t="s">
        <v>132</v>
      </c>
      <c r="I1422" s="37" t="s">
        <v>127</v>
      </c>
      <c r="J1422" s="37" t="s">
        <v>34</v>
      </c>
      <c r="K1422" s="38">
        <v>14.484</v>
      </c>
      <c r="L1422" s="39"/>
      <c r="M1422" s="37"/>
      <c r="N1422" s="40">
        <v>5.391</v>
      </c>
      <c r="O1422" s="38">
        <v>5.3909250000000002</v>
      </c>
      <c r="P1422" s="39"/>
      <c r="Q1422" s="39"/>
      <c r="R1422" s="40">
        <v>5.407</v>
      </c>
      <c r="S1422" s="38">
        <v>5.3850020000000001</v>
      </c>
      <c r="T1422" s="38">
        <v>1.2555E-2</v>
      </c>
      <c r="U1422" s="38">
        <v>9.5320000000000005E-3</v>
      </c>
      <c r="V1422" s="8">
        <f t="shared" si="22"/>
        <v>2022</v>
      </c>
    </row>
    <row r="1423" spans="1:22" s="41" customFormat="1" ht="20.399999999999999" hidden="1" x14ac:dyDescent="0.3">
      <c r="A1423" s="36">
        <v>44896</v>
      </c>
      <c r="B1423" s="37" t="s">
        <v>23</v>
      </c>
      <c r="C1423" s="37" t="s">
        <v>123</v>
      </c>
      <c r="D1423" s="37" t="s">
        <v>77</v>
      </c>
      <c r="E1423" s="37" t="s">
        <v>6</v>
      </c>
      <c r="F1423" s="37" t="s">
        <v>171</v>
      </c>
      <c r="G1423" s="37" t="s">
        <v>77</v>
      </c>
      <c r="H1423" s="37" t="s">
        <v>132</v>
      </c>
      <c r="I1423" s="37" t="s">
        <v>127</v>
      </c>
      <c r="J1423" s="37" t="s">
        <v>34</v>
      </c>
      <c r="K1423" s="38">
        <v>14.484</v>
      </c>
      <c r="L1423" s="39"/>
      <c r="M1423" s="37"/>
      <c r="N1423" s="40">
        <v>5.391</v>
      </c>
      <c r="O1423" s="38">
        <v>5.3909250000000002</v>
      </c>
      <c r="P1423" s="39"/>
      <c r="Q1423" s="39"/>
      <c r="R1423" s="40">
        <v>5.407</v>
      </c>
      <c r="S1423" s="38">
        <v>5.3850020000000001</v>
      </c>
      <c r="T1423" s="38">
        <v>1.2555E-2</v>
      </c>
      <c r="U1423" s="38">
        <v>9.5320000000000005E-3</v>
      </c>
      <c r="V1423" s="8">
        <f t="shared" si="22"/>
        <v>2022</v>
      </c>
    </row>
    <row r="1424" spans="1:22" s="41" customFormat="1" ht="20.399999999999999" hidden="1" x14ac:dyDescent="0.3">
      <c r="A1424" s="36">
        <v>44927</v>
      </c>
      <c r="B1424" s="37" t="s">
        <v>23</v>
      </c>
      <c r="C1424" s="37" t="s">
        <v>123</v>
      </c>
      <c r="D1424" s="37" t="s">
        <v>77</v>
      </c>
      <c r="E1424" s="37" t="s">
        <v>6</v>
      </c>
      <c r="F1424" s="37" t="s">
        <v>171</v>
      </c>
      <c r="G1424" s="37" t="s">
        <v>77</v>
      </c>
      <c r="H1424" s="37" t="s">
        <v>132</v>
      </c>
      <c r="I1424" s="37" t="s">
        <v>127</v>
      </c>
      <c r="J1424" s="37" t="s">
        <v>34</v>
      </c>
      <c r="K1424" s="38">
        <v>13.5616</v>
      </c>
      <c r="L1424" s="39"/>
      <c r="M1424" s="37"/>
      <c r="N1424" s="40">
        <v>5.048</v>
      </c>
      <c r="O1424" s="38">
        <v>5.0476089999999996</v>
      </c>
      <c r="P1424" s="39"/>
      <c r="Q1424" s="39"/>
      <c r="R1424" s="40">
        <v>5.0629999999999997</v>
      </c>
      <c r="S1424" s="38">
        <v>5.0420629999999997</v>
      </c>
      <c r="T1424" s="38">
        <v>1.1755E-2</v>
      </c>
      <c r="U1424" s="38">
        <v>8.9250000000000006E-3</v>
      </c>
      <c r="V1424" s="8">
        <f t="shared" si="22"/>
        <v>2023</v>
      </c>
    </row>
    <row r="1425" spans="1:22" s="41" customFormat="1" ht="20.399999999999999" hidden="1" x14ac:dyDescent="0.3">
      <c r="A1425" s="36">
        <v>44958</v>
      </c>
      <c r="B1425" s="37" t="s">
        <v>23</v>
      </c>
      <c r="C1425" s="37" t="s">
        <v>123</v>
      </c>
      <c r="D1425" s="37" t="s">
        <v>77</v>
      </c>
      <c r="E1425" s="37" t="s">
        <v>6</v>
      </c>
      <c r="F1425" s="37" t="s">
        <v>171</v>
      </c>
      <c r="G1425" s="37" t="s">
        <v>77</v>
      </c>
      <c r="H1425" s="37" t="s">
        <v>132</v>
      </c>
      <c r="I1425" s="37" t="s">
        <v>127</v>
      </c>
      <c r="J1425" s="37" t="s">
        <v>34</v>
      </c>
      <c r="K1425" s="38">
        <v>14.553599999999999</v>
      </c>
      <c r="L1425" s="39"/>
      <c r="M1425" s="37"/>
      <c r="N1425" s="40">
        <v>5.4169999999999998</v>
      </c>
      <c r="O1425" s="38">
        <v>5.41683</v>
      </c>
      <c r="P1425" s="39"/>
      <c r="Q1425" s="39"/>
      <c r="R1425" s="40">
        <v>5.4329999999999998</v>
      </c>
      <c r="S1425" s="38">
        <v>5.4108790000000004</v>
      </c>
      <c r="T1425" s="38">
        <v>1.2614999999999999E-2</v>
      </c>
      <c r="U1425" s="38">
        <v>9.5770000000000004E-3</v>
      </c>
      <c r="V1425" s="8">
        <f t="shared" si="22"/>
        <v>2023</v>
      </c>
    </row>
    <row r="1426" spans="1:22" s="41" customFormat="1" ht="20.399999999999999" hidden="1" x14ac:dyDescent="0.3">
      <c r="A1426" s="36">
        <v>44986</v>
      </c>
      <c r="B1426" s="37" t="s">
        <v>23</v>
      </c>
      <c r="C1426" s="37" t="s">
        <v>123</v>
      </c>
      <c r="D1426" s="37" t="s">
        <v>77</v>
      </c>
      <c r="E1426" s="37" t="s">
        <v>6</v>
      </c>
      <c r="F1426" s="37" t="s">
        <v>171</v>
      </c>
      <c r="G1426" s="37" t="s">
        <v>77</v>
      </c>
      <c r="H1426" s="37" t="s">
        <v>132</v>
      </c>
      <c r="I1426" s="37" t="s">
        <v>127</v>
      </c>
      <c r="J1426" s="37" t="s">
        <v>34</v>
      </c>
      <c r="K1426" s="38">
        <v>13.0024</v>
      </c>
      <c r="L1426" s="39"/>
      <c r="M1426" s="37"/>
      <c r="N1426" s="40">
        <v>4.8390000000000004</v>
      </c>
      <c r="O1426" s="38">
        <v>4.8394750000000002</v>
      </c>
      <c r="P1426" s="39"/>
      <c r="Q1426" s="39"/>
      <c r="R1426" s="40">
        <v>4.8540000000000001</v>
      </c>
      <c r="S1426" s="38">
        <v>4.8341580000000004</v>
      </c>
      <c r="T1426" s="38">
        <v>1.1271E-2</v>
      </c>
      <c r="U1426" s="38">
        <v>8.5570000000000004E-3</v>
      </c>
      <c r="V1426" s="8">
        <f t="shared" si="22"/>
        <v>2023</v>
      </c>
    </row>
    <row r="1427" spans="1:22" s="41" customFormat="1" ht="20.399999999999999" hidden="1" x14ac:dyDescent="0.3">
      <c r="A1427" s="36">
        <v>45017</v>
      </c>
      <c r="B1427" s="37" t="s">
        <v>23</v>
      </c>
      <c r="C1427" s="37" t="s">
        <v>123</v>
      </c>
      <c r="D1427" s="37" t="s">
        <v>77</v>
      </c>
      <c r="E1427" s="37" t="s">
        <v>6</v>
      </c>
      <c r="F1427" s="37" t="s">
        <v>171</v>
      </c>
      <c r="G1427" s="37" t="s">
        <v>77</v>
      </c>
      <c r="H1427" s="37" t="s">
        <v>132</v>
      </c>
      <c r="I1427" s="37" t="s">
        <v>127</v>
      </c>
      <c r="J1427" s="37" t="s">
        <v>34</v>
      </c>
      <c r="K1427" s="38">
        <v>16.192799999999998</v>
      </c>
      <c r="L1427" s="39"/>
      <c r="M1427" s="37"/>
      <c r="N1427" s="40">
        <v>6.0270000000000001</v>
      </c>
      <c r="O1427" s="38">
        <v>6.0269370000000002</v>
      </c>
      <c r="P1427" s="39"/>
      <c r="Q1427" s="39"/>
      <c r="R1427" s="40">
        <v>6.0449999999999999</v>
      </c>
      <c r="S1427" s="38">
        <v>6.0203160000000002</v>
      </c>
      <c r="T1427" s="38">
        <v>1.4036E-2</v>
      </c>
      <c r="U1427" s="38">
        <v>1.0656000000000001E-2</v>
      </c>
      <c r="V1427" s="8">
        <f t="shared" si="22"/>
        <v>2023</v>
      </c>
    </row>
    <row r="1428" spans="1:22" s="41" customFormat="1" ht="20.399999999999999" hidden="1" x14ac:dyDescent="0.3">
      <c r="A1428" s="36">
        <v>45047</v>
      </c>
      <c r="B1428" s="37" t="s">
        <v>23</v>
      </c>
      <c r="C1428" s="37" t="s">
        <v>123</v>
      </c>
      <c r="D1428" s="37" t="s">
        <v>77</v>
      </c>
      <c r="E1428" s="37" t="s">
        <v>6</v>
      </c>
      <c r="F1428" s="37" t="s">
        <v>171</v>
      </c>
      <c r="G1428" s="37" t="s">
        <v>77</v>
      </c>
      <c r="H1428" s="37" t="s">
        <v>132</v>
      </c>
      <c r="I1428" s="37" t="s">
        <v>127</v>
      </c>
      <c r="J1428" s="37" t="s">
        <v>34</v>
      </c>
      <c r="K1428" s="38">
        <v>8.6056000000000008</v>
      </c>
      <c r="L1428" s="39"/>
      <c r="M1428" s="37"/>
      <c r="N1428" s="40">
        <v>3.2029999999999998</v>
      </c>
      <c r="O1428" s="38">
        <v>3.2029920000000001</v>
      </c>
      <c r="P1428" s="39"/>
      <c r="Q1428" s="39"/>
      <c r="R1428" s="40">
        <v>3.2130000000000001</v>
      </c>
      <c r="S1428" s="38">
        <v>3.1994739999999999</v>
      </c>
      <c r="T1428" s="38">
        <v>7.4590000000000004E-3</v>
      </c>
      <c r="U1428" s="38">
        <v>5.6629999999999996E-3</v>
      </c>
      <c r="V1428" s="8">
        <f t="shared" si="22"/>
        <v>2023</v>
      </c>
    </row>
    <row r="1429" spans="1:22" s="41" customFormat="1" ht="20.399999999999999" hidden="1" x14ac:dyDescent="0.3">
      <c r="A1429" s="36">
        <v>45078</v>
      </c>
      <c r="B1429" s="37" t="s">
        <v>23</v>
      </c>
      <c r="C1429" s="37" t="s">
        <v>123</v>
      </c>
      <c r="D1429" s="37" t="s">
        <v>77</v>
      </c>
      <c r="E1429" s="37" t="s">
        <v>6</v>
      </c>
      <c r="F1429" s="37" t="s">
        <v>171</v>
      </c>
      <c r="G1429" s="37" t="s">
        <v>77</v>
      </c>
      <c r="H1429" s="37" t="s">
        <v>132</v>
      </c>
      <c r="I1429" s="37" t="s">
        <v>127</v>
      </c>
      <c r="J1429" s="37" t="s">
        <v>34</v>
      </c>
      <c r="K1429" s="38">
        <v>11.688000000000001</v>
      </c>
      <c r="L1429" s="39"/>
      <c r="M1429" s="37"/>
      <c r="N1429" s="40">
        <v>4.3499999999999996</v>
      </c>
      <c r="O1429" s="38">
        <v>4.350257</v>
      </c>
      <c r="P1429" s="39"/>
      <c r="Q1429" s="39"/>
      <c r="R1429" s="40">
        <v>4.3630000000000004</v>
      </c>
      <c r="S1429" s="38">
        <v>4.345478</v>
      </c>
      <c r="T1429" s="38">
        <v>1.0130999999999999E-2</v>
      </c>
      <c r="U1429" s="38">
        <v>7.6920000000000001E-3</v>
      </c>
      <c r="V1429" s="8">
        <f t="shared" si="22"/>
        <v>2023</v>
      </c>
    </row>
    <row r="1430" spans="1:22" s="41" customFormat="1" ht="20.399999999999999" hidden="1" x14ac:dyDescent="0.3">
      <c r="A1430" s="36">
        <v>45108</v>
      </c>
      <c r="B1430" s="37" t="s">
        <v>23</v>
      </c>
      <c r="C1430" s="37" t="s">
        <v>123</v>
      </c>
      <c r="D1430" s="37" t="s">
        <v>77</v>
      </c>
      <c r="E1430" s="37" t="s">
        <v>6</v>
      </c>
      <c r="F1430" s="37" t="s">
        <v>171</v>
      </c>
      <c r="G1430" s="37" t="s">
        <v>77</v>
      </c>
      <c r="H1430" s="37" t="s">
        <v>132</v>
      </c>
      <c r="I1430" s="37" t="s">
        <v>127</v>
      </c>
      <c r="J1430" s="37" t="s">
        <v>34</v>
      </c>
      <c r="K1430" s="38">
        <v>11.0824</v>
      </c>
      <c r="L1430" s="39"/>
      <c r="M1430" s="37"/>
      <c r="N1430" s="40">
        <v>4.125</v>
      </c>
      <c r="O1430" s="38">
        <v>4.124854</v>
      </c>
      <c r="P1430" s="39"/>
      <c r="Q1430" s="39"/>
      <c r="R1430" s="40">
        <v>4.1369999999999996</v>
      </c>
      <c r="S1430" s="38">
        <v>4.1203219999999998</v>
      </c>
      <c r="T1430" s="38">
        <v>9.606E-3</v>
      </c>
      <c r="U1430" s="38">
        <v>7.293E-3</v>
      </c>
      <c r="V1430" s="8">
        <f t="shared" si="22"/>
        <v>2023</v>
      </c>
    </row>
    <row r="1431" spans="1:22" s="41" customFormat="1" ht="20.399999999999999" hidden="1" x14ac:dyDescent="0.3">
      <c r="A1431" s="36">
        <v>45139</v>
      </c>
      <c r="B1431" s="37" t="s">
        <v>23</v>
      </c>
      <c r="C1431" s="37" t="s">
        <v>123</v>
      </c>
      <c r="D1431" s="37" t="s">
        <v>77</v>
      </c>
      <c r="E1431" s="37" t="s">
        <v>6</v>
      </c>
      <c r="F1431" s="37" t="s">
        <v>171</v>
      </c>
      <c r="G1431" s="37" t="s">
        <v>77</v>
      </c>
      <c r="H1431" s="37" t="s">
        <v>132</v>
      </c>
      <c r="I1431" s="37" t="s">
        <v>127</v>
      </c>
      <c r="J1431" s="37" t="s">
        <v>34</v>
      </c>
      <c r="K1431" s="38">
        <v>13.0648</v>
      </c>
      <c r="L1431" s="39"/>
      <c r="M1431" s="37"/>
      <c r="N1431" s="40">
        <v>4.8630000000000004</v>
      </c>
      <c r="O1431" s="38">
        <v>4.8627000000000002</v>
      </c>
      <c r="P1431" s="39"/>
      <c r="Q1431" s="39"/>
      <c r="R1431" s="40">
        <v>4.8769999999999998</v>
      </c>
      <c r="S1431" s="38">
        <v>4.8573579999999996</v>
      </c>
      <c r="T1431" s="38">
        <v>1.1325E-2</v>
      </c>
      <c r="U1431" s="38">
        <v>8.5979999999999997E-3</v>
      </c>
      <c r="V1431" s="8">
        <f t="shared" si="22"/>
        <v>2023</v>
      </c>
    </row>
    <row r="1432" spans="1:22" s="41" customFormat="1" ht="20.399999999999999" hidden="1" x14ac:dyDescent="0.3">
      <c r="A1432" s="36">
        <v>45170</v>
      </c>
      <c r="B1432" s="37" t="s">
        <v>23</v>
      </c>
      <c r="C1432" s="37" t="s">
        <v>123</v>
      </c>
      <c r="D1432" s="37" t="s">
        <v>77</v>
      </c>
      <c r="E1432" s="37" t="s">
        <v>6</v>
      </c>
      <c r="F1432" s="37" t="s">
        <v>171</v>
      </c>
      <c r="G1432" s="37" t="s">
        <v>77</v>
      </c>
      <c r="H1432" s="37" t="s">
        <v>132</v>
      </c>
      <c r="I1432" s="37" t="s">
        <v>127</v>
      </c>
      <c r="J1432" s="37" t="s">
        <v>34</v>
      </c>
      <c r="K1432" s="38">
        <v>12.6408</v>
      </c>
      <c r="L1432" s="39"/>
      <c r="M1432" s="37"/>
      <c r="N1432" s="40">
        <v>4.7050000000000001</v>
      </c>
      <c r="O1432" s="38">
        <v>4.7048880000000004</v>
      </c>
      <c r="P1432" s="39"/>
      <c r="Q1432" s="39"/>
      <c r="R1432" s="40">
        <v>4.7190000000000003</v>
      </c>
      <c r="S1432" s="38">
        <v>4.699719</v>
      </c>
      <c r="T1432" s="38">
        <v>1.0957E-2</v>
      </c>
      <c r="U1432" s="38">
        <v>8.319E-3</v>
      </c>
      <c r="V1432" s="8">
        <f t="shared" si="22"/>
        <v>2023</v>
      </c>
    </row>
    <row r="1433" spans="1:22" s="41" customFormat="1" ht="20.399999999999999" hidden="1" x14ac:dyDescent="0.3">
      <c r="A1433" s="36">
        <v>45200</v>
      </c>
      <c r="B1433" s="37" t="s">
        <v>23</v>
      </c>
      <c r="C1433" s="37" t="s">
        <v>123</v>
      </c>
      <c r="D1433" s="37" t="s">
        <v>77</v>
      </c>
      <c r="E1433" s="37" t="s">
        <v>6</v>
      </c>
      <c r="F1433" s="37" t="s">
        <v>171</v>
      </c>
      <c r="G1433" s="37" t="s">
        <v>77</v>
      </c>
      <c r="H1433" s="37" t="s">
        <v>132</v>
      </c>
      <c r="I1433" s="37" t="s">
        <v>127</v>
      </c>
      <c r="J1433" s="37" t="s">
        <v>34</v>
      </c>
      <c r="K1433" s="38">
        <v>11.234400000000001</v>
      </c>
      <c r="L1433" s="39"/>
      <c r="M1433" s="37"/>
      <c r="N1433" s="40">
        <v>4.181</v>
      </c>
      <c r="O1433" s="38">
        <v>4.1814280000000004</v>
      </c>
      <c r="P1433" s="39"/>
      <c r="Q1433" s="39"/>
      <c r="R1433" s="40">
        <v>4.194</v>
      </c>
      <c r="S1433" s="38">
        <v>4.1768340000000004</v>
      </c>
      <c r="T1433" s="38">
        <v>9.7380000000000001E-3</v>
      </c>
      <c r="U1433" s="38">
        <v>7.3930000000000003E-3</v>
      </c>
      <c r="V1433" s="8">
        <f t="shared" si="22"/>
        <v>2023</v>
      </c>
    </row>
    <row r="1434" spans="1:22" s="41" customFormat="1" ht="20.399999999999999" hidden="1" x14ac:dyDescent="0.3">
      <c r="A1434" s="36">
        <v>45231</v>
      </c>
      <c r="B1434" s="37" t="s">
        <v>23</v>
      </c>
      <c r="C1434" s="37" t="s">
        <v>123</v>
      </c>
      <c r="D1434" s="37" t="s">
        <v>77</v>
      </c>
      <c r="E1434" s="37" t="s">
        <v>6</v>
      </c>
      <c r="F1434" s="37" t="s">
        <v>171</v>
      </c>
      <c r="G1434" s="37" t="s">
        <v>77</v>
      </c>
      <c r="H1434" s="37" t="s">
        <v>132</v>
      </c>
      <c r="I1434" s="37" t="s">
        <v>127</v>
      </c>
      <c r="J1434" s="37" t="s">
        <v>34</v>
      </c>
      <c r="K1434" s="38">
        <v>13.2056</v>
      </c>
      <c r="L1434" s="42">
        <v>42.82</v>
      </c>
      <c r="M1434" s="37"/>
      <c r="N1434" s="40">
        <v>4.915</v>
      </c>
      <c r="O1434" s="38">
        <v>4.9151059999999998</v>
      </c>
      <c r="P1434" s="39"/>
      <c r="Q1434" s="39"/>
      <c r="R1434" s="40">
        <v>4.93</v>
      </c>
      <c r="S1434" s="38">
        <v>4.9097059999999999</v>
      </c>
      <c r="T1434" s="38">
        <v>1.1447000000000001E-2</v>
      </c>
      <c r="U1434" s="38">
        <v>8.6899999999999998E-3</v>
      </c>
      <c r="V1434" s="8">
        <f t="shared" si="22"/>
        <v>2023</v>
      </c>
    </row>
    <row r="1435" spans="1:22" s="41" customFormat="1" ht="20.399999999999999" hidden="1" x14ac:dyDescent="0.3">
      <c r="A1435" s="36">
        <v>45261</v>
      </c>
      <c r="B1435" s="37" t="s">
        <v>23</v>
      </c>
      <c r="C1435" s="37" t="s">
        <v>123</v>
      </c>
      <c r="D1435" s="37" t="s">
        <v>77</v>
      </c>
      <c r="E1435" s="37" t="s">
        <v>6</v>
      </c>
      <c r="F1435" s="37" t="s">
        <v>171</v>
      </c>
      <c r="G1435" s="37" t="s">
        <v>77</v>
      </c>
      <c r="H1435" s="37" t="s">
        <v>132</v>
      </c>
      <c r="I1435" s="37" t="s">
        <v>127</v>
      </c>
      <c r="J1435" s="37" t="s">
        <v>34</v>
      </c>
      <c r="K1435" s="38">
        <v>9.0904000000000007</v>
      </c>
      <c r="L1435" s="42">
        <v>1954.65</v>
      </c>
      <c r="M1435" s="37"/>
      <c r="N1435" s="40">
        <v>3.383</v>
      </c>
      <c r="O1435" s="38">
        <v>3.3834339999999998</v>
      </c>
      <c r="P1435" s="39"/>
      <c r="Q1435" s="39"/>
      <c r="R1435" s="40">
        <v>3.3940000000000001</v>
      </c>
      <c r="S1435" s="38">
        <v>3.3797169999999999</v>
      </c>
      <c r="T1435" s="38">
        <v>7.8799999999999999E-3</v>
      </c>
      <c r="U1435" s="38">
        <v>5.9820000000000003E-3</v>
      </c>
      <c r="V1435" s="8">
        <f t="shared" si="22"/>
        <v>2023</v>
      </c>
    </row>
    <row r="1436" spans="1:22" s="41" customFormat="1" ht="20.399999999999999" hidden="1" x14ac:dyDescent="0.3">
      <c r="A1436" s="36">
        <v>44927</v>
      </c>
      <c r="B1436" s="37" t="s">
        <v>30</v>
      </c>
      <c r="C1436" s="37" t="s">
        <v>123</v>
      </c>
      <c r="D1436" s="37" t="s">
        <v>77</v>
      </c>
      <c r="E1436" s="37" t="s">
        <v>7</v>
      </c>
      <c r="F1436" s="37" t="s">
        <v>171</v>
      </c>
      <c r="G1436" s="37" t="s">
        <v>77</v>
      </c>
      <c r="H1436" s="37" t="s">
        <v>132</v>
      </c>
      <c r="I1436" s="37" t="s">
        <v>127</v>
      </c>
      <c r="J1436" s="37" t="s">
        <v>52</v>
      </c>
      <c r="K1436" s="38">
        <v>21.6</v>
      </c>
      <c r="L1436" s="39"/>
      <c r="M1436" s="37"/>
      <c r="N1436" s="40">
        <v>10.196</v>
      </c>
      <c r="O1436" s="38">
        <v>10.196058000000001</v>
      </c>
      <c r="P1436" s="39"/>
      <c r="Q1436" s="39"/>
      <c r="R1436" s="40">
        <v>10.196</v>
      </c>
      <c r="S1436" s="38">
        <v>10.196058000000001</v>
      </c>
      <c r="T1436" s="39"/>
      <c r="U1436" s="39"/>
      <c r="V1436" s="8">
        <f t="shared" si="22"/>
        <v>2023</v>
      </c>
    </row>
    <row r="1437" spans="1:22" s="41" customFormat="1" ht="20.399999999999999" hidden="1" x14ac:dyDescent="0.3">
      <c r="A1437" s="36">
        <v>44958</v>
      </c>
      <c r="B1437" s="37" t="s">
        <v>30</v>
      </c>
      <c r="C1437" s="37" t="s">
        <v>123</v>
      </c>
      <c r="D1437" s="37" t="s">
        <v>77</v>
      </c>
      <c r="E1437" s="37" t="s">
        <v>7</v>
      </c>
      <c r="F1437" s="37" t="s">
        <v>171</v>
      </c>
      <c r="G1437" s="37" t="s">
        <v>77</v>
      </c>
      <c r="H1437" s="37" t="s">
        <v>132</v>
      </c>
      <c r="I1437" s="37" t="s">
        <v>127</v>
      </c>
      <c r="J1437" s="37" t="s">
        <v>52</v>
      </c>
      <c r="K1437" s="38">
        <v>21.6</v>
      </c>
      <c r="L1437" s="39"/>
      <c r="M1437" s="37"/>
      <c r="N1437" s="40">
        <v>10.196</v>
      </c>
      <c r="O1437" s="38">
        <v>10.196058000000001</v>
      </c>
      <c r="P1437" s="39"/>
      <c r="Q1437" s="39"/>
      <c r="R1437" s="40">
        <v>10.196</v>
      </c>
      <c r="S1437" s="38">
        <v>10.196058000000001</v>
      </c>
      <c r="T1437" s="39"/>
      <c r="U1437" s="39"/>
      <c r="V1437" s="8">
        <f t="shared" si="22"/>
        <v>2023</v>
      </c>
    </row>
    <row r="1438" spans="1:22" s="41" customFormat="1" ht="20.399999999999999" hidden="1" x14ac:dyDescent="0.3">
      <c r="A1438" s="36">
        <v>44986</v>
      </c>
      <c r="B1438" s="37" t="s">
        <v>30</v>
      </c>
      <c r="C1438" s="37" t="s">
        <v>123</v>
      </c>
      <c r="D1438" s="37" t="s">
        <v>77</v>
      </c>
      <c r="E1438" s="37" t="s">
        <v>7</v>
      </c>
      <c r="F1438" s="37" t="s">
        <v>171</v>
      </c>
      <c r="G1438" s="37" t="s">
        <v>77</v>
      </c>
      <c r="H1438" s="37" t="s">
        <v>132</v>
      </c>
      <c r="I1438" s="37" t="s">
        <v>127</v>
      </c>
      <c r="J1438" s="37" t="s">
        <v>52</v>
      </c>
      <c r="K1438" s="38">
        <v>15.6</v>
      </c>
      <c r="L1438" s="39"/>
      <c r="M1438" s="37"/>
      <c r="N1438" s="40">
        <v>7.3639999999999999</v>
      </c>
      <c r="O1438" s="38">
        <v>7.3638199999999996</v>
      </c>
      <c r="P1438" s="39"/>
      <c r="Q1438" s="39"/>
      <c r="R1438" s="40">
        <v>7.3639999999999999</v>
      </c>
      <c r="S1438" s="38">
        <v>7.3638199999999996</v>
      </c>
      <c r="T1438" s="39"/>
      <c r="U1438" s="39"/>
      <c r="V1438" s="8">
        <f t="shared" si="22"/>
        <v>2023</v>
      </c>
    </row>
    <row r="1439" spans="1:22" s="41" customFormat="1" ht="20.399999999999999" hidden="1" x14ac:dyDescent="0.3">
      <c r="A1439" s="36">
        <v>45017</v>
      </c>
      <c r="B1439" s="37" t="s">
        <v>30</v>
      </c>
      <c r="C1439" s="37" t="s">
        <v>123</v>
      </c>
      <c r="D1439" s="37" t="s">
        <v>77</v>
      </c>
      <c r="E1439" s="37" t="s">
        <v>7</v>
      </c>
      <c r="F1439" s="37" t="s">
        <v>171</v>
      </c>
      <c r="G1439" s="37" t="s">
        <v>77</v>
      </c>
      <c r="H1439" s="37" t="s">
        <v>132</v>
      </c>
      <c r="I1439" s="37" t="s">
        <v>127</v>
      </c>
      <c r="J1439" s="37" t="s">
        <v>52</v>
      </c>
      <c r="K1439" s="38">
        <v>21.6</v>
      </c>
      <c r="L1439" s="39"/>
      <c r="M1439" s="37"/>
      <c r="N1439" s="40">
        <v>10.196</v>
      </c>
      <c r="O1439" s="38">
        <v>10.196058000000001</v>
      </c>
      <c r="P1439" s="39"/>
      <c r="Q1439" s="39"/>
      <c r="R1439" s="40">
        <v>10.196</v>
      </c>
      <c r="S1439" s="38">
        <v>10.196058000000001</v>
      </c>
      <c r="T1439" s="39"/>
      <c r="U1439" s="39"/>
      <c r="V1439" s="8">
        <f t="shared" si="22"/>
        <v>2023</v>
      </c>
    </row>
    <row r="1440" spans="1:22" s="41" customFormat="1" ht="20.399999999999999" hidden="1" x14ac:dyDescent="0.3">
      <c r="A1440" s="36">
        <v>45047</v>
      </c>
      <c r="B1440" s="37" t="s">
        <v>30</v>
      </c>
      <c r="C1440" s="37" t="s">
        <v>123</v>
      </c>
      <c r="D1440" s="37" t="s">
        <v>77</v>
      </c>
      <c r="E1440" s="37" t="s">
        <v>7</v>
      </c>
      <c r="F1440" s="37" t="s">
        <v>171</v>
      </c>
      <c r="G1440" s="37" t="s">
        <v>77</v>
      </c>
      <c r="H1440" s="37" t="s">
        <v>132</v>
      </c>
      <c r="I1440" s="37" t="s">
        <v>127</v>
      </c>
      <c r="J1440" s="37" t="s">
        <v>52</v>
      </c>
      <c r="K1440" s="38">
        <v>15.6</v>
      </c>
      <c r="L1440" s="39"/>
      <c r="M1440" s="37"/>
      <c r="N1440" s="40">
        <v>7.3639999999999999</v>
      </c>
      <c r="O1440" s="38">
        <v>7.3638199999999996</v>
      </c>
      <c r="P1440" s="39"/>
      <c r="Q1440" s="39"/>
      <c r="R1440" s="40">
        <v>7.3639999999999999</v>
      </c>
      <c r="S1440" s="38">
        <v>7.3638199999999996</v>
      </c>
      <c r="T1440" s="39"/>
      <c r="U1440" s="39"/>
      <c r="V1440" s="8">
        <f t="shared" si="22"/>
        <v>2023</v>
      </c>
    </row>
    <row r="1441" spans="1:22" s="41" customFormat="1" ht="20.399999999999999" hidden="1" x14ac:dyDescent="0.3">
      <c r="A1441" s="36">
        <v>45078</v>
      </c>
      <c r="B1441" s="37" t="s">
        <v>30</v>
      </c>
      <c r="C1441" s="37" t="s">
        <v>123</v>
      </c>
      <c r="D1441" s="37" t="s">
        <v>77</v>
      </c>
      <c r="E1441" s="37" t="s">
        <v>7</v>
      </c>
      <c r="F1441" s="37" t="s">
        <v>171</v>
      </c>
      <c r="G1441" s="37" t="s">
        <v>77</v>
      </c>
      <c r="H1441" s="37" t="s">
        <v>132</v>
      </c>
      <c r="I1441" s="37" t="s">
        <v>127</v>
      </c>
      <c r="J1441" s="37" t="s">
        <v>52</v>
      </c>
      <c r="K1441" s="38">
        <v>21.6</v>
      </c>
      <c r="L1441" s="39"/>
      <c r="M1441" s="37"/>
      <c r="N1441" s="40">
        <v>10.196</v>
      </c>
      <c r="O1441" s="38">
        <v>10.196058000000001</v>
      </c>
      <c r="P1441" s="39"/>
      <c r="Q1441" s="39"/>
      <c r="R1441" s="40">
        <v>10.196</v>
      </c>
      <c r="S1441" s="38">
        <v>10.196058000000001</v>
      </c>
      <c r="T1441" s="39"/>
      <c r="U1441" s="39"/>
      <c r="V1441" s="8">
        <f t="shared" si="22"/>
        <v>2023</v>
      </c>
    </row>
    <row r="1442" spans="1:22" s="41" customFormat="1" ht="20.399999999999999" hidden="1" x14ac:dyDescent="0.3">
      <c r="A1442" s="36">
        <v>45108</v>
      </c>
      <c r="B1442" s="37" t="s">
        <v>30</v>
      </c>
      <c r="C1442" s="37" t="s">
        <v>123</v>
      </c>
      <c r="D1442" s="37" t="s">
        <v>77</v>
      </c>
      <c r="E1442" s="37" t="s">
        <v>7</v>
      </c>
      <c r="F1442" s="37" t="s">
        <v>171</v>
      </c>
      <c r="G1442" s="37" t="s">
        <v>77</v>
      </c>
      <c r="H1442" s="37" t="s">
        <v>132</v>
      </c>
      <c r="I1442" s="37" t="s">
        <v>127</v>
      </c>
      <c r="J1442" s="37" t="s">
        <v>52</v>
      </c>
      <c r="K1442" s="38">
        <v>15.6</v>
      </c>
      <c r="L1442" s="39"/>
      <c r="M1442" s="37"/>
      <c r="N1442" s="40">
        <v>7.3639999999999999</v>
      </c>
      <c r="O1442" s="38">
        <v>7.3638199999999996</v>
      </c>
      <c r="P1442" s="39"/>
      <c r="Q1442" s="39"/>
      <c r="R1442" s="40">
        <v>7.3639999999999999</v>
      </c>
      <c r="S1442" s="38">
        <v>7.3638199999999996</v>
      </c>
      <c r="T1442" s="39"/>
      <c r="U1442" s="39"/>
      <c r="V1442" s="8">
        <f t="shared" si="22"/>
        <v>2023</v>
      </c>
    </row>
    <row r="1443" spans="1:22" s="41" customFormat="1" ht="20.399999999999999" hidden="1" x14ac:dyDescent="0.3">
      <c r="A1443" s="36">
        <v>45139</v>
      </c>
      <c r="B1443" s="37" t="s">
        <v>30</v>
      </c>
      <c r="C1443" s="37" t="s">
        <v>123</v>
      </c>
      <c r="D1443" s="37" t="s">
        <v>77</v>
      </c>
      <c r="E1443" s="37" t="s">
        <v>7</v>
      </c>
      <c r="F1443" s="37" t="s">
        <v>171</v>
      </c>
      <c r="G1443" s="37" t="s">
        <v>77</v>
      </c>
      <c r="H1443" s="37" t="s">
        <v>132</v>
      </c>
      <c r="I1443" s="37" t="s">
        <v>127</v>
      </c>
      <c r="J1443" s="37" t="s">
        <v>52</v>
      </c>
      <c r="K1443" s="38">
        <v>21.6</v>
      </c>
      <c r="L1443" s="39"/>
      <c r="M1443" s="37"/>
      <c r="N1443" s="40">
        <v>10.196</v>
      </c>
      <c r="O1443" s="38">
        <v>10.196058000000001</v>
      </c>
      <c r="P1443" s="39"/>
      <c r="Q1443" s="39"/>
      <c r="R1443" s="40">
        <v>10.196</v>
      </c>
      <c r="S1443" s="38">
        <v>10.196058000000001</v>
      </c>
      <c r="T1443" s="39"/>
      <c r="U1443" s="39"/>
      <c r="V1443" s="8">
        <f t="shared" si="22"/>
        <v>2023</v>
      </c>
    </row>
    <row r="1444" spans="1:22" s="41" customFormat="1" ht="20.399999999999999" hidden="1" x14ac:dyDescent="0.3">
      <c r="A1444" s="36">
        <v>45170</v>
      </c>
      <c r="B1444" s="37" t="s">
        <v>30</v>
      </c>
      <c r="C1444" s="37" t="s">
        <v>123</v>
      </c>
      <c r="D1444" s="37" t="s">
        <v>77</v>
      </c>
      <c r="E1444" s="37" t="s">
        <v>7</v>
      </c>
      <c r="F1444" s="37" t="s">
        <v>171</v>
      </c>
      <c r="G1444" s="37" t="s">
        <v>77</v>
      </c>
      <c r="H1444" s="37" t="s">
        <v>132</v>
      </c>
      <c r="I1444" s="37" t="s">
        <v>127</v>
      </c>
      <c r="J1444" s="37" t="s">
        <v>52</v>
      </c>
      <c r="K1444" s="38">
        <v>15.6</v>
      </c>
      <c r="L1444" s="39"/>
      <c r="M1444" s="37"/>
      <c r="N1444" s="40">
        <v>7.3639999999999999</v>
      </c>
      <c r="O1444" s="38">
        <v>7.3638199999999996</v>
      </c>
      <c r="P1444" s="39"/>
      <c r="Q1444" s="39"/>
      <c r="R1444" s="40">
        <v>7.3639999999999999</v>
      </c>
      <c r="S1444" s="38">
        <v>7.3638199999999996</v>
      </c>
      <c r="T1444" s="39"/>
      <c r="U1444" s="39"/>
      <c r="V1444" s="8">
        <f t="shared" si="22"/>
        <v>2023</v>
      </c>
    </row>
    <row r="1445" spans="1:22" s="41" customFormat="1" ht="20.399999999999999" hidden="1" x14ac:dyDescent="0.3">
      <c r="A1445" s="36">
        <v>45200</v>
      </c>
      <c r="B1445" s="37" t="s">
        <v>29</v>
      </c>
      <c r="C1445" s="37" t="s">
        <v>123</v>
      </c>
      <c r="D1445" s="37" t="s">
        <v>77</v>
      </c>
      <c r="E1445" s="37" t="s">
        <v>7</v>
      </c>
      <c r="F1445" s="37" t="s">
        <v>171</v>
      </c>
      <c r="G1445" s="37" t="s">
        <v>77</v>
      </c>
      <c r="H1445" s="37" t="s">
        <v>132</v>
      </c>
      <c r="I1445" s="37" t="s">
        <v>127</v>
      </c>
      <c r="J1445" s="37" t="s">
        <v>36</v>
      </c>
      <c r="K1445" s="38">
        <v>0</v>
      </c>
      <c r="L1445" s="42">
        <v>867.42</v>
      </c>
      <c r="M1445" s="37"/>
      <c r="N1445" s="40">
        <v>0</v>
      </c>
      <c r="O1445" s="38">
        <v>0</v>
      </c>
      <c r="P1445" s="39"/>
      <c r="Q1445" s="39"/>
      <c r="R1445" s="40">
        <v>0</v>
      </c>
      <c r="S1445" s="38">
        <v>0</v>
      </c>
      <c r="T1445" s="39"/>
      <c r="U1445" s="39"/>
      <c r="V1445" s="8">
        <f t="shared" si="22"/>
        <v>2023</v>
      </c>
    </row>
    <row r="1446" spans="1:22" s="41" customFormat="1" ht="20.399999999999999" hidden="1" x14ac:dyDescent="0.3">
      <c r="A1446" s="36">
        <v>45200</v>
      </c>
      <c r="B1446" s="37" t="s">
        <v>30</v>
      </c>
      <c r="C1446" s="37" t="s">
        <v>123</v>
      </c>
      <c r="D1446" s="37" t="s">
        <v>77</v>
      </c>
      <c r="E1446" s="37" t="s">
        <v>7</v>
      </c>
      <c r="F1446" s="37" t="s">
        <v>171</v>
      </c>
      <c r="G1446" s="37" t="s">
        <v>77</v>
      </c>
      <c r="H1446" s="37" t="s">
        <v>132</v>
      </c>
      <c r="I1446" s="37" t="s">
        <v>127</v>
      </c>
      <c r="J1446" s="37" t="s">
        <v>52</v>
      </c>
      <c r="K1446" s="38">
        <v>21.6</v>
      </c>
      <c r="L1446" s="39"/>
      <c r="M1446" s="37"/>
      <c r="N1446" s="40">
        <v>10.196</v>
      </c>
      <c r="O1446" s="38">
        <v>10.196058000000001</v>
      </c>
      <c r="P1446" s="39"/>
      <c r="Q1446" s="39"/>
      <c r="R1446" s="40">
        <v>10.196</v>
      </c>
      <c r="S1446" s="38">
        <v>10.196058000000001</v>
      </c>
      <c r="T1446" s="39"/>
      <c r="U1446" s="39"/>
      <c r="V1446" s="8">
        <f t="shared" si="22"/>
        <v>2023</v>
      </c>
    </row>
    <row r="1447" spans="1:22" s="41" customFormat="1" ht="20.399999999999999" hidden="1" x14ac:dyDescent="0.3">
      <c r="A1447" s="36">
        <v>45231</v>
      </c>
      <c r="B1447" s="37" t="s">
        <v>30</v>
      </c>
      <c r="C1447" s="37" t="s">
        <v>123</v>
      </c>
      <c r="D1447" s="37" t="s">
        <v>77</v>
      </c>
      <c r="E1447" s="37" t="s">
        <v>7</v>
      </c>
      <c r="F1447" s="37" t="s">
        <v>171</v>
      </c>
      <c r="G1447" s="37" t="s">
        <v>77</v>
      </c>
      <c r="H1447" s="37" t="s">
        <v>132</v>
      </c>
      <c r="I1447" s="37" t="s">
        <v>127</v>
      </c>
      <c r="J1447" s="37" t="s">
        <v>52</v>
      </c>
      <c r="K1447" s="38">
        <v>15.6</v>
      </c>
      <c r="L1447" s="39"/>
      <c r="M1447" s="37"/>
      <c r="N1447" s="40">
        <v>7.3639999999999999</v>
      </c>
      <c r="O1447" s="38">
        <v>7.3638199999999996</v>
      </c>
      <c r="P1447" s="39"/>
      <c r="Q1447" s="39"/>
      <c r="R1447" s="40">
        <v>7.3639999999999999</v>
      </c>
      <c r="S1447" s="38">
        <v>7.3638199999999996</v>
      </c>
      <c r="T1447" s="39"/>
      <c r="U1447" s="39"/>
      <c r="V1447" s="8">
        <f t="shared" si="22"/>
        <v>2023</v>
      </c>
    </row>
    <row r="1448" spans="1:22" s="41" customFormat="1" ht="20.399999999999999" hidden="1" x14ac:dyDescent="0.3">
      <c r="A1448" s="36">
        <v>45261</v>
      </c>
      <c r="B1448" s="37" t="s">
        <v>29</v>
      </c>
      <c r="C1448" s="37" t="s">
        <v>123</v>
      </c>
      <c r="D1448" s="37" t="s">
        <v>77</v>
      </c>
      <c r="E1448" s="37" t="s">
        <v>7</v>
      </c>
      <c r="F1448" s="37" t="s">
        <v>171</v>
      </c>
      <c r="G1448" s="37" t="s">
        <v>77</v>
      </c>
      <c r="H1448" s="37" t="s">
        <v>132</v>
      </c>
      <c r="I1448" s="37" t="s">
        <v>127</v>
      </c>
      <c r="J1448" s="37" t="s">
        <v>36</v>
      </c>
      <c r="K1448" s="38">
        <v>0</v>
      </c>
      <c r="L1448" s="42">
        <v>494.29</v>
      </c>
      <c r="M1448" s="37"/>
      <c r="N1448" s="40">
        <v>0</v>
      </c>
      <c r="O1448" s="38">
        <v>0</v>
      </c>
      <c r="P1448" s="39"/>
      <c r="Q1448" s="39"/>
      <c r="R1448" s="40">
        <v>0</v>
      </c>
      <c r="S1448" s="38">
        <v>0</v>
      </c>
      <c r="T1448" s="39"/>
      <c r="U1448" s="39"/>
      <c r="V1448" s="8">
        <f t="shared" si="22"/>
        <v>2023</v>
      </c>
    </row>
    <row r="1449" spans="1:22" s="41" customFormat="1" ht="20.399999999999999" hidden="1" x14ac:dyDescent="0.3">
      <c r="A1449" s="36">
        <v>45261</v>
      </c>
      <c r="B1449" s="37" t="s">
        <v>30</v>
      </c>
      <c r="C1449" s="37" t="s">
        <v>123</v>
      </c>
      <c r="D1449" s="37" t="s">
        <v>77</v>
      </c>
      <c r="E1449" s="37" t="s">
        <v>7</v>
      </c>
      <c r="F1449" s="37" t="s">
        <v>171</v>
      </c>
      <c r="G1449" s="37" t="s">
        <v>77</v>
      </c>
      <c r="H1449" s="37" t="s">
        <v>132</v>
      </c>
      <c r="I1449" s="37" t="s">
        <v>127</v>
      </c>
      <c r="J1449" s="37" t="s">
        <v>52</v>
      </c>
      <c r="K1449" s="38">
        <v>15.6</v>
      </c>
      <c r="L1449" s="39"/>
      <c r="M1449" s="37"/>
      <c r="N1449" s="40">
        <v>7.3639999999999999</v>
      </c>
      <c r="O1449" s="38">
        <v>7.3638199999999996</v>
      </c>
      <c r="P1449" s="39"/>
      <c r="Q1449" s="39"/>
      <c r="R1449" s="40">
        <v>7.3639999999999999</v>
      </c>
      <c r="S1449" s="38">
        <v>7.3638199999999996</v>
      </c>
      <c r="T1449" s="39"/>
      <c r="U1449" s="39"/>
      <c r="V1449" s="8">
        <f t="shared" si="22"/>
        <v>2023</v>
      </c>
    </row>
    <row r="1450" spans="1:22" s="41" customFormat="1" ht="20.399999999999999" hidden="1" x14ac:dyDescent="0.3">
      <c r="A1450" s="36">
        <v>44562</v>
      </c>
      <c r="B1450" s="37" t="s">
        <v>19</v>
      </c>
      <c r="C1450" s="37" t="s">
        <v>172</v>
      </c>
      <c r="D1450" s="37" t="s">
        <v>78</v>
      </c>
      <c r="E1450" s="37" t="s">
        <v>5</v>
      </c>
      <c r="F1450" s="37" t="s">
        <v>173</v>
      </c>
      <c r="G1450" s="37" t="s">
        <v>174</v>
      </c>
      <c r="H1450" s="37" t="s">
        <v>138</v>
      </c>
      <c r="I1450" s="37" t="s">
        <v>127</v>
      </c>
      <c r="J1450" s="37" t="s">
        <v>34</v>
      </c>
      <c r="K1450" s="38">
        <v>13.156195</v>
      </c>
      <c r="L1450" s="39"/>
      <c r="M1450" s="37" t="s">
        <v>117</v>
      </c>
      <c r="N1450" s="40">
        <v>2.3839999999999999</v>
      </c>
      <c r="O1450" s="38">
        <v>2.3819059999999999</v>
      </c>
      <c r="P1450" s="38">
        <v>1.2260000000000001E-3</v>
      </c>
      <c r="Q1450" s="38">
        <v>1.338E-3</v>
      </c>
      <c r="R1450" s="40">
        <v>2.3839999999999999</v>
      </c>
      <c r="S1450" s="38">
        <v>2.3819059999999999</v>
      </c>
      <c r="T1450" s="38">
        <v>1.2260000000000001E-3</v>
      </c>
      <c r="U1450" s="38">
        <v>1.338E-3</v>
      </c>
      <c r="V1450" s="8">
        <f t="shared" si="22"/>
        <v>2022</v>
      </c>
    </row>
    <row r="1451" spans="1:22" s="41" customFormat="1" ht="20.399999999999999" hidden="1" x14ac:dyDescent="0.3">
      <c r="A1451" s="36">
        <v>44593</v>
      </c>
      <c r="B1451" s="37" t="s">
        <v>19</v>
      </c>
      <c r="C1451" s="37" t="s">
        <v>172</v>
      </c>
      <c r="D1451" s="37" t="s">
        <v>78</v>
      </c>
      <c r="E1451" s="37" t="s">
        <v>5</v>
      </c>
      <c r="F1451" s="37" t="s">
        <v>173</v>
      </c>
      <c r="G1451" s="37" t="s">
        <v>174</v>
      </c>
      <c r="H1451" s="37" t="s">
        <v>138</v>
      </c>
      <c r="I1451" s="37" t="s">
        <v>127</v>
      </c>
      <c r="J1451" s="37" t="s">
        <v>34</v>
      </c>
      <c r="K1451" s="38">
        <v>13.156195</v>
      </c>
      <c r="L1451" s="39"/>
      <c r="M1451" s="37" t="s">
        <v>117</v>
      </c>
      <c r="N1451" s="40">
        <v>2.3839999999999999</v>
      </c>
      <c r="O1451" s="38">
        <v>2.3819059999999999</v>
      </c>
      <c r="P1451" s="38">
        <v>1.2260000000000001E-3</v>
      </c>
      <c r="Q1451" s="38">
        <v>1.338E-3</v>
      </c>
      <c r="R1451" s="40">
        <v>2.3839999999999999</v>
      </c>
      <c r="S1451" s="38">
        <v>2.3819059999999999</v>
      </c>
      <c r="T1451" s="38">
        <v>1.2260000000000001E-3</v>
      </c>
      <c r="U1451" s="38">
        <v>1.338E-3</v>
      </c>
      <c r="V1451" s="8">
        <f t="shared" si="22"/>
        <v>2022</v>
      </c>
    </row>
    <row r="1452" spans="1:22" s="41" customFormat="1" ht="20.399999999999999" hidden="1" x14ac:dyDescent="0.3">
      <c r="A1452" s="36">
        <v>44621</v>
      </c>
      <c r="B1452" s="37" t="s">
        <v>19</v>
      </c>
      <c r="C1452" s="37" t="s">
        <v>172</v>
      </c>
      <c r="D1452" s="37" t="s">
        <v>78</v>
      </c>
      <c r="E1452" s="37" t="s">
        <v>5</v>
      </c>
      <c r="F1452" s="37" t="s">
        <v>173</v>
      </c>
      <c r="G1452" s="37" t="s">
        <v>174</v>
      </c>
      <c r="H1452" s="37" t="s">
        <v>138</v>
      </c>
      <c r="I1452" s="37" t="s">
        <v>127</v>
      </c>
      <c r="J1452" s="37" t="s">
        <v>34</v>
      </c>
      <c r="K1452" s="38">
        <v>13.156195</v>
      </c>
      <c r="L1452" s="39"/>
      <c r="M1452" s="37" t="s">
        <v>117</v>
      </c>
      <c r="N1452" s="40">
        <v>2.3839999999999999</v>
      </c>
      <c r="O1452" s="38">
        <v>2.3819059999999999</v>
      </c>
      <c r="P1452" s="38">
        <v>1.2260000000000001E-3</v>
      </c>
      <c r="Q1452" s="38">
        <v>1.338E-3</v>
      </c>
      <c r="R1452" s="40">
        <v>2.3839999999999999</v>
      </c>
      <c r="S1452" s="38">
        <v>2.3819059999999999</v>
      </c>
      <c r="T1452" s="38">
        <v>1.2260000000000001E-3</v>
      </c>
      <c r="U1452" s="38">
        <v>1.338E-3</v>
      </c>
      <c r="V1452" s="8">
        <f t="shared" si="22"/>
        <v>2022</v>
      </c>
    </row>
    <row r="1453" spans="1:22" s="41" customFormat="1" ht="20.399999999999999" hidden="1" x14ac:dyDescent="0.3">
      <c r="A1453" s="36">
        <v>44652</v>
      </c>
      <c r="B1453" s="37" t="s">
        <v>19</v>
      </c>
      <c r="C1453" s="37" t="s">
        <v>172</v>
      </c>
      <c r="D1453" s="37" t="s">
        <v>78</v>
      </c>
      <c r="E1453" s="37" t="s">
        <v>5</v>
      </c>
      <c r="F1453" s="37" t="s">
        <v>173</v>
      </c>
      <c r="G1453" s="37" t="s">
        <v>174</v>
      </c>
      <c r="H1453" s="37" t="s">
        <v>138</v>
      </c>
      <c r="I1453" s="37" t="s">
        <v>127</v>
      </c>
      <c r="J1453" s="37" t="s">
        <v>34</v>
      </c>
      <c r="K1453" s="38">
        <v>13.156195</v>
      </c>
      <c r="L1453" s="39"/>
      <c r="M1453" s="37" t="s">
        <v>117</v>
      </c>
      <c r="N1453" s="40">
        <v>2.3839999999999999</v>
      </c>
      <c r="O1453" s="38">
        <v>2.3819059999999999</v>
      </c>
      <c r="P1453" s="38">
        <v>1.2260000000000001E-3</v>
      </c>
      <c r="Q1453" s="38">
        <v>1.338E-3</v>
      </c>
      <c r="R1453" s="40">
        <v>2.3839999999999999</v>
      </c>
      <c r="S1453" s="38">
        <v>2.3819059999999999</v>
      </c>
      <c r="T1453" s="38">
        <v>1.2260000000000001E-3</v>
      </c>
      <c r="U1453" s="38">
        <v>1.338E-3</v>
      </c>
      <c r="V1453" s="8">
        <f t="shared" si="22"/>
        <v>2022</v>
      </c>
    </row>
    <row r="1454" spans="1:22" s="41" customFormat="1" ht="20.399999999999999" hidden="1" x14ac:dyDescent="0.3">
      <c r="A1454" s="36">
        <v>44682</v>
      </c>
      <c r="B1454" s="37" t="s">
        <v>19</v>
      </c>
      <c r="C1454" s="37" t="s">
        <v>172</v>
      </c>
      <c r="D1454" s="37" t="s">
        <v>78</v>
      </c>
      <c r="E1454" s="37" t="s">
        <v>5</v>
      </c>
      <c r="F1454" s="37" t="s">
        <v>173</v>
      </c>
      <c r="G1454" s="37" t="s">
        <v>174</v>
      </c>
      <c r="H1454" s="37" t="s">
        <v>138</v>
      </c>
      <c r="I1454" s="37" t="s">
        <v>127</v>
      </c>
      <c r="J1454" s="37" t="s">
        <v>34</v>
      </c>
      <c r="K1454" s="38">
        <v>13.156195</v>
      </c>
      <c r="L1454" s="39"/>
      <c r="M1454" s="37" t="s">
        <v>117</v>
      </c>
      <c r="N1454" s="40">
        <v>2.3839999999999999</v>
      </c>
      <c r="O1454" s="38">
        <v>2.3819059999999999</v>
      </c>
      <c r="P1454" s="38">
        <v>1.2260000000000001E-3</v>
      </c>
      <c r="Q1454" s="38">
        <v>1.338E-3</v>
      </c>
      <c r="R1454" s="40">
        <v>2.3839999999999999</v>
      </c>
      <c r="S1454" s="38">
        <v>2.3819059999999999</v>
      </c>
      <c r="T1454" s="38">
        <v>1.2260000000000001E-3</v>
      </c>
      <c r="U1454" s="38">
        <v>1.338E-3</v>
      </c>
      <c r="V1454" s="8">
        <f t="shared" si="22"/>
        <v>2022</v>
      </c>
    </row>
    <row r="1455" spans="1:22" s="41" customFormat="1" ht="20.399999999999999" hidden="1" x14ac:dyDescent="0.3">
      <c r="A1455" s="36">
        <v>44713</v>
      </c>
      <c r="B1455" s="37" t="s">
        <v>19</v>
      </c>
      <c r="C1455" s="37" t="s">
        <v>172</v>
      </c>
      <c r="D1455" s="37" t="s">
        <v>78</v>
      </c>
      <c r="E1455" s="37" t="s">
        <v>5</v>
      </c>
      <c r="F1455" s="37" t="s">
        <v>173</v>
      </c>
      <c r="G1455" s="37" t="s">
        <v>174</v>
      </c>
      <c r="H1455" s="37" t="s">
        <v>138</v>
      </c>
      <c r="I1455" s="37" t="s">
        <v>127</v>
      </c>
      <c r="J1455" s="37" t="s">
        <v>34</v>
      </c>
      <c r="K1455" s="38">
        <v>13.156195</v>
      </c>
      <c r="L1455" s="39"/>
      <c r="M1455" s="37" t="s">
        <v>117</v>
      </c>
      <c r="N1455" s="40">
        <v>2.3839999999999999</v>
      </c>
      <c r="O1455" s="38">
        <v>2.3819059999999999</v>
      </c>
      <c r="P1455" s="38">
        <v>1.2260000000000001E-3</v>
      </c>
      <c r="Q1455" s="38">
        <v>1.338E-3</v>
      </c>
      <c r="R1455" s="40">
        <v>2.3839999999999999</v>
      </c>
      <c r="S1455" s="38">
        <v>2.3819059999999999</v>
      </c>
      <c r="T1455" s="38">
        <v>1.2260000000000001E-3</v>
      </c>
      <c r="U1455" s="38">
        <v>1.338E-3</v>
      </c>
      <c r="V1455" s="8">
        <f t="shared" si="22"/>
        <v>2022</v>
      </c>
    </row>
    <row r="1456" spans="1:22" s="41" customFormat="1" ht="20.399999999999999" hidden="1" x14ac:dyDescent="0.3">
      <c r="A1456" s="36">
        <v>44743</v>
      </c>
      <c r="B1456" s="37" t="s">
        <v>19</v>
      </c>
      <c r="C1456" s="37" t="s">
        <v>172</v>
      </c>
      <c r="D1456" s="37" t="s">
        <v>78</v>
      </c>
      <c r="E1456" s="37" t="s">
        <v>5</v>
      </c>
      <c r="F1456" s="37" t="s">
        <v>173</v>
      </c>
      <c r="G1456" s="37" t="s">
        <v>174</v>
      </c>
      <c r="H1456" s="37" t="s">
        <v>138</v>
      </c>
      <c r="I1456" s="37" t="s">
        <v>127</v>
      </c>
      <c r="J1456" s="37" t="s">
        <v>34</v>
      </c>
      <c r="K1456" s="38">
        <v>13.156195</v>
      </c>
      <c r="L1456" s="39"/>
      <c r="M1456" s="37" t="s">
        <v>117</v>
      </c>
      <c r="N1456" s="40">
        <v>2.3839999999999999</v>
      </c>
      <c r="O1456" s="38">
        <v>2.3819059999999999</v>
      </c>
      <c r="P1456" s="38">
        <v>1.2260000000000001E-3</v>
      </c>
      <c r="Q1456" s="38">
        <v>1.338E-3</v>
      </c>
      <c r="R1456" s="40">
        <v>2.3839999999999999</v>
      </c>
      <c r="S1456" s="38">
        <v>2.3819059999999999</v>
      </c>
      <c r="T1456" s="38">
        <v>1.2260000000000001E-3</v>
      </c>
      <c r="U1456" s="38">
        <v>1.338E-3</v>
      </c>
      <c r="V1456" s="8">
        <f t="shared" si="22"/>
        <v>2022</v>
      </c>
    </row>
    <row r="1457" spans="1:22" s="41" customFormat="1" ht="20.399999999999999" hidden="1" x14ac:dyDescent="0.3">
      <c r="A1457" s="36">
        <v>44774</v>
      </c>
      <c r="B1457" s="37" t="s">
        <v>19</v>
      </c>
      <c r="C1457" s="37" t="s">
        <v>172</v>
      </c>
      <c r="D1457" s="37" t="s">
        <v>78</v>
      </c>
      <c r="E1457" s="37" t="s">
        <v>5</v>
      </c>
      <c r="F1457" s="37" t="s">
        <v>173</v>
      </c>
      <c r="G1457" s="37" t="s">
        <v>174</v>
      </c>
      <c r="H1457" s="37" t="s">
        <v>138</v>
      </c>
      <c r="I1457" s="37" t="s">
        <v>127</v>
      </c>
      <c r="J1457" s="37" t="s">
        <v>34</v>
      </c>
      <c r="K1457" s="38">
        <v>13.156195</v>
      </c>
      <c r="L1457" s="39"/>
      <c r="M1457" s="37" t="s">
        <v>117</v>
      </c>
      <c r="N1457" s="40">
        <v>2.3839999999999999</v>
      </c>
      <c r="O1457" s="38">
        <v>2.3819059999999999</v>
      </c>
      <c r="P1457" s="38">
        <v>1.2260000000000001E-3</v>
      </c>
      <c r="Q1457" s="38">
        <v>1.338E-3</v>
      </c>
      <c r="R1457" s="40">
        <v>2.3839999999999999</v>
      </c>
      <c r="S1457" s="38">
        <v>2.3819059999999999</v>
      </c>
      <c r="T1457" s="38">
        <v>1.2260000000000001E-3</v>
      </c>
      <c r="U1457" s="38">
        <v>1.338E-3</v>
      </c>
      <c r="V1457" s="8">
        <f t="shared" si="22"/>
        <v>2022</v>
      </c>
    </row>
    <row r="1458" spans="1:22" s="41" customFormat="1" ht="20.399999999999999" hidden="1" x14ac:dyDescent="0.3">
      <c r="A1458" s="36">
        <v>44805</v>
      </c>
      <c r="B1458" s="37" t="s">
        <v>19</v>
      </c>
      <c r="C1458" s="37" t="s">
        <v>172</v>
      </c>
      <c r="D1458" s="37" t="s">
        <v>78</v>
      </c>
      <c r="E1458" s="37" t="s">
        <v>5</v>
      </c>
      <c r="F1458" s="37" t="s">
        <v>173</v>
      </c>
      <c r="G1458" s="37" t="s">
        <v>174</v>
      </c>
      <c r="H1458" s="37" t="s">
        <v>138</v>
      </c>
      <c r="I1458" s="37" t="s">
        <v>127</v>
      </c>
      <c r="J1458" s="37" t="s">
        <v>34</v>
      </c>
      <c r="K1458" s="38">
        <v>13.156195</v>
      </c>
      <c r="L1458" s="39"/>
      <c r="M1458" s="37" t="s">
        <v>117</v>
      </c>
      <c r="N1458" s="40">
        <v>2.3839999999999999</v>
      </c>
      <c r="O1458" s="38">
        <v>2.3819059999999999</v>
      </c>
      <c r="P1458" s="38">
        <v>1.2260000000000001E-3</v>
      </c>
      <c r="Q1458" s="38">
        <v>1.338E-3</v>
      </c>
      <c r="R1458" s="40">
        <v>2.3839999999999999</v>
      </c>
      <c r="S1458" s="38">
        <v>2.3819059999999999</v>
      </c>
      <c r="T1458" s="38">
        <v>1.2260000000000001E-3</v>
      </c>
      <c r="U1458" s="38">
        <v>1.338E-3</v>
      </c>
      <c r="V1458" s="8">
        <f t="shared" si="22"/>
        <v>2022</v>
      </c>
    </row>
    <row r="1459" spans="1:22" s="41" customFormat="1" ht="20.399999999999999" hidden="1" x14ac:dyDescent="0.3">
      <c r="A1459" s="36">
        <v>44835</v>
      </c>
      <c r="B1459" s="37" t="s">
        <v>19</v>
      </c>
      <c r="C1459" s="37" t="s">
        <v>172</v>
      </c>
      <c r="D1459" s="37" t="s">
        <v>78</v>
      </c>
      <c r="E1459" s="37" t="s">
        <v>5</v>
      </c>
      <c r="F1459" s="37" t="s">
        <v>173</v>
      </c>
      <c r="G1459" s="37" t="s">
        <v>174</v>
      </c>
      <c r="H1459" s="37" t="s">
        <v>138</v>
      </c>
      <c r="I1459" s="37" t="s">
        <v>127</v>
      </c>
      <c r="J1459" s="37" t="s">
        <v>34</v>
      </c>
      <c r="K1459" s="38">
        <v>13.156195</v>
      </c>
      <c r="L1459" s="39"/>
      <c r="M1459" s="37" t="s">
        <v>117</v>
      </c>
      <c r="N1459" s="40">
        <v>2.3839999999999999</v>
      </c>
      <c r="O1459" s="38">
        <v>2.3819059999999999</v>
      </c>
      <c r="P1459" s="38">
        <v>1.2260000000000001E-3</v>
      </c>
      <c r="Q1459" s="38">
        <v>1.338E-3</v>
      </c>
      <c r="R1459" s="40">
        <v>2.3839999999999999</v>
      </c>
      <c r="S1459" s="38">
        <v>2.3819059999999999</v>
      </c>
      <c r="T1459" s="38">
        <v>1.2260000000000001E-3</v>
      </c>
      <c r="U1459" s="38">
        <v>1.338E-3</v>
      </c>
      <c r="V1459" s="8">
        <f t="shared" si="22"/>
        <v>2022</v>
      </c>
    </row>
    <row r="1460" spans="1:22" s="41" customFormat="1" ht="20.399999999999999" hidden="1" x14ac:dyDescent="0.3">
      <c r="A1460" s="36">
        <v>44866</v>
      </c>
      <c r="B1460" s="37" t="s">
        <v>19</v>
      </c>
      <c r="C1460" s="37" t="s">
        <v>172</v>
      </c>
      <c r="D1460" s="37" t="s">
        <v>78</v>
      </c>
      <c r="E1460" s="37" t="s">
        <v>5</v>
      </c>
      <c r="F1460" s="37" t="s">
        <v>173</v>
      </c>
      <c r="G1460" s="37" t="s">
        <v>174</v>
      </c>
      <c r="H1460" s="37" t="s">
        <v>138</v>
      </c>
      <c r="I1460" s="37" t="s">
        <v>127</v>
      </c>
      <c r="J1460" s="37" t="s">
        <v>34</v>
      </c>
      <c r="K1460" s="38">
        <v>13.156195</v>
      </c>
      <c r="L1460" s="39"/>
      <c r="M1460" s="37" t="s">
        <v>117</v>
      </c>
      <c r="N1460" s="40">
        <v>2.3839999999999999</v>
      </c>
      <c r="O1460" s="38">
        <v>2.3819059999999999</v>
      </c>
      <c r="P1460" s="38">
        <v>1.2260000000000001E-3</v>
      </c>
      <c r="Q1460" s="38">
        <v>1.338E-3</v>
      </c>
      <c r="R1460" s="40">
        <v>2.3839999999999999</v>
      </c>
      <c r="S1460" s="38">
        <v>2.3819059999999999</v>
      </c>
      <c r="T1460" s="38">
        <v>1.2260000000000001E-3</v>
      </c>
      <c r="U1460" s="38">
        <v>1.338E-3</v>
      </c>
      <c r="V1460" s="8">
        <f t="shared" ref="V1460:V1515" si="23">YEAR(A1460)</f>
        <v>2022</v>
      </c>
    </row>
    <row r="1461" spans="1:22" s="41" customFormat="1" ht="20.399999999999999" hidden="1" x14ac:dyDescent="0.3">
      <c r="A1461" s="36">
        <v>44896</v>
      </c>
      <c r="B1461" s="37" t="s">
        <v>19</v>
      </c>
      <c r="C1461" s="37" t="s">
        <v>172</v>
      </c>
      <c r="D1461" s="37" t="s">
        <v>78</v>
      </c>
      <c r="E1461" s="37" t="s">
        <v>5</v>
      </c>
      <c r="F1461" s="37" t="s">
        <v>173</v>
      </c>
      <c r="G1461" s="37" t="s">
        <v>174</v>
      </c>
      <c r="H1461" s="37" t="s">
        <v>138</v>
      </c>
      <c r="I1461" s="37" t="s">
        <v>127</v>
      </c>
      <c r="J1461" s="37" t="s">
        <v>34</v>
      </c>
      <c r="K1461" s="38">
        <v>13.156195</v>
      </c>
      <c r="L1461" s="39"/>
      <c r="M1461" s="37" t="s">
        <v>117</v>
      </c>
      <c r="N1461" s="40">
        <v>2.3839999999999999</v>
      </c>
      <c r="O1461" s="38">
        <v>2.3819059999999999</v>
      </c>
      <c r="P1461" s="38">
        <v>1.2260000000000001E-3</v>
      </c>
      <c r="Q1461" s="38">
        <v>1.338E-3</v>
      </c>
      <c r="R1461" s="40">
        <v>2.3839999999999999</v>
      </c>
      <c r="S1461" s="38">
        <v>2.3819059999999999</v>
      </c>
      <c r="T1461" s="38">
        <v>1.2260000000000001E-3</v>
      </c>
      <c r="U1461" s="38">
        <v>1.338E-3</v>
      </c>
      <c r="V1461" s="8">
        <f t="shared" si="23"/>
        <v>2022</v>
      </c>
    </row>
    <row r="1462" spans="1:22" s="41" customFormat="1" ht="20.399999999999999" hidden="1" x14ac:dyDescent="0.3">
      <c r="A1462" s="36">
        <v>44562</v>
      </c>
      <c r="B1462" s="37" t="s">
        <v>23</v>
      </c>
      <c r="C1462" s="37" t="s">
        <v>172</v>
      </c>
      <c r="D1462" s="37" t="s">
        <v>78</v>
      </c>
      <c r="E1462" s="37" t="s">
        <v>6</v>
      </c>
      <c r="F1462" s="37" t="s">
        <v>173</v>
      </c>
      <c r="G1462" s="37" t="s">
        <v>174</v>
      </c>
      <c r="H1462" s="37" t="s">
        <v>138</v>
      </c>
      <c r="I1462" s="37" t="s">
        <v>127</v>
      </c>
      <c r="J1462" s="37" t="s">
        <v>34</v>
      </c>
      <c r="K1462" s="38">
        <v>13.573</v>
      </c>
      <c r="L1462" s="42">
        <v>1816.1</v>
      </c>
      <c r="M1462" s="37" t="s">
        <v>117</v>
      </c>
      <c r="N1462" s="40">
        <v>4.992</v>
      </c>
      <c r="O1462" s="38">
        <v>4.9919960000000003</v>
      </c>
      <c r="P1462" s="39"/>
      <c r="Q1462" s="39"/>
      <c r="R1462" s="40">
        <v>4.1619999999999999</v>
      </c>
      <c r="S1462" s="38">
        <v>4.1420870000000001</v>
      </c>
      <c r="T1462" s="38">
        <v>1.1764999999999999E-2</v>
      </c>
      <c r="U1462" s="38">
        <v>8.4169999999999991E-3</v>
      </c>
      <c r="V1462" s="8">
        <f t="shared" si="23"/>
        <v>2022</v>
      </c>
    </row>
    <row r="1463" spans="1:22" s="41" customFormat="1" ht="20.399999999999999" hidden="1" x14ac:dyDescent="0.3">
      <c r="A1463" s="36">
        <v>44593</v>
      </c>
      <c r="B1463" s="37" t="s">
        <v>23</v>
      </c>
      <c r="C1463" s="37" t="s">
        <v>172</v>
      </c>
      <c r="D1463" s="37" t="s">
        <v>78</v>
      </c>
      <c r="E1463" s="37" t="s">
        <v>6</v>
      </c>
      <c r="F1463" s="37" t="s">
        <v>173</v>
      </c>
      <c r="G1463" s="37" t="s">
        <v>174</v>
      </c>
      <c r="H1463" s="37" t="s">
        <v>138</v>
      </c>
      <c r="I1463" s="37" t="s">
        <v>127</v>
      </c>
      <c r="J1463" s="37" t="s">
        <v>34</v>
      </c>
      <c r="K1463" s="38">
        <v>4.1260000000000003</v>
      </c>
      <c r="L1463" s="42">
        <v>612.66999999999996</v>
      </c>
      <c r="M1463" s="37" t="s">
        <v>117</v>
      </c>
      <c r="N1463" s="40">
        <v>1.5169999999999999</v>
      </c>
      <c r="O1463" s="38">
        <v>1.517496</v>
      </c>
      <c r="P1463" s="39"/>
      <c r="Q1463" s="39"/>
      <c r="R1463" s="40">
        <v>1.2649999999999999</v>
      </c>
      <c r="S1463" s="38">
        <v>1.259136</v>
      </c>
      <c r="T1463" s="38">
        <v>3.5760000000000002E-3</v>
      </c>
      <c r="U1463" s="38">
        <v>2.5590000000000001E-3</v>
      </c>
      <c r="V1463" s="8">
        <f t="shared" si="23"/>
        <v>2022</v>
      </c>
    </row>
    <row r="1464" spans="1:22" s="41" customFormat="1" ht="20.399999999999999" hidden="1" x14ac:dyDescent="0.3">
      <c r="A1464" s="36">
        <v>44621</v>
      </c>
      <c r="B1464" s="37" t="s">
        <v>23</v>
      </c>
      <c r="C1464" s="37" t="s">
        <v>172</v>
      </c>
      <c r="D1464" s="37" t="s">
        <v>78</v>
      </c>
      <c r="E1464" s="37" t="s">
        <v>6</v>
      </c>
      <c r="F1464" s="37" t="s">
        <v>173</v>
      </c>
      <c r="G1464" s="37" t="s">
        <v>174</v>
      </c>
      <c r="H1464" s="37" t="s">
        <v>138</v>
      </c>
      <c r="I1464" s="37" t="s">
        <v>127</v>
      </c>
      <c r="J1464" s="37" t="s">
        <v>34</v>
      </c>
      <c r="K1464" s="38">
        <v>23.88</v>
      </c>
      <c r="L1464" s="42">
        <v>3073.32</v>
      </c>
      <c r="M1464" s="37" t="s">
        <v>117</v>
      </c>
      <c r="N1464" s="40">
        <v>8.7829999999999995</v>
      </c>
      <c r="O1464" s="38">
        <v>8.7827940000000009</v>
      </c>
      <c r="P1464" s="39"/>
      <c r="Q1464" s="39"/>
      <c r="R1464" s="40">
        <v>7.3230000000000004</v>
      </c>
      <c r="S1464" s="38">
        <v>7.2874850000000002</v>
      </c>
      <c r="T1464" s="38">
        <v>2.07E-2</v>
      </c>
      <c r="U1464" s="38">
        <v>1.4808E-2</v>
      </c>
      <c r="V1464" s="8">
        <f t="shared" si="23"/>
        <v>2022</v>
      </c>
    </row>
    <row r="1465" spans="1:22" s="41" customFormat="1" ht="20.399999999999999" hidden="1" x14ac:dyDescent="0.3">
      <c r="A1465" s="36">
        <v>44927</v>
      </c>
      <c r="B1465" s="37" t="s">
        <v>23</v>
      </c>
      <c r="C1465" s="37" t="s">
        <v>172</v>
      </c>
      <c r="D1465" s="37" t="s">
        <v>78</v>
      </c>
      <c r="E1465" s="37" t="s">
        <v>6</v>
      </c>
      <c r="F1465" s="37" t="s">
        <v>173</v>
      </c>
      <c r="G1465" s="37" t="s">
        <v>174</v>
      </c>
      <c r="H1465" s="37" t="s">
        <v>138</v>
      </c>
      <c r="I1465" s="37" t="s">
        <v>127</v>
      </c>
      <c r="J1465" s="37" t="s">
        <v>34</v>
      </c>
      <c r="K1465" s="38">
        <v>37.222999999999999</v>
      </c>
      <c r="L1465" s="39"/>
      <c r="M1465" s="37" t="s">
        <v>117</v>
      </c>
      <c r="N1465" s="40">
        <v>11.362</v>
      </c>
      <c r="O1465" s="38">
        <v>11.362029</v>
      </c>
      <c r="P1465" s="39"/>
      <c r="Q1465" s="39"/>
      <c r="R1465" s="40">
        <v>11.414999999999999</v>
      </c>
      <c r="S1465" s="38">
        <v>11.359382</v>
      </c>
      <c r="T1465" s="38">
        <v>3.2265000000000002E-2</v>
      </c>
      <c r="U1465" s="38">
        <v>2.3081999999999998E-2</v>
      </c>
      <c r="V1465" s="8">
        <f t="shared" si="23"/>
        <v>2023</v>
      </c>
    </row>
    <row r="1466" spans="1:22" s="41" customFormat="1" ht="20.399999999999999" hidden="1" x14ac:dyDescent="0.3">
      <c r="A1466" s="36">
        <v>44958</v>
      </c>
      <c r="B1466" s="37" t="s">
        <v>23</v>
      </c>
      <c r="C1466" s="37" t="s">
        <v>172</v>
      </c>
      <c r="D1466" s="37" t="s">
        <v>78</v>
      </c>
      <c r="E1466" s="37" t="s">
        <v>6</v>
      </c>
      <c r="F1466" s="37" t="s">
        <v>173</v>
      </c>
      <c r="G1466" s="37" t="s">
        <v>174</v>
      </c>
      <c r="H1466" s="37" t="s">
        <v>138</v>
      </c>
      <c r="I1466" s="37" t="s">
        <v>127</v>
      </c>
      <c r="J1466" s="37" t="s">
        <v>34</v>
      </c>
      <c r="K1466" s="38">
        <v>17.358000000000001</v>
      </c>
      <c r="L1466" s="39"/>
      <c r="M1466" s="37" t="s">
        <v>117</v>
      </c>
      <c r="N1466" s="40">
        <v>5.298</v>
      </c>
      <c r="O1466" s="38">
        <v>5.298394</v>
      </c>
      <c r="P1466" s="39"/>
      <c r="Q1466" s="39"/>
      <c r="R1466" s="40">
        <v>5.3230000000000004</v>
      </c>
      <c r="S1466" s="38">
        <v>5.2971589999999997</v>
      </c>
      <c r="T1466" s="38">
        <v>1.5046E-2</v>
      </c>
      <c r="U1466" s="38">
        <v>1.0763999999999999E-2</v>
      </c>
      <c r="V1466" s="8">
        <f t="shared" si="23"/>
        <v>2023</v>
      </c>
    </row>
    <row r="1467" spans="1:22" s="41" customFormat="1" ht="20.399999999999999" hidden="1" x14ac:dyDescent="0.3">
      <c r="A1467" s="36">
        <v>45047</v>
      </c>
      <c r="B1467" s="37" t="s">
        <v>23</v>
      </c>
      <c r="C1467" s="37" t="s">
        <v>172</v>
      </c>
      <c r="D1467" s="37" t="s">
        <v>78</v>
      </c>
      <c r="E1467" s="37" t="s">
        <v>6</v>
      </c>
      <c r="F1467" s="37" t="s">
        <v>173</v>
      </c>
      <c r="G1467" s="37" t="s">
        <v>174</v>
      </c>
      <c r="H1467" s="37" t="s">
        <v>138</v>
      </c>
      <c r="I1467" s="37" t="s">
        <v>127</v>
      </c>
      <c r="J1467" s="37" t="s">
        <v>34</v>
      </c>
      <c r="K1467" s="38">
        <v>4.6879999999999997</v>
      </c>
      <c r="L1467" s="39"/>
      <c r="M1467" s="37" t="s">
        <v>117</v>
      </c>
      <c r="N1467" s="40">
        <v>1.431</v>
      </c>
      <c r="O1467" s="38">
        <v>1.4309750000000001</v>
      </c>
      <c r="P1467" s="39"/>
      <c r="Q1467" s="39"/>
      <c r="R1467" s="40">
        <v>1.4379999999999999</v>
      </c>
      <c r="S1467" s="38">
        <v>1.430642</v>
      </c>
      <c r="T1467" s="38">
        <v>4.0639999999999999E-3</v>
      </c>
      <c r="U1467" s="38">
        <v>2.9069999999999999E-3</v>
      </c>
      <c r="V1467" s="8">
        <f t="shared" si="23"/>
        <v>2023</v>
      </c>
    </row>
    <row r="1468" spans="1:22" ht="20.399999999999999" hidden="1" x14ac:dyDescent="0.25">
      <c r="A1468" s="36">
        <v>45078</v>
      </c>
      <c r="B1468" s="37" t="s">
        <v>23</v>
      </c>
      <c r="C1468" s="37" t="s">
        <v>172</v>
      </c>
      <c r="D1468" s="37" t="s">
        <v>78</v>
      </c>
      <c r="E1468" s="37" t="s">
        <v>6</v>
      </c>
      <c r="F1468" s="37" t="s">
        <v>173</v>
      </c>
      <c r="G1468" s="37" t="s">
        <v>174</v>
      </c>
      <c r="H1468" s="37" t="s">
        <v>138</v>
      </c>
      <c r="I1468" s="37" t="s">
        <v>127</v>
      </c>
      <c r="J1468" s="37" t="s">
        <v>34</v>
      </c>
      <c r="K1468" s="38">
        <v>21.895</v>
      </c>
      <c r="L1468" s="39"/>
      <c r="M1468" s="37" t="s">
        <v>117</v>
      </c>
      <c r="N1468" s="40">
        <v>6.6829999999999998</v>
      </c>
      <c r="O1468" s="38">
        <v>6.6832770000000004</v>
      </c>
      <c r="P1468" s="39"/>
      <c r="Q1468" s="39"/>
      <c r="R1468" s="40">
        <v>6.7140000000000004</v>
      </c>
      <c r="S1468" s="38">
        <v>6.6817200000000003</v>
      </c>
      <c r="T1468" s="38">
        <v>1.8978999999999999E-2</v>
      </c>
      <c r="U1468" s="38">
        <v>1.3577000000000001E-2</v>
      </c>
      <c r="V1468" s="8">
        <f t="shared" si="23"/>
        <v>2023</v>
      </c>
    </row>
    <row r="1469" spans="1:22" ht="20.399999999999999" hidden="1" x14ac:dyDescent="0.25">
      <c r="A1469" s="36">
        <v>45170</v>
      </c>
      <c r="B1469" s="37" t="s">
        <v>23</v>
      </c>
      <c r="C1469" s="37" t="s">
        <v>172</v>
      </c>
      <c r="D1469" s="37" t="s">
        <v>78</v>
      </c>
      <c r="E1469" s="37" t="s">
        <v>6</v>
      </c>
      <c r="F1469" s="37" t="s">
        <v>173</v>
      </c>
      <c r="G1469" s="37" t="s">
        <v>174</v>
      </c>
      <c r="H1469" s="37" t="s">
        <v>138</v>
      </c>
      <c r="I1469" s="37" t="s">
        <v>127</v>
      </c>
      <c r="J1469" s="37" t="s">
        <v>34</v>
      </c>
      <c r="K1469" s="38">
        <v>15.84</v>
      </c>
      <c r="L1469" s="39"/>
      <c r="M1469" s="37" t="s">
        <v>117</v>
      </c>
      <c r="N1469" s="40">
        <v>4.835</v>
      </c>
      <c r="O1469" s="38">
        <v>4.8350359999999997</v>
      </c>
      <c r="P1469" s="39"/>
      <c r="Q1469" s="39"/>
      <c r="R1469" s="40">
        <v>4.8570000000000002</v>
      </c>
      <c r="S1469" s="38">
        <v>4.8339090000000002</v>
      </c>
      <c r="T1469" s="38">
        <v>1.3729999999999999E-2</v>
      </c>
      <c r="U1469" s="38">
        <v>9.8219999999999991E-3</v>
      </c>
      <c r="V1469" s="8">
        <f t="shared" si="23"/>
        <v>2023</v>
      </c>
    </row>
    <row r="1470" spans="1:22" ht="20.399999999999999" hidden="1" x14ac:dyDescent="0.25">
      <c r="A1470" s="36">
        <v>45200</v>
      </c>
      <c r="B1470" s="37" t="s">
        <v>23</v>
      </c>
      <c r="C1470" s="37" t="s">
        <v>172</v>
      </c>
      <c r="D1470" s="37" t="s">
        <v>78</v>
      </c>
      <c r="E1470" s="37" t="s">
        <v>6</v>
      </c>
      <c r="F1470" s="37" t="s">
        <v>173</v>
      </c>
      <c r="G1470" s="37" t="s">
        <v>174</v>
      </c>
      <c r="H1470" s="37" t="s">
        <v>138</v>
      </c>
      <c r="I1470" s="37" t="s">
        <v>127</v>
      </c>
      <c r="J1470" s="37" t="s">
        <v>34</v>
      </c>
      <c r="K1470" s="38">
        <v>18.399999999999999</v>
      </c>
      <c r="L1470" s="39"/>
      <c r="M1470" s="37" t="s">
        <v>117</v>
      </c>
      <c r="N1470" s="40">
        <v>5.6159999999999997</v>
      </c>
      <c r="O1470" s="38">
        <v>5.6164560000000003</v>
      </c>
      <c r="P1470" s="39"/>
      <c r="Q1470" s="39"/>
      <c r="R1470" s="40">
        <v>5.6429999999999998</v>
      </c>
      <c r="S1470" s="38">
        <v>5.6151470000000003</v>
      </c>
      <c r="T1470" s="38">
        <v>1.5949000000000001E-2</v>
      </c>
      <c r="U1470" s="38">
        <v>1.141E-2</v>
      </c>
      <c r="V1470" s="8">
        <f t="shared" si="23"/>
        <v>2023</v>
      </c>
    </row>
    <row r="1471" spans="1:22" ht="20.399999999999999" hidden="1" x14ac:dyDescent="0.25">
      <c r="A1471" s="36">
        <v>45231</v>
      </c>
      <c r="B1471" s="37" t="s">
        <v>23</v>
      </c>
      <c r="C1471" s="37" t="s">
        <v>172</v>
      </c>
      <c r="D1471" s="37" t="s">
        <v>78</v>
      </c>
      <c r="E1471" s="37" t="s">
        <v>6</v>
      </c>
      <c r="F1471" s="37" t="s">
        <v>173</v>
      </c>
      <c r="G1471" s="37" t="s">
        <v>174</v>
      </c>
      <c r="H1471" s="37" t="s">
        <v>138</v>
      </c>
      <c r="I1471" s="37" t="s">
        <v>127</v>
      </c>
      <c r="J1471" s="37" t="s">
        <v>34</v>
      </c>
      <c r="K1471" s="38">
        <v>24.501999999999999</v>
      </c>
      <c r="L1471" s="39"/>
      <c r="M1471" s="37" t="s">
        <v>117</v>
      </c>
      <c r="N1471" s="40">
        <v>7.4790000000000001</v>
      </c>
      <c r="O1471" s="38">
        <v>7.479044</v>
      </c>
      <c r="P1471" s="39"/>
      <c r="Q1471" s="39"/>
      <c r="R1471" s="40">
        <v>7.5140000000000002</v>
      </c>
      <c r="S1471" s="38">
        <v>7.4773009999999998</v>
      </c>
      <c r="T1471" s="38">
        <v>2.1239000000000001E-2</v>
      </c>
      <c r="U1471" s="38">
        <v>1.5193999999999999E-2</v>
      </c>
      <c r="V1471" s="8">
        <f t="shared" si="23"/>
        <v>2023</v>
      </c>
    </row>
    <row r="1472" spans="1:22" ht="20.399999999999999" hidden="1" x14ac:dyDescent="0.25">
      <c r="A1472" s="36">
        <v>45261</v>
      </c>
      <c r="B1472" s="37" t="s">
        <v>23</v>
      </c>
      <c r="C1472" s="37" t="s">
        <v>172</v>
      </c>
      <c r="D1472" s="37" t="s">
        <v>78</v>
      </c>
      <c r="E1472" s="37" t="s">
        <v>6</v>
      </c>
      <c r="F1472" s="37" t="s">
        <v>173</v>
      </c>
      <c r="G1472" s="37" t="s">
        <v>174</v>
      </c>
      <c r="H1472" s="37" t="s">
        <v>138</v>
      </c>
      <c r="I1472" s="37" t="s">
        <v>127</v>
      </c>
      <c r="J1472" s="37" t="s">
        <v>34</v>
      </c>
      <c r="K1472" s="38">
        <v>13.28</v>
      </c>
      <c r="L1472" s="39"/>
      <c r="M1472" s="37" t="s">
        <v>117</v>
      </c>
      <c r="N1472" s="40">
        <v>4.0540000000000003</v>
      </c>
      <c r="O1472" s="38">
        <v>4.0536159999999999</v>
      </c>
      <c r="P1472" s="39"/>
      <c r="Q1472" s="39"/>
      <c r="R1472" s="40">
        <v>4.0720000000000001</v>
      </c>
      <c r="S1472" s="38">
        <v>4.0526720000000003</v>
      </c>
      <c r="T1472" s="38">
        <v>1.1511E-2</v>
      </c>
      <c r="U1472" s="38">
        <v>8.2349999999999993E-3</v>
      </c>
      <c r="V1472" s="8">
        <f t="shared" si="23"/>
        <v>2023</v>
      </c>
    </row>
    <row r="1473" spans="1:22" ht="20.399999999999999" hidden="1" x14ac:dyDescent="0.25">
      <c r="A1473" s="36">
        <v>45261</v>
      </c>
      <c r="B1473" s="37" t="s">
        <v>29</v>
      </c>
      <c r="C1473" s="37" t="s">
        <v>172</v>
      </c>
      <c r="D1473" s="37" t="s">
        <v>78</v>
      </c>
      <c r="E1473" s="37" t="s">
        <v>7</v>
      </c>
      <c r="F1473" s="37" t="s">
        <v>173</v>
      </c>
      <c r="G1473" s="37" t="s">
        <v>174</v>
      </c>
      <c r="H1473" s="37" t="s">
        <v>138</v>
      </c>
      <c r="I1473" s="37" t="s">
        <v>127</v>
      </c>
      <c r="J1473" s="37" t="s">
        <v>36</v>
      </c>
      <c r="K1473" s="38">
        <v>0</v>
      </c>
      <c r="L1473" s="42">
        <v>764.92</v>
      </c>
      <c r="M1473" s="37" t="s">
        <v>117</v>
      </c>
      <c r="N1473" s="40">
        <v>0</v>
      </c>
      <c r="O1473" s="38">
        <v>0</v>
      </c>
      <c r="P1473" s="39"/>
      <c r="Q1473" s="39"/>
      <c r="R1473" s="40">
        <v>0</v>
      </c>
      <c r="S1473" s="38">
        <v>0</v>
      </c>
      <c r="T1473" s="39"/>
      <c r="U1473" s="39"/>
      <c r="V1473" s="8">
        <f t="shared" si="23"/>
        <v>2023</v>
      </c>
    </row>
    <row r="1474" spans="1:22" ht="71.400000000000006" hidden="1" x14ac:dyDescent="0.25">
      <c r="A1474" s="5">
        <v>44927</v>
      </c>
      <c r="B1474" s="6" t="s">
        <v>22</v>
      </c>
      <c r="C1474" s="6" t="s">
        <v>118</v>
      </c>
      <c r="D1474" s="6" t="s">
        <v>57</v>
      </c>
      <c r="E1474" s="6" t="s">
        <v>5</v>
      </c>
      <c r="F1474" s="6" t="s">
        <v>119</v>
      </c>
      <c r="G1474" s="6" t="s">
        <v>57</v>
      </c>
      <c r="H1474" s="6" t="s">
        <v>120</v>
      </c>
      <c r="I1474" s="6" t="s">
        <v>120</v>
      </c>
      <c r="J1474" s="6" t="s">
        <v>36</v>
      </c>
      <c r="K1474" s="7">
        <v>1.4040000000000001E-3</v>
      </c>
      <c r="L1474" s="8"/>
      <c r="M1474" s="6"/>
      <c r="N1474" s="44">
        <v>1.825</v>
      </c>
      <c r="O1474" s="8"/>
      <c r="P1474" s="8"/>
      <c r="Q1474" s="8"/>
      <c r="R1474" s="44">
        <v>1.825</v>
      </c>
      <c r="S1474" s="8"/>
      <c r="T1474" s="8"/>
      <c r="U1474" s="8"/>
      <c r="V1474" s="8">
        <f t="shared" si="23"/>
        <v>2023</v>
      </c>
    </row>
    <row r="1475" spans="1:22" hidden="1" x14ac:dyDescent="0.25">
      <c r="A1475" s="5">
        <v>44927</v>
      </c>
      <c r="B1475" s="6" t="s">
        <v>22</v>
      </c>
      <c r="C1475" s="6" t="s">
        <v>123</v>
      </c>
      <c r="D1475" s="6" t="s">
        <v>60</v>
      </c>
      <c r="E1475" s="6" t="s">
        <v>5</v>
      </c>
      <c r="F1475" s="6" t="s">
        <v>128</v>
      </c>
      <c r="G1475" s="6" t="s">
        <v>129</v>
      </c>
      <c r="H1475" s="6" t="s">
        <v>130</v>
      </c>
      <c r="I1475" s="6" t="s">
        <v>127</v>
      </c>
      <c r="J1475" s="6" t="s">
        <v>36</v>
      </c>
      <c r="K1475" s="7">
        <v>0</v>
      </c>
      <c r="L1475" s="8"/>
      <c r="M1475" s="6"/>
      <c r="N1475" s="44">
        <v>0</v>
      </c>
      <c r="O1475" s="8"/>
      <c r="P1475" s="8"/>
      <c r="Q1475" s="8"/>
      <c r="R1475" s="44">
        <v>0</v>
      </c>
      <c r="S1475" s="8"/>
      <c r="T1475" s="8"/>
      <c r="U1475" s="8"/>
      <c r="V1475" s="8">
        <f t="shared" si="23"/>
        <v>2023</v>
      </c>
    </row>
    <row r="1476" spans="1:22" ht="20.399999999999999" hidden="1" x14ac:dyDescent="0.25">
      <c r="A1476" s="5">
        <v>44927</v>
      </c>
      <c r="B1476" s="6" t="s">
        <v>22</v>
      </c>
      <c r="C1476" s="6" t="s">
        <v>123</v>
      </c>
      <c r="D1476" s="6" t="s">
        <v>67</v>
      </c>
      <c r="E1476" s="6" t="s">
        <v>5</v>
      </c>
      <c r="F1476" s="6" t="s">
        <v>142</v>
      </c>
      <c r="G1476" s="6" t="s">
        <v>143</v>
      </c>
      <c r="H1476" s="6" t="s">
        <v>115</v>
      </c>
      <c r="I1476" s="6" t="s">
        <v>116</v>
      </c>
      <c r="J1476" s="6" t="s">
        <v>36</v>
      </c>
      <c r="K1476" s="7">
        <v>0</v>
      </c>
      <c r="L1476" s="8"/>
      <c r="M1476" s="6"/>
      <c r="N1476" s="44">
        <v>0</v>
      </c>
      <c r="O1476" s="8"/>
      <c r="P1476" s="8"/>
      <c r="Q1476" s="8"/>
      <c r="R1476" s="44">
        <v>0</v>
      </c>
      <c r="S1476" s="8"/>
      <c r="T1476" s="8"/>
      <c r="U1476" s="8"/>
      <c r="V1476" s="8">
        <f t="shared" si="23"/>
        <v>2023</v>
      </c>
    </row>
    <row r="1477" spans="1:22" ht="71.400000000000006" hidden="1" x14ac:dyDescent="0.25">
      <c r="A1477" s="5">
        <v>44958</v>
      </c>
      <c r="B1477" s="6" t="s">
        <v>22</v>
      </c>
      <c r="C1477" s="6" t="s">
        <v>118</v>
      </c>
      <c r="D1477" s="6" t="s">
        <v>57</v>
      </c>
      <c r="E1477" s="6" t="s">
        <v>5</v>
      </c>
      <c r="F1477" s="6" t="s">
        <v>119</v>
      </c>
      <c r="G1477" s="6" t="s">
        <v>57</v>
      </c>
      <c r="H1477" s="6" t="s">
        <v>120</v>
      </c>
      <c r="I1477" s="6" t="s">
        <v>120</v>
      </c>
      <c r="J1477" s="6" t="s">
        <v>36</v>
      </c>
      <c r="K1477" s="7">
        <v>1.4040000000000001E-3</v>
      </c>
      <c r="L1477" s="8"/>
      <c r="M1477" s="6"/>
      <c r="N1477" s="44">
        <v>1.825</v>
      </c>
      <c r="O1477" s="8"/>
      <c r="P1477" s="8"/>
      <c r="Q1477" s="8"/>
      <c r="R1477" s="44">
        <v>1.825</v>
      </c>
      <c r="S1477" s="8"/>
      <c r="T1477" s="8"/>
      <c r="U1477" s="8"/>
      <c r="V1477" s="8">
        <f t="shared" si="23"/>
        <v>2023</v>
      </c>
    </row>
    <row r="1478" spans="1:22" hidden="1" x14ac:dyDescent="0.25">
      <c r="A1478" s="5">
        <v>44958</v>
      </c>
      <c r="B1478" s="6" t="s">
        <v>22</v>
      </c>
      <c r="C1478" s="6" t="s">
        <v>123</v>
      </c>
      <c r="D1478" s="6" t="s">
        <v>60</v>
      </c>
      <c r="E1478" s="6" t="s">
        <v>5</v>
      </c>
      <c r="F1478" s="6" t="s">
        <v>128</v>
      </c>
      <c r="G1478" s="6" t="s">
        <v>129</v>
      </c>
      <c r="H1478" s="6" t="s">
        <v>130</v>
      </c>
      <c r="I1478" s="6" t="s">
        <v>127</v>
      </c>
      <c r="J1478" s="6" t="s">
        <v>36</v>
      </c>
      <c r="K1478" s="7">
        <v>0</v>
      </c>
      <c r="L1478" s="8"/>
      <c r="M1478" s="6"/>
      <c r="N1478" s="44">
        <v>0</v>
      </c>
      <c r="O1478" s="8"/>
      <c r="P1478" s="8"/>
      <c r="Q1478" s="8"/>
      <c r="R1478" s="44">
        <v>0</v>
      </c>
      <c r="S1478" s="8"/>
      <c r="T1478" s="8"/>
      <c r="U1478" s="8"/>
      <c r="V1478" s="8">
        <f t="shared" si="23"/>
        <v>2023</v>
      </c>
    </row>
    <row r="1479" spans="1:22" ht="20.399999999999999" hidden="1" x14ac:dyDescent="0.25">
      <c r="A1479" s="5">
        <v>44958</v>
      </c>
      <c r="B1479" s="6" t="s">
        <v>22</v>
      </c>
      <c r="C1479" s="6" t="s">
        <v>123</v>
      </c>
      <c r="D1479" s="6" t="s">
        <v>67</v>
      </c>
      <c r="E1479" s="6" t="s">
        <v>5</v>
      </c>
      <c r="F1479" s="6" t="s">
        <v>142</v>
      </c>
      <c r="G1479" s="6" t="s">
        <v>143</v>
      </c>
      <c r="H1479" s="6" t="s">
        <v>115</v>
      </c>
      <c r="I1479" s="6" t="s">
        <v>116</v>
      </c>
      <c r="J1479" s="6" t="s">
        <v>36</v>
      </c>
      <c r="K1479" s="7">
        <v>0</v>
      </c>
      <c r="L1479" s="8"/>
      <c r="M1479" s="6"/>
      <c r="N1479" s="44">
        <v>0</v>
      </c>
      <c r="O1479" s="8"/>
      <c r="P1479" s="8"/>
      <c r="Q1479" s="8"/>
      <c r="R1479" s="44">
        <v>0</v>
      </c>
      <c r="S1479" s="8"/>
      <c r="T1479" s="8"/>
      <c r="U1479" s="8"/>
      <c r="V1479" s="8">
        <f t="shared" si="23"/>
        <v>2023</v>
      </c>
    </row>
    <row r="1480" spans="1:22" ht="71.400000000000006" hidden="1" x14ac:dyDescent="0.25">
      <c r="A1480" s="5">
        <v>44986</v>
      </c>
      <c r="B1480" s="6" t="s">
        <v>22</v>
      </c>
      <c r="C1480" s="6" t="s">
        <v>118</v>
      </c>
      <c r="D1480" s="6" t="s">
        <v>57</v>
      </c>
      <c r="E1480" s="6" t="s">
        <v>5</v>
      </c>
      <c r="F1480" s="6" t="s">
        <v>119</v>
      </c>
      <c r="G1480" s="6" t="s">
        <v>57</v>
      </c>
      <c r="H1480" s="6" t="s">
        <v>120</v>
      </c>
      <c r="I1480" s="6" t="s">
        <v>120</v>
      </c>
      <c r="J1480" s="6" t="s">
        <v>36</v>
      </c>
      <c r="K1480" s="7">
        <v>1.4040000000000001E-3</v>
      </c>
      <c r="L1480" s="8"/>
      <c r="M1480" s="6"/>
      <c r="N1480" s="44">
        <v>1.825</v>
      </c>
      <c r="O1480" s="8"/>
      <c r="P1480" s="8"/>
      <c r="Q1480" s="8"/>
      <c r="R1480" s="44">
        <v>1.825</v>
      </c>
      <c r="S1480" s="8"/>
      <c r="T1480" s="8"/>
      <c r="U1480" s="8"/>
      <c r="V1480" s="8">
        <f t="shared" si="23"/>
        <v>2023</v>
      </c>
    </row>
    <row r="1481" spans="1:22" hidden="1" x14ac:dyDescent="0.25">
      <c r="A1481" s="5">
        <v>44986</v>
      </c>
      <c r="B1481" s="6" t="s">
        <v>22</v>
      </c>
      <c r="C1481" s="6" t="s">
        <v>123</v>
      </c>
      <c r="D1481" s="6" t="s">
        <v>60</v>
      </c>
      <c r="E1481" s="6" t="s">
        <v>5</v>
      </c>
      <c r="F1481" s="6" t="s">
        <v>128</v>
      </c>
      <c r="G1481" s="6" t="s">
        <v>129</v>
      </c>
      <c r="H1481" s="6" t="s">
        <v>130</v>
      </c>
      <c r="I1481" s="6" t="s">
        <v>127</v>
      </c>
      <c r="J1481" s="6" t="s">
        <v>36</v>
      </c>
      <c r="K1481" s="7">
        <v>0</v>
      </c>
      <c r="L1481" s="8"/>
      <c r="M1481" s="6"/>
      <c r="N1481" s="44">
        <v>0</v>
      </c>
      <c r="O1481" s="8"/>
      <c r="P1481" s="8"/>
      <c r="Q1481" s="8"/>
      <c r="R1481" s="44">
        <v>0</v>
      </c>
      <c r="S1481" s="8"/>
      <c r="T1481" s="8"/>
      <c r="U1481" s="8"/>
      <c r="V1481" s="8">
        <f t="shared" si="23"/>
        <v>2023</v>
      </c>
    </row>
    <row r="1482" spans="1:22" ht="20.399999999999999" hidden="1" x14ac:dyDescent="0.25">
      <c r="A1482" s="5">
        <v>44986</v>
      </c>
      <c r="B1482" s="6" t="s">
        <v>22</v>
      </c>
      <c r="C1482" s="6" t="s">
        <v>123</v>
      </c>
      <c r="D1482" s="6" t="s">
        <v>67</v>
      </c>
      <c r="E1482" s="6" t="s">
        <v>5</v>
      </c>
      <c r="F1482" s="6" t="s">
        <v>142</v>
      </c>
      <c r="G1482" s="6" t="s">
        <v>143</v>
      </c>
      <c r="H1482" s="6" t="s">
        <v>115</v>
      </c>
      <c r="I1482" s="6" t="s">
        <v>116</v>
      </c>
      <c r="J1482" s="6" t="s">
        <v>36</v>
      </c>
      <c r="K1482" s="7">
        <v>0</v>
      </c>
      <c r="L1482" s="8"/>
      <c r="M1482" s="6"/>
      <c r="N1482" s="44">
        <v>0</v>
      </c>
      <c r="O1482" s="8"/>
      <c r="P1482" s="8"/>
      <c r="Q1482" s="8"/>
      <c r="R1482" s="44">
        <v>0</v>
      </c>
      <c r="S1482" s="8"/>
      <c r="T1482" s="8"/>
      <c r="U1482" s="8"/>
      <c r="V1482" s="8">
        <f t="shared" si="23"/>
        <v>2023</v>
      </c>
    </row>
    <row r="1483" spans="1:22" ht="71.400000000000006" hidden="1" x14ac:dyDescent="0.25">
      <c r="A1483" s="5">
        <v>45017</v>
      </c>
      <c r="B1483" s="6" t="s">
        <v>22</v>
      </c>
      <c r="C1483" s="6" t="s">
        <v>118</v>
      </c>
      <c r="D1483" s="6" t="s">
        <v>57</v>
      </c>
      <c r="E1483" s="6" t="s">
        <v>5</v>
      </c>
      <c r="F1483" s="6" t="s">
        <v>119</v>
      </c>
      <c r="G1483" s="6" t="s">
        <v>57</v>
      </c>
      <c r="H1483" s="6" t="s">
        <v>120</v>
      </c>
      <c r="I1483" s="6" t="s">
        <v>120</v>
      </c>
      <c r="J1483" s="6" t="s">
        <v>36</v>
      </c>
      <c r="K1483" s="7">
        <v>1.4040000000000001E-3</v>
      </c>
      <c r="L1483" s="8"/>
      <c r="M1483" s="6"/>
      <c r="N1483" s="44">
        <v>1.825</v>
      </c>
      <c r="O1483" s="8"/>
      <c r="P1483" s="8"/>
      <c r="Q1483" s="8"/>
      <c r="R1483" s="44">
        <v>1.825</v>
      </c>
      <c r="S1483" s="8"/>
      <c r="T1483" s="8"/>
      <c r="U1483" s="8"/>
      <c r="V1483" s="8">
        <f t="shared" si="23"/>
        <v>2023</v>
      </c>
    </row>
    <row r="1484" spans="1:22" hidden="1" x14ac:dyDescent="0.25">
      <c r="A1484" s="5">
        <v>45017</v>
      </c>
      <c r="B1484" s="6" t="s">
        <v>22</v>
      </c>
      <c r="C1484" s="6" t="s">
        <v>123</v>
      </c>
      <c r="D1484" s="6" t="s">
        <v>60</v>
      </c>
      <c r="E1484" s="6" t="s">
        <v>5</v>
      </c>
      <c r="F1484" s="6" t="s">
        <v>128</v>
      </c>
      <c r="G1484" s="6" t="s">
        <v>129</v>
      </c>
      <c r="H1484" s="6" t="s">
        <v>130</v>
      </c>
      <c r="I1484" s="6" t="s">
        <v>127</v>
      </c>
      <c r="J1484" s="6" t="s">
        <v>36</v>
      </c>
      <c r="K1484" s="7">
        <v>0</v>
      </c>
      <c r="L1484" s="8"/>
      <c r="M1484" s="6"/>
      <c r="N1484" s="44">
        <v>0</v>
      </c>
      <c r="O1484" s="8"/>
      <c r="P1484" s="8"/>
      <c r="Q1484" s="8"/>
      <c r="R1484" s="44">
        <v>0</v>
      </c>
      <c r="S1484" s="8"/>
      <c r="T1484" s="8"/>
      <c r="U1484" s="8"/>
      <c r="V1484" s="8">
        <f t="shared" si="23"/>
        <v>2023</v>
      </c>
    </row>
    <row r="1485" spans="1:22" ht="20.399999999999999" hidden="1" x14ac:dyDescent="0.25">
      <c r="A1485" s="5">
        <v>45017</v>
      </c>
      <c r="B1485" s="6" t="s">
        <v>22</v>
      </c>
      <c r="C1485" s="6" t="s">
        <v>123</v>
      </c>
      <c r="D1485" s="6" t="s">
        <v>67</v>
      </c>
      <c r="E1485" s="6" t="s">
        <v>5</v>
      </c>
      <c r="F1485" s="6" t="s">
        <v>142</v>
      </c>
      <c r="G1485" s="6" t="s">
        <v>143</v>
      </c>
      <c r="H1485" s="6" t="s">
        <v>115</v>
      </c>
      <c r="I1485" s="6" t="s">
        <v>116</v>
      </c>
      <c r="J1485" s="6" t="s">
        <v>36</v>
      </c>
      <c r="K1485" s="7">
        <v>0</v>
      </c>
      <c r="L1485" s="8"/>
      <c r="M1485" s="6"/>
      <c r="N1485" s="44">
        <v>0</v>
      </c>
      <c r="O1485" s="8"/>
      <c r="P1485" s="8"/>
      <c r="Q1485" s="8"/>
      <c r="R1485" s="44">
        <v>0</v>
      </c>
      <c r="S1485" s="8"/>
      <c r="T1485" s="8"/>
      <c r="U1485" s="8"/>
      <c r="V1485" s="8">
        <f t="shared" si="23"/>
        <v>2023</v>
      </c>
    </row>
    <row r="1486" spans="1:22" ht="71.400000000000006" hidden="1" x14ac:dyDescent="0.25">
      <c r="A1486" s="5">
        <v>45047</v>
      </c>
      <c r="B1486" s="6" t="s">
        <v>22</v>
      </c>
      <c r="C1486" s="6" t="s">
        <v>118</v>
      </c>
      <c r="D1486" s="6" t="s">
        <v>57</v>
      </c>
      <c r="E1486" s="6" t="s">
        <v>5</v>
      </c>
      <c r="F1486" s="6" t="s">
        <v>119</v>
      </c>
      <c r="G1486" s="6" t="s">
        <v>57</v>
      </c>
      <c r="H1486" s="6" t="s">
        <v>120</v>
      </c>
      <c r="I1486" s="6" t="s">
        <v>120</v>
      </c>
      <c r="J1486" s="6" t="s">
        <v>36</v>
      </c>
      <c r="K1486" s="7">
        <v>1.4040000000000001E-3</v>
      </c>
      <c r="L1486" s="8"/>
      <c r="M1486" s="6"/>
      <c r="N1486" s="44">
        <v>1.825</v>
      </c>
      <c r="O1486" s="8"/>
      <c r="P1486" s="8"/>
      <c r="Q1486" s="8"/>
      <c r="R1486" s="44">
        <v>1.825</v>
      </c>
      <c r="S1486" s="8"/>
      <c r="T1486" s="8"/>
      <c r="U1486" s="8"/>
      <c r="V1486" s="8">
        <f t="shared" si="23"/>
        <v>2023</v>
      </c>
    </row>
    <row r="1487" spans="1:22" hidden="1" x14ac:dyDescent="0.25">
      <c r="A1487" s="5">
        <v>45047</v>
      </c>
      <c r="B1487" s="6" t="s">
        <v>22</v>
      </c>
      <c r="C1487" s="6" t="s">
        <v>123</v>
      </c>
      <c r="D1487" s="6" t="s">
        <v>60</v>
      </c>
      <c r="E1487" s="6" t="s">
        <v>5</v>
      </c>
      <c r="F1487" s="6" t="s">
        <v>128</v>
      </c>
      <c r="G1487" s="6" t="s">
        <v>129</v>
      </c>
      <c r="H1487" s="6" t="s">
        <v>130</v>
      </c>
      <c r="I1487" s="6" t="s">
        <v>127</v>
      </c>
      <c r="J1487" s="6" t="s">
        <v>36</v>
      </c>
      <c r="K1487" s="7">
        <v>0</v>
      </c>
      <c r="L1487" s="8"/>
      <c r="M1487" s="6"/>
      <c r="N1487" s="44">
        <v>0</v>
      </c>
      <c r="O1487" s="8"/>
      <c r="P1487" s="8"/>
      <c r="Q1487" s="8"/>
      <c r="R1487" s="44">
        <v>0</v>
      </c>
      <c r="S1487" s="8"/>
      <c r="T1487" s="8"/>
      <c r="U1487" s="8"/>
      <c r="V1487" s="8">
        <f t="shared" si="23"/>
        <v>2023</v>
      </c>
    </row>
    <row r="1488" spans="1:22" ht="20.399999999999999" hidden="1" x14ac:dyDescent="0.25">
      <c r="A1488" s="5">
        <v>45047</v>
      </c>
      <c r="B1488" s="6" t="s">
        <v>22</v>
      </c>
      <c r="C1488" s="6" t="s">
        <v>123</v>
      </c>
      <c r="D1488" s="6" t="s">
        <v>64</v>
      </c>
      <c r="E1488" s="6" t="s">
        <v>5</v>
      </c>
      <c r="F1488" s="6" t="s">
        <v>137</v>
      </c>
      <c r="G1488" s="6" t="s">
        <v>64</v>
      </c>
      <c r="H1488" s="6" t="s">
        <v>138</v>
      </c>
      <c r="I1488" s="6" t="s">
        <v>127</v>
      </c>
      <c r="J1488" s="6" t="s">
        <v>36</v>
      </c>
      <c r="K1488" s="7">
        <v>4.9439999999999996E-3</v>
      </c>
      <c r="L1488" s="8"/>
      <c r="M1488" s="6"/>
      <c r="N1488" s="44">
        <v>6.4269999999999996</v>
      </c>
      <c r="O1488" s="8"/>
      <c r="P1488" s="8"/>
      <c r="Q1488" s="8"/>
      <c r="R1488" s="44">
        <v>6.4269999999999996</v>
      </c>
      <c r="S1488" s="8"/>
      <c r="T1488" s="8"/>
      <c r="U1488" s="8"/>
      <c r="V1488" s="8">
        <f t="shared" si="23"/>
        <v>2023</v>
      </c>
    </row>
    <row r="1489" spans="1:22" ht="20.399999999999999" hidden="1" x14ac:dyDescent="0.25">
      <c r="A1489" s="5">
        <v>45047</v>
      </c>
      <c r="B1489" s="6" t="s">
        <v>22</v>
      </c>
      <c r="C1489" s="6" t="s">
        <v>123</v>
      </c>
      <c r="D1489" s="6" t="s">
        <v>67</v>
      </c>
      <c r="E1489" s="6" t="s">
        <v>5</v>
      </c>
      <c r="F1489" s="6" t="s">
        <v>142</v>
      </c>
      <c r="G1489" s="6" t="s">
        <v>143</v>
      </c>
      <c r="H1489" s="6" t="s">
        <v>115</v>
      </c>
      <c r="I1489" s="6" t="s">
        <v>116</v>
      </c>
      <c r="J1489" s="6" t="s">
        <v>36</v>
      </c>
      <c r="K1489" s="7">
        <v>0</v>
      </c>
      <c r="L1489" s="8"/>
      <c r="M1489" s="6"/>
      <c r="N1489" s="44">
        <v>0</v>
      </c>
      <c r="O1489" s="8"/>
      <c r="P1489" s="8"/>
      <c r="Q1489" s="8"/>
      <c r="R1489" s="44">
        <v>0</v>
      </c>
      <c r="S1489" s="8"/>
      <c r="T1489" s="8"/>
      <c r="U1489" s="8"/>
      <c r="V1489" s="8">
        <f t="shared" si="23"/>
        <v>2023</v>
      </c>
    </row>
    <row r="1490" spans="1:22" ht="71.400000000000006" hidden="1" x14ac:dyDescent="0.25">
      <c r="A1490" s="5">
        <v>45078</v>
      </c>
      <c r="B1490" s="6" t="s">
        <v>22</v>
      </c>
      <c r="C1490" s="6" t="s">
        <v>118</v>
      </c>
      <c r="D1490" s="6" t="s">
        <v>57</v>
      </c>
      <c r="E1490" s="6" t="s">
        <v>5</v>
      </c>
      <c r="F1490" s="6" t="s">
        <v>119</v>
      </c>
      <c r="G1490" s="6" t="s">
        <v>57</v>
      </c>
      <c r="H1490" s="6" t="s">
        <v>120</v>
      </c>
      <c r="I1490" s="6" t="s">
        <v>120</v>
      </c>
      <c r="J1490" s="6" t="s">
        <v>36</v>
      </c>
      <c r="K1490" s="7">
        <v>1.4040000000000001E-3</v>
      </c>
      <c r="L1490" s="8"/>
      <c r="M1490" s="6"/>
      <c r="N1490" s="44">
        <v>1.825</v>
      </c>
      <c r="O1490" s="8"/>
      <c r="P1490" s="8"/>
      <c r="Q1490" s="8"/>
      <c r="R1490" s="44">
        <v>1.825</v>
      </c>
      <c r="S1490" s="8"/>
      <c r="T1490" s="8"/>
      <c r="U1490" s="8"/>
      <c r="V1490" s="8">
        <f t="shared" si="23"/>
        <v>2023</v>
      </c>
    </row>
    <row r="1491" spans="1:22" hidden="1" x14ac:dyDescent="0.25">
      <c r="A1491" s="5">
        <v>45078</v>
      </c>
      <c r="B1491" s="6" t="s">
        <v>22</v>
      </c>
      <c r="C1491" s="6" t="s">
        <v>123</v>
      </c>
      <c r="D1491" s="6" t="s">
        <v>60</v>
      </c>
      <c r="E1491" s="6" t="s">
        <v>5</v>
      </c>
      <c r="F1491" s="6" t="s">
        <v>128</v>
      </c>
      <c r="G1491" s="6" t="s">
        <v>129</v>
      </c>
      <c r="H1491" s="6" t="s">
        <v>130</v>
      </c>
      <c r="I1491" s="6" t="s">
        <v>127</v>
      </c>
      <c r="J1491" s="6" t="s">
        <v>36</v>
      </c>
      <c r="K1491" s="7">
        <v>0</v>
      </c>
      <c r="L1491" s="8"/>
      <c r="M1491" s="6"/>
      <c r="N1491" s="44">
        <v>0</v>
      </c>
      <c r="O1491" s="8"/>
      <c r="P1491" s="8"/>
      <c r="Q1491" s="8"/>
      <c r="R1491" s="44">
        <v>0</v>
      </c>
      <c r="S1491" s="8"/>
      <c r="T1491" s="8"/>
      <c r="U1491" s="8"/>
      <c r="V1491" s="8">
        <f t="shared" si="23"/>
        <v>2023</v>
      </c>
    </row>
    <row r="1492" spans="1:22" hidden="1" x14ac:dyDescent="0.25">
      <c r="A1492" s="5">
        <v>45078</v>
      </c>
      <c r="B1492" s="6" t="s">
        <v>22</v>
      </c>
      <c r="C1492" s="6" t="s">
        <v>123</v>
      </c>
      <c r="D1492" s="6" t="s">
        <v>66</v>
      </c>
      <c r="E1492" s="6" t="s">
        <v>5</v>
      </c>
      <c r="F1492" s="6" t="s">
        <v>140</v>
      </c>
      <c r="G1492" s="6" t="s">
        <v>141</v>
      </c>
      <c r="H1492" s="6" t="s">
        <v>130</v>
      </c>
      <c r="I1492" s="6" t="s">
        <v>127</v>
      </c>
      <c r="J1492" s="6" t="s">
        <v>36</v>
      </c>
      <c r="K1492" s="7">
        <v>6.8040000000000002E-3</v>
      </c>
      <c r="L1492" s="8"/>
      <c r="M1492" s="6"/>
      <c r="N1492" s="44">
        <v>8.8450000000000006</v>
      </c>
      <c r="O1492" s="8"/>
      <c r="P1492" s="8"/>
      <c r="Q1492" s="8"/>
      <c r="R1492" s="44">
        <v>8.8450000000000006</v>
      </c>
      <c r="S1492" s="8"/>
      <c r="T1492" s="8"/>
      <c r="U1492" s="8"/>
      <c r="V1492" s="8">
        <f t="shared" si="23"/>
        <v>2023</v>
      </c>
    </row>
    <row r="1493" spans="1:22" ht="20.399999999999999" hidden="1" x14ac:dyDescent="0.25">
      <c r="A1493" s="5">
        <v>45078</v>
      </c>
      <c r="B1493" s="6" t="s">
        <v>22</v>
      </c>
      <c r="C1493" s="6" t="s">
        <v>123</v>
      </c>
      <c r="D1493" s="6" t="s">
        <v>67</v>
      </c>
      <c r="E1493" s="6" t="s">
        <v>5</v>
      </c>
      <c r="F1493" s="6" t="s">
        <v>142</v>
      </c>
      <c r="G1493" s="6" t="s">
        <v>143</v>
      </c>
      <c r="H1493" s="6" t="s">
        <v>115</v>
      </c>
      <c r="I1493" s="6" t="s">
        <v>116</v>
      </c>
      <c r="J1493" s="6" t="s">
        <v>36</v>
      </c>
      <c r="K1493" s="7">
        <v>0</v>
      </c>
      <c r="L1493" s="8"/>
      <c r="M1493" s="6"/>
      <c r="N1493" s="44">
        <v>0</v>
      </c>
      <c r="O1493" s="8"/>
      <c r="P1493" s="8"/>
      <c r="Q1493" s="8"/>
      <c r="R1493" s="44">
        <v>0</v>
      </c>
      <c r="S1493" s="8"/>
      <c r="T1493" s="8"/>
      <c r="U1493" s="8"/>
      <c r="V1493" s="8">
        <f t="shared" si="23"/>
        <v>2023</v>
      </c>
    </row>
    <row r="1494" spans="1:22" ht="71.400000000000006" hidden="1" x14ac:dyDescent="0.25">
      <c r="A1494" s="5">
        <v>45108</v>
      </c>
      <c r="B1494" s="6" t="s">
        <v>22</v>
      </c>
      <c r="C1494" s="6" t="s">
        <v>118</v>
      </c>
      <c r="D1494" s="6" t="s">
        <v>57</v>
      </c>
      <c r="E1494" s="6" t="s">
        <v>5</v>
      </c>
      <c r="F1494" s="6" t="s">
        <v>119</v>
      </c>
      <c r="G1494" s="6" t="s">
        <v>57</v>
      </c>
      <c r="H1494" s="6" t="s">
        <v>120</v>
      </c>
      <c r="I1494" s="6" t="s">
        <v>120</v>
      </c>
      <c r="J1494" s="6" t="s">
        <v>36</v>
      </c>
      <c r="K1494" s="7">
        <v>1.4040000000000001E-3</v>
      </c>
      <c r="L1494" s="8"/>
      <c r="M1494" s="6"/>
      <c r="N1494" s="44">
        <v>1.825</v>
      </c>
      <c r="O1494" s="8"/>
      <c r="P1494" s="8"/>
      <c r="Q1494" s="8"/>
      <c r="R1494" s="44">
        <v>1.825</v>
      </c>
      <c r="S1494" s="8"/>
      <c r="T1494" s="8"/>
      <c r="U1494" s="8"/>
      <c r="V1494" s="8">
        <f t="shared" si="23"/>
        <v>2023</v>
      </c>
    </row>
    <row r="1495" spans="1:22" hidden="1" x14ac:dyDescent="0.25">
      <c r="A1495" s="5">
        <v>45108</v>
      </c>
      <c r="B1495" s="6" t="s">
        <v>22</v>
      </c>
      <c r="C1495" s="6" t="s">
        <v>123</v>
      </c>
      <c r="D1495" s="6" t="s">
        <v>60</v>
      </c>
      <c r="E1495" s="6" t="s">
        <v>5</v>
      </c>
      <c r="F1495" s="6" t="s">
        <v>128</v>
      </c>
      <c r="G1495" s="6" t="s">
        <v>129</v>
      </c>
      <c r="H1495" s="6" t="s">
        <v>130</v>
      </c>
      <c r="I1495" s="6" t="s">
        <v>127</v>
      </c>
      <c r="J1495" s="6" t="s">
        <v>36</v>
      </c>
      <c r="K1495" s="7">
        <v>3.9916E-2</v>
      </c>
      <c r="L1495" s="8"/>
      <c r="M1495" s="6"/>
      <c r="N1495" s="44">
        <v>51.890999999999998</v>
      </c>
      <c r="O1495" s="8"/>
      <c r="P1495" s="8"/>
      <c r="Q1495" s="8"/>
      <c r="R1495" s="44">
        <v>51.890999999999998</v>
      </c>
      <c r="S1495" s="8"/>
      <c r="T1495" s="8"/>
      <c r="U1495" s="8"/>
      <c r="V1495" s="8">
        <f t="shared" si="23"/>
        <v>2023</v>
      </c>
    </row>
    <row r="1496" spans="1:22" ht="20.399999999999999" hidden="1" x14ac:dyDescent="0.25">
      <c r="A1496" s="5">
        <v>45108</v>
      </c>
      <c r="B1496" s="6" t="s">
        <v>22</v>
      </c>
      <c r="C1496" s="6" t="s">
        <v>123</v>
      </c>
      <c r="D1496" s="6" t="s">
        <v>67</v>
      </c>
      <c r="E1496" s="6" t="s">
        <v>5</v>
      </c>
      <c r="F1496" s="6" t="s">
        <v>142</v>
      </c>
      <c r="G1496" s="6" t="s">
        <v>143</v>
      </c>
      <c r="H1496" s="6" t="s">
        <v>115</v>
      </c>
      <c r="I1496" s="6" t="s">
        <v>116</v>
      </c>
      <c r="J1496" s="6" t="s">
        <v>36</v>
      </c>
      <c r="K1496" s="7">
        <v>0</v>
      </c>
      <c r="L1496" s="8"/>
      <c r="M1496" s="6"/>
      <c r="N1496" s="44">
        <v>0</v>
      </c>
      <c r="O1496" s="8"/>
      <c r="P1496" s="8"/>
      <c r="Q1496" s="8"/>
      <c r="R1496" s="44">
        <v>0</v>
      </c>
      <c r="S1496" s="8"/>
      <c r="T1496" s="8"/>
      <c r="U1496" s="8"/>
      <c r="V1496" s="8">
        <f t="shared" si="23"/>
        <v>2023</v>
      </c>
    </row>
    <row r="1497" spans="1:22" ht="71.400000000000006" hidden="1" x14ac:dyDescent="0.25">
      <c r="A1497" s="5">
        <v>45139</v>
      </c>
      <c r="B1497" s="6" t="s">
        <v>22</v>
      </c>
      <c r="C1497" s="6" t="s">
        <v>118</v>
      </c>
      <c r="D1497" s="6" t="s">
        <v>57</v>
      </c>
      <c r="E1497" s="6" t="s">
        <v>5</v>
      </c>
      <c r="F1497" s="6" t="s">
        <v>119</v>
      </c>
      <c r="G1497" s="6" t="s">
        <v>57</v>
      </c>
      <c r="H1497" s="6" t="s">
        <v>120</v>
      </c>
      <c r="I1497" s="6" t="s">
        <v>120</v>
      </c>
      <c r="J1497" s="6" t="s">
        <v>36</v>
      </c>
      <c r="K1497" s="7">
        <v>1.4040000000000001E-3</v>
      </c>
      <c r="L1497" s="8"/>
      <c r="M1497" s="6"/>
      <c r="N1497" s="44">
        <v>1.825</v>
      </c>
      <c r="O1497" s="8"/>
      <c r="P1497" s="8"/>
      <c r="Q1497" s="8"/>
      <c r="R1497" s="44">
        <v>1.825</v>
      </c>
      <c r="S1497" s="8"/>
      <c r="T1497" s="8"/>
      <c r="U1497" s="8"/>
      <c r="V1497" s="8">
        <f t="shared" si="23"/>
        <v>2023</v>
      </c>
    </row>
    <row r="1498" spans="1:22" hidden="1" x14ac:dyDescent="0.25">
      <c r="A1498" s="5">
        <v>45139</v>
      </c>
      <c r="B1498" s="6" t="s">
        <v>22</v>
      </c>
      <c r="C1498" s="6" t="s">
        <v>123</v>
      </c>
      <c r="D1498" s="6" t="s">
        <v>60</v>
      </c>
      <c r="E1498" s="6" t="s">
        <v>5</v>
      </c>
      <c r="F1498" s="6" t="s">
        <v>128</v>
      </c>
      <c r="G1498" s="6" t="s">
        <v>129</v>
      </c>
      <c r="H1498" s="6" t="s">
        <v>130</v>
      </c>
      <c r="I1498" s="6" t="s">
        <v>127</v>
      </c>
      <c r="J1498" s="6" t="s">
        <v>36</v>
      </c>
      <c r="K1498" s="7">
        <v>0</v>
      </c>
      <c r="L1498" s="8"/>
      <c r="M1498" s="6"/>
      <c r="N1498" s="44">
        <v>0</v>
      </c>
      <c r="O1498" s="8"/>
      <c r="P1498" s="8"/>
      <c r="Q1498" s="8"/>
      <c r="R1498" s="44">
        <v>0</v>
      </c>
      <c r="S1498" s="8"/>
      <c r="T1498" s="8"/>
      <c r="U1498" s="8"/>
      <c r="V1498" s="8">
        <f t="shared" si="23"/>
        <v>2023</v>
      </c>
    </row>
    <row r="1499" spans="1:22" ht="20.399999999999999" hidden="1" x14ac:dyDescent="0.25">
      <c r="A1499" s="5">
        <v>45139</v>
      </c>
      <c r="B1499" s="6" t="s">
        <v>22</v>
      </c>
      <c r="C1499" s="6" t="s">
        <v>123</v>
      </c>
      <c r="D1499" s="6" t="s">
        <v>67</v>
      </c>
      <c r="E1499" s="6" t="s">
        <v>5</v>
      </c>
      <c r="F1499" s="6" t="s">
        <v>142</v>
      </c>
      <c r="G1499" s="6" t="s">
        <v>143</v>
      </c>
      <c r="H1499" s="6" t="s">
        <v>115</v>
      </c>
      <c r="I1499" s="6" t="s">
        <v>116</v>
      </c>
      <c r="J1499" s="6" t="s">
        <v>36</v>
      </c>
      <c r="K1499" s="7">
        <v>0</v>
      </c>
      <c r="L1499" s="8"/>
      <c r="M1499" s="6"/>
      <c r="N1499" s="44">
        <v>0</v>
      </c>
      <c r="O1499" s="8"/>
      <c r="P1499" s="8"/>
      <c r="Q1499" s="8"/>
      <c r="R1499" s="44">
        <v>0</v>
      </c>
      <c r="S1499" s="8"/>
      <c r="T1499" s="8"/>
      <c r="U1499" s="8"/>
      <c r="V1499" s="8">
        <f t="shared" si="23"/>
        <v>2023</v>
      </c>
    </row>
    <row r="1500" spans="1:22" hidden="1" x14ac:dyDescent="0.25">
      <c r="A1500" s="5">
        <v>45139</v>
      </c>
      <c r="B1500" s="6" t="s">
        <v>22</v>
      </c>
      <c r="C1500" s="6" t="s">
        <v>123</v>
      </c>
      <c r="D1500" s="6" t="s">
        <v>68</v>
      </c>
      <c r="E1500" s="6" t="s">
        <v>5</v>
      </c>
      <c r="F1500" s="6" t="s">
        <v>144</v>
      </c>
      <c r="G1500" s="6" t="s">
        <v>68</v>
      </c>
      <c r="H1500" s="6" t="s">
        <v>145</v>
      </c>
      <c r="I1500" s="6" t="s">
        <v>146</v>
      </c>
      <c r="J1500" s="6" t="s">
        <v>36</v>
      </c>
      <c r="K1500" s="7">
        <v>1.0999999999999999E-2</v>
      </c>
      <c r="L1500" s="8"/>
      <c r="M1500" s="6"/>
      <c r="N1500" s="44">
        <v>14.3</v>
      </c>
      <c r="O1500" s="8"/>
      <c r="P1500" s="8"/>
      <c r="Q1500" s="8"/>
      <c r="R1500" s="44">
        <v>14.3</v>
      </c>
      <c r="S1500" s="8"/>
      <c r="T1500" s="8"/>
      <c r="U1500" s="8"/>
      <c r="V1500" s="8">
        <f t="shared" si="23"/>
        <v>2023</v>
      </c>
    </row>
    <row r="1501" spans="1:22" ht="71.400000000000006" hidden="1" x14ac:dyDescent="0.25">
      <c r="A1501" s="5">
        <v>45170</v>
      </c>
      <c r="B1501" s="6" t="s">
        <v>22</v>
      </c>
      <c r="C1501" s="6" t="s">
        <v>118</v>
      </c>
      <c r="D1501" s="6" t="s">
        <v>57</v>
      </c>
      <c r="E1501" s="6" t="s">
        <v>5</v>
      </c>
      <c r="F1501" s="6" t="s">
        <v>119</v>
      </c>
      <c r="G1501" s="6" t="s">
        <v>57</v>
      </c>
      <c r="H1501" s="6" t="s">
        <v>120</v>
      </c>
      <c r="I1501" s="6" t="s">
        <v>120</v>
      </c>
      <c r="J1501" s="6" t="s">
        <v>36</v>
      </c>
      <c r="K1501" s="7">
        <v>1.4040000000000001E-3</v>
      </c>
      <c r="L1501" s="8"/>
      <c r="M1501" s="6"/>
      <c r="N1501" s="44">
        <v>1.825</v>
      </c>
      <c r="O1501" s="8"/>
      <c r="P1501" s="8"/>
      <c r="Q1501" s="8"/>
      <c r="R1501" s="44">
        <v>1.825</v>
      </c>
      <c r="S1501" s="8"/>
      <c r="T1501" s="8"/>
      <c r="U1501" s="8"/>
      <c r="V1501" s="8">
        <f t="shared" si="23"/>
        <v>2023</v>
      </c>
    </row>
    <row r="1502" spans="1:22" hidden="1" x14ac:dyDescent="0.25">
      <c r="A1502" s="5">
        <v>45170</v>
      </c>
      <c r="B1502" s="6" t="s">
        <v>22</v>
      </c>
      <c r="C1502" s="6" t="s">
        <v>123</v>
      </c>
      <c r="D1502" s="6" t="s">
        <v>60</v>
      </c>
      <c r="E1502" s="6" t="s">
        <v>5</v>
      </c>
      <c r="F1502" s="6" t="s">
        <v>128</v>
      </c>
      <c r="G1502" s="6" t="s">
        <v>129</v>
      </c>
      <c r="H1502" s="6" t="s">
        <v>130</v>
      </c>
      <c r="I1502" s="6" t="s">
        <v>127</v>
      </c>
      <c r="J1502" s="6" t="s">
        <v>36</v>
      </c>
      <c r="K1502" s="7">
        <v>0</v>
      </c>
      <c r="L1502" s="8"/>
      <c r="M1502" s="6"/>
      <c r="N1502" s="44">
        <v>0</v>
      </c>
      <c r="O1502" s="8"/>
      <c r="P1502" s="8"/>
      <c r="Q1502" s="8"/>
      <c r="R1502" s="44">
        <v>0</v>
      </c>
      <c r="S1502" s="8"/>
      <c r="T1502" s="8"/>
      <c r="U1502" s="8"/>
      <c r="V1502" s="8">
        <f t="shared" si="23"/>
        <v>2023</v>
      </c>
    </row>
    <row r="1503" spans="1:22" ht="20.399999999999999" hidden="1" x14ac:dyDescent="0.25">
      <c r="A1503" s="5">
        <v>45170</v>
      </c>
      <c r="B1503" s="6" t="s">
        <v>22</v>
      </c>
      <c r="C1503" s="6" t="s">
        <v>123</v>
      </c>
      <c r="D1503" s="6" t="s">
        <v>67</v>
      </c>
      <c r="E1503" s="6" t="s">
        <v>5</v>
      </c>
      <c r="F1503" s="6" t="s">
        <v>142</v>
      </c>
      <c r="G1503" s="6" t="s">
        <v>143</v>
      </c>
      <c r="H1503" s="6" t="s">
        <v>115</v>
      </c>
      <c r="I1503" s="6" t="s">
        <v>116</v>
      </c>
      <c r="J1503" s="6" t="s">
        <v>36</v>
      </c>
      <c r="K1503" s="7">
        <v>0</v>
      </c>
      <c r="L1503" s="8"/>
      <c r="M1503" s="6"/>
      <c r="N1503" s="44">
        <v>0</v>
      </c>
      <c r="O1503" s="8"/>
      <c r="P1503" s="8"/>
      <c r="Q1503" s="8"/>
      <c r="R1503" s="44">
        <v>0</v>
      </c>
      <c r="S1503" s="8"/>
      <c r="T1503" s="8"/>
      <c r="U1503" s="8"/>
      <c r="V1503" s="8">
        <f t="shared" si="23"/>
        <v>2023</v>
      </c>
    </row>
    <row r="1504" spans="1:22" ht="71.400000000000006" hidden="1" x14ac:dyDescent="0.25">
      <c r="A1504" s="5">
        <v>45200</v>
      </c>
      <c r="B1504" s="6" t="s">
        <v>22</v>
      </c>
      <c r="C1504" s="6" t="s">
        <v>118</v>
      </c>
      <c r="D1504" s="6" t="s">
        <v>57</v>
      </c>
      <c r="E1504" s="6" t="s">
        <v>5</v>
      </c>
      <c r="F1504" s="6" t="s">
        <v>119</v>
      </c>
      <c r="G1504" s="6" t="s">
        <v>57</v>
      </c>
      <c r="H1504" s="6" t="s">
        <v>120</v>
      </c>
      <c r="I1504" s="6" t="s">
        <v>120</v>
      </c>
      <c r="J1504" s="6" t="s">
        <v>36</v>
      </c>
      <c r="K1504" s="7">
        <v>1.4040000000000001E-3</v>
      </c>
      <c r="L1504" s="8"/>
      <c r="M1504" s="6"/>
      <c r="N1504" s="44">
        <v>1.825</v>
      </c>
      <c r="O1504" s="8"/>
      <c r="P1504" s="8"/>
      <c r="Q1504" s="8"/>
      <c r="R1504" s="44">
        <v>1.825</v>
      </c>
      <c r="S1504" s="8"/>
      <c r="T1504" s="8"/>
      <c r="U1504" s="8"/>
      <c r="V1504" s="8">
        <f t="shared" si="23"/>
        <v>2023</v>
      </c>
    </row>
    <row r="1505" spans="1:23" hidden="1" x14ac:dyDescent="0.25">
      <c r="A1505" s="5">
        <v>45200</v>
      </c>
      <c r="B1505" s="6" t="s">
        <v>22</v>
      </c>
      <c r="C1505" s="6" t="s">
        <v>123</v>
      </c>
      <c r="D1505" s="6" t="s">
        <v>60</v>
      </c>
      <c r="E1505" s="6" t="s">
        <v>5</v>
      </c>
      <c r="F1505" s="6" t="s">
        <v>128</v>
      </c>
      <c r="G1505" s="6" t="s">
        <v>129</v>
      </c>
      <c r="H1505" s="6" t="s">
        <v>130</v>
      </c>
      <c r="I1505" s="6" t="s">
        <v>127</v>
      </c>
      <c r="J1505" s="6" t="s">
        <v>36</v>
      </c>
      <c r="K1505" s="7">
        <v>0</v>
      </c>
      <c r="L1505" s="8"/>
      <c r="M1505" s="6"/>
      <c r="N1505" s="44">
        <v>0</v>
      </c>
      <c r="O1505" s="8"/>
      <c r="P1505" s="8"/>
      <c r="Q1505" s="8"/>
      <c r="R1505" s="44">
        <v>0</v>
      </c>
      <c r="S1505" s="8"/>
      <c r="T1505" s="8"/>
      <c r="U1505" s="8"/>
      <c r="V1505" s="8">
        <f t="shared" si="23"/>
        <v>2023</v>
      </c>
    </row>
    <row r="1506" spans="1:23" ht="20.399999999999999" hidden="1" x14ac:dyDescent="0.25">
      <c r="A1506" s="5">
        <v>45200</v>
      </c>
      <c r="B1506" s="6" t="s">
        <v>22</v>
      </c>
      <c r="C1506" s="6" t="s">
        <v>123</v>
      </c>
      <c r="D1506" s="6" t="s">
        <v>64</v>
      </c>
      <c r="E1506" s="6" t="s">
        <v>5</v>
      </c>
      <c r="F1506" s="6" t="s">
        <v>137</v>
      </c>
      <c r="G1506" s="6" t="s">
        <v>64</v>
      </c>
      <c r="H1506" s="6" t="s">
        <v>138</v>
      </c>
      <c r="I1506" s="6" t="s">
        <v>127</v>
      </c>
      <c r="J1506" s="6" t="s">
        <v>36</v>
      </c>
      <c r="K1506" s="7">
        <v>1.361E-3</v>
      </c>
      <c r="L1506" s="8"/>
      <c r="M1506" s="6"/>
      <c r="N1506" s="44">
        <v>1.7689999999999999</v>
      </c>
      <c r="O1506" s="8"/>
      <c r="P1506" s="8"/>
      <c r="Q1506" s="8"/>
      <c r="R1506" s="44">
        <v>1.7689999999999999</v>
      </c>
      <c r="S1506" s="8"/>
      <c r="T1506" s="8"/>
      <c r="U1506" s="8"/>
      <c r="V1506" s="8">
        <f t="shared" si="23"/>
        <v>2023</v>
      </c>
    </row>
    <row r="1507" spans="1:23" ht="20.399999999999999" hidden="1" x14ac:dyDescent="0.25">
      <c r="A1507" s="5">
        <v>45200</v>
      </c>
      <c r="B1507" s="6" t="s">
        <v>22</v>
      </c>
      <c r="C1507" s="6" t="s">
        <v>123</v>
      </c>
      <c r="D1507" s="6" t="s">
        <v>67</v>
      </c>
      <c r="E1507" s="6" t="s">
        <v>5</v>
      </c>
      <c r="F1507" s="6" t="s">
        <v>142</v>
      </c>
      <c r="G1507" s="6" t="s">
        <v>143</v>
      </c>
      <c r="H1507" s="6" t="s">
        <v>115</v>
      </c>
      <c r="I1507" s="6" t="s">
        <v>116</v>
      </c>
      <c r="J1507" s="6" t="s">
        <v>36</v>
      </c>
      <c r="K1507" s="7">
        <v>0</v>
      </c>
      <c r="L1507" s="8"/>
      <c r="M1507" s="6"/>
      <c r="N1507" s="44">
        <v>0</v>
      </c>
      <c r="O1507" s="8"/>
      <c r="P1507" s="8"/>
      <c r="Q1507" s="8"/>
      <c r="R1507" s="44">
        <v>0</v>
      </c>
      <c r="S1507" s="8"/>
      <c r="T1507" s="8"/>
      <c r="U1507" s="8"/>
      <c r="V1507" s="8">
        <f t="shared" si="23"/>
        <v>2023</v>
      </c>
    </row>
    <row r="1508" spans="1:23" hidden="1" x14ac:dyDescent="0.25">
      <c r="A1508" s="5">
        <v>45200</v>
      </c>
      <c r="B1508" s="6" t="s">
        <v>22</v>
      </c>
      <c r="C1508" s="6" t="s">
        <v>123</v>
      </c>
      <c r="D1508" s="6" t="s">
        <v>68</v>
      </c>
      <c r="E1508" s="6" t="s">
        <v>5</v>
      </c>
      <c r="F1508" s="6" t="s">
        <v>144</v>
      </c>
      <c r="G1508" s="6" t="s">
        <v>68</v>
      </c>
      <c r="H1508" s="6" t="s">
        <v>145</v>
      </c>
      <c r="I1508" s="6" t="s">
        <v>146</v>
      </c>
      <c r="J1508" s="6" t="s">
        <v>36</v>
      </c>
      <c r="K1508" s="7">
        <v>2.75E-2</v>
      </c>
      <c r="L1508" s="9">
        <v>10552.647967000001</v>
      </c>
      <c r="M1508" s="6"/>
      <c r="N1508" s="44">
        <v>35.75</v>
      </c>
      <c r="O1508" s="8"/>
      <c r="P1508" s="8"/>
      <c r="Q1508" s="8"/>
      <c r="R1508" s="44">
        <v>35.75</v>
      </c>
      <c r="S1508" s="8"/>
      <c r="T1508" s="8"/>
      <c r="U1508" s="8"/>
      <c r="V1508" s="8">
        <f t="shared" si="23"/>
        <v>2023</v>
      </c>
    </row>
    <row r="1509" spans="1:23" ht="71.400000000000006" hidden="1" x14ac:dyDescent="0.25">
      <c r="A1509" s="5">
        <v>45231</v>
      </c>
      <c r="B1509" s="6" t="s">
        <v>22</v>
      </c>
      <c r="C1509" s="6" t="s">
        <v>118</v>
      </c>
      <c r="D1509" s="6" t="s">
        <v>57</v>
      </c>
      <c r="E1509" s="6" t="s">
        <v>5</v>
      </c>
      <c r="F1509" s="6" t="s">
        <v>119</v>
      </c>
      <c r="G1509" s="6" t="s">
        <v>57</v>
      </c>
      <c r="H1509" s="6" t="s">
        <v>120</v>
      </c>
      <c r="I1509" s="6" t="s">
        <v>120</v>
      </c>
      <c r="J1509" s="6" t="s">
        <v>36</v>
      </c>
      <c r="K1509" s="7">
        <v>1.4040000000000001E-3</v>
      </c>
      <c r="L1509" s="8"/>
      <c r="M1509" s="6"/>
      <c r="N1509" s="44">
        <v>1.825</v>
      </c>
      <c r="O1509" s="8"/>
      <c r="P1509" s="8"/>
      <c r="Q1509" s="8"/>
      <c r="R1509" s="44">
        <v>1.825</v>
      </c>
      <c r="S1509" s="8"/>
      <c r="T1509" s="8"/>
      <c r="U1509" s="8"/>
      <c r="V1509" s="8">
        <f t="shared" si="23"/>
        <v>2023</v>
      </c>
    </row>
    <row r="1510" spans="1:23" hidden="1" x14ac:dyDescent="0.25">
      <c r="A1510" s="5">
        <v>45231</v>
      </c>
      <c r="B1510" s="6" t="s">
        <v>22</v>
      </c>
      <c r="C1510" s="6" t="s">
        <v>123</v>
      </c>
      <c r="D1510" s="6" t="s">
        <v>60</v>
      </c>
      <c r="E1510" s="6" t="s">
        <v>5</v>
      </c>
      <c r="F1510" s="6" t="s">
        <v>128</v>
      </c>
      <c r="G1510" s="6" t="s">
        <v>129</v>
      </c>
      <c r="H1510" s="6" t="s">
        <v>130</v>
      </c>
      <c r="I1510" s="6" t="s">
        <v>127</v>
      </c>
      <c r="J1510" s="6" t="s">
        <v>36</v>
      </c>
      <c r="K1510" s="7">
        <v>0</v>
      </c>
      <c r="L1510" s="8"/>
      <c r="M1510" s="6"/>
      <c r="N1510" s="44">
        <v>0</v>
      </c>
      <c r="O1510" s="8"/>
      <c r="P1510" s="8"/>
      <c r="Q1510" s="8"/>
      <c r="R1510" s="44">
        <v>0</v>
      </c>
      <c r="S1510" s="8"/>
      <c r="T1510" s="8"/>
      <c r="U1510" s="8"/>
      <c r="V1510" s="8">
        <f t="shared" si="23"/>
        <v>2023</v>
      </c>
    </row>
    <row r="1511" spans="1:23" ht="20.399999999999999" hidden="1" x14ac:dyDescent="0.25">
      <c r="A1511" s="5">
        <v>45231</v>
      </c>
      <c r="B1511" s="6" t="s">
        <v>22</v>
      </c>
      <c r="C1511" s="6" t="s">
        <v>123</v>
      </c>
      <c r="D1511" s="6" t="s">
        <v>67</v>
      </c>
      <c r="E1511" s="6" t="s">
        <v>5</v>
      </c>
      <c r="F1511" s="6" t="s">
        <v>142</v>
      </c>
      <c r="G1511" s="6" t="s">
        <v>143</v>
      </c>
      <c r="H1511" s="6" t="s">
        <v>115</v>
      </c>
      <c r="I1511" s="6" t="s">
        <v>116</v>
      </c>
      <c r="J1511" s="6" t="s">
        <v>36</v>
      </c>
      <c r="K1511" s="7">
        <v>0</v>
      </c>
      <c r="L1511" s="8"/>
      <c r="M1511" s="6"/>
      <c r="N1511" s="44">
        <v>0</v>
      </c>
      <c r="O1511" s="8"/>
      <c r="P1511" s="8"/>
      <c r="Q1511" s="8"/>
      <c r="R1511" s="44">
        <v>0</v>
      </c>
      <c r="S1511" s="8"/>
      <c r="T1511" s="8"/>
      <c r="U1511" s="8"/>
      <c r="V1511" s="8">
        <f t="shared" si="23"/>
        <v>2023</v>
      </c>
    </row>
    <row r="1512" spans="1:23" hidden="1" x14ac:dyDescent="0.25">
      <c r="A1512" s="5">
        <v>45231</v>
      </c>
      <c r="B1512" s="6" t="s">
        <v>22</v>
      </c>
      <c r="C1512" s="6" t="s">
        <v>123</v>
      </c>
      <c r="D1512" s="6" t="s">
        <v>68</v>
      </c>
      <c r="E1512" s="6" t="s">
        <v>5</v>
      </c>
      <c r="F1512" s="6" t="s">
        <v>144</v>
      </c>
      <c r="G1512" s="6" t="s">
        <v>68</v>
      </c>
      <c r="H1512" s="6" t="s">
        <v>145</v>
      </c>
      <c r="I1512" s="6" t="s">
        <v>146</v>
      </c>
      <c r="J1512" s="6" t="s">
        <v>36</v>
      </c>
      <c r="K1512" s="7">
        <v>1.7500000000000002E-2</v>
      </c>
      <c r="L1512" s="8"/>
      <c r="M1512" s="6"/>
      <c r="N1512" s="44">
        <v>22.75</v>
      </c>
      <c r="O1512" s="8"/>
      <c r="P1512" s="8"/>
      <c r="Q1512" s="8"/>
      <c r="R1512" s="44">
        <v>22.75</v>
      </c>
      <c r="S1512" s="8"/>
      <c r="T1512" s="8"/>
      <c r="U1512" s="8"/>
      <c r="V1512" s="8">
        <f t="shared" si="23"/>
        <v>2023</v>
      </c>
    </row>
    <row r="1513" spans="1:23" ht="71.400000000000006" hidden="1" x14ac:dyDescent="0.25">
      <c r="A1513" s="5">
        <v>45261</v>
      </c>
      <c r="B1513" s="6" t="s">
        <v>22</v>
      </c>
      <c r="C1513" s="6" t="s">
        <v>118</v>
      </c>
      <c r="D1513" s="6" t="s">
        <v>57</v>
      </c>
      <c r="E1513" s="6" t="s">
        <v>5</v>
      </c>
      <c r="F1513" s="6" t="s">
        <v>119</v>
      </c>
      <c r="G1513" s="6" t="s">
        <v>57</v>
      </c>
      <c r="H1513" s="6" t="s">
        <v>120</v>
      </c>
      <c r="I1513" s="6" t="s">
        <v>120</v>
      </c>
      <c r="J1513" s="6" t="s">
        <v>36</v>
      </c>
      <c r="K1513" s="7">
        <v>1.4040000000000001E-3</v>
      </c>
      <c r="L1513" s="8"/>
      <c r="M1513" s="6"/>
      <c r="N1513" s="44">
        <v>1.825</v>
      </c>
      <c r="O1513" s="8"/>
      <c r="P1513" s="8"/>
      <c r="Q1513" s="8"/>
      <c r="R1513" s="44">
        <v>1.825</v>
      </c>
      <c r="S1513" s="8"/>
      <c r="T1513" s="8"/>
      <c r="U1513" s="8"/>
      <c r="V1513" s="8">
        <f t="shared" si="23"/>
        <v>2023</v>
      </c>
    </row>
    <row r="1514" spans="1:23" hidden="1" x14ac:dyDescent="0.25">
      <c r="A1514" s="5">
        <v>45261</v>
      </c>
      <c r="B1514" s="6" t="s">
        <v>22</v>
      </c>
      <c r="C1514" s="6" t="s">
        <v>123</v>
      </c>
      <c r="D1514" s="6" t="s">
        <v>60</v>
      </c>
      <c r="E1514" s="6" t="s">
        <v>5</v>
      </c>
      <c r="F1514" s="6" t="s">
        <v>128</v>
      </c>
      <c r="G1514" s="6" t="s">
        <v>129</v>
      </c>
      <c r="H1514" s="6" t="s">
        <v>130</v>
      </c>
      <c r="I1514" s="6" t="s">
        <v>127</v>
      </c>
      <c r="J1514" s="6" t="s">
        <v>36</v>
      </c>
      <c r="K1514" s="7">
        <v>0</v>
      </c>
      <c r="L1514" s="8"/>
      <c r="M1514" s="6"/>
      <c r="N1514" s="44">
        <v>0</v>
      </c>
      <c r="O1514" s="8"/>
      <c r="P1514" s="8"/>
      <c r="Q1514" s="8"/>
      <c r="R1514" s="44">
        <v>0</v>
      </c>
      <c r="S1514" s="8"/>
      <c r="T1514" s="8"/>
      <c r="U1514" s="8"/>
      <c r="V1514" s="8">
        <f t="shared" si="23"/>
        <v>2023</v>
      </c>
    </row>
    <row r="1515" spans="1:23" ht="20.399999999999999" hidden="1" x14ac:dyDescent="0.25">
      <c r="A1515" s="5">
        <v>45261</v>
      </c>
      <c r="B1515" s="6" t="s">
        <v>22</v>
      </c>
      <c r="C1515" s="6" t="s">
        <v>123</v>
      </c>
      <c r="D1515" s="6" t="s">
        <v>67</v>
      </c>
      <c r="E1515" s="6" t="s">
        <v>5</v>
      </c>
      <c r="F1515" s="6" t="s">
        <v>142</v>
      </c>
      <c r="G1515" s="6" t="s">
        <v>143</v>
      </c>
      <c r="H1515" s="6" t="s">
        <v>115</v>
      </c>
      <c r="I1515" s="6" t="s">
        <v>116</v>
      </c>
      <c r="J1515" s="6" t="s">
        <v>36</v>
      </c>
      <c r="K1515" s="7">
        <v>0</v>
      </c>
      <c r="L1515" s="8"/>
      <c r="M1515" s="6"/>
      <c r="N1515" s="44">
        <v>0</v>
      </c>
      <c r="O1515" s="8"/>
      <c r="P1515" s="8"/>
      <c r="Q1515" s="8"/>
      <c r="R1515" s="44">
        <v>0</v>
      </c>
      <c r="S1515" s="8"/>
      <c r="T1515" s="8"/>
      <c r="U1515" s="8"/>
      <c r="V1515" s="8">
        <f t="shared" si="23"/>
        <v>2023</v>
      </c>
    </row>
    <row r="1516" spans="1:23" hidden="1" x14ac:dyDescent="0.25">
      <c r="A1516" s="5">
        <v>44927</v>
      </c>
      <c r="B1516" s="6" t="s">
        <v>24</v>
      </c>
      <c r="C1516" s="6" t="s">
        <v>123</v>
      </c>
      <c r="D1516" s="6" t="s">
        <v>68</v>
      </c>
      <c r="E1516" s="6" t="s">
        <v>6</v>
      </c>
      <c r="F1516" s="6" t="s">
        <v>144</v>
      </c>
      <c r="G1516" s="37" t="s">
        <v>68</v>
      </c>
      <c r="H1516" s="37" t="s">
        <v>145</v>
      </c>
      <c r="I1516" s="6" t="s">
        <v>146</v>
      </c>
      <c r="J1516" s="6" t="s">
        <v>34</v>
      </c>
      <c r="K1516" s="7">
        <v>2661.7893549999999</v>
      </c>
      <c r="L1516" s="9">
        <v>577216.35357499996</v>
      </c>
      <c r="M1516" s="6"/>
      <c r="N1516" s="44">
        <v>478.09800000000001</v>
      </c>
      <c r="O1516" s="7">
        <v>473.44403899999998</v>
      </c>
      <c r="P1516" s="7">
        <v>1.41666</v>
      </c>
      <c r="Q1516" s="7">
        <v>3.2371210000000001</v>
      </c>
      <c r="R1516" s="44">
        <v>478.09800000000001</v>
      </c>
      <c r="S1516" s="7">
        <v>473.44403899999998</v>
      </c>
      <c r="T1516" s="7">
        <v>1.41666</v>
      </c>
      <c r="U1516" s="7">
        <v>3.2371210000000001</v>
      </c>
      <c r="V1516" s="8">
        <f t="shared" ref="V1516:V1539" si="24">YEAR(A1516)</f>
        <v>2023</v>
      </c>
      <c r="W1516" s="7"/>
    </row>
    <row r="1517" spans="1:23" hidden="1" x14ac:dyDescent="0.25">
      <c r="A1517" s="5">
        <v>44958</v>
      </c>
      <c r="B1517" s="6" t="s">
        <v>24</v>
      </c>
      <c r="C1517" s="6" t="s">
        <v>123</v>
      </c>
      <c r="D1517" s="6" t="s">
        <v>68</v>
      </c>
      <c r="E1517" s="6" t="s">
        <v>6</v>
      </c>
      <c r="F1517" s="6" t="s">
        <v>144</v>
      </c>
      <c r="G1517" s="37" t="s">
        <v>68</v>
      </c>
      <c r="H1517" s="37" t="s">
        <v>145</v>
      </c>
      <c r="I1517" s="6" t="s">
        <v>146</v>
      </c>
      <c r="J1517" s="6" t="s">
        <v>34</v>
      </c>
      <c r="K1517" s="7">
        <v>2499.6463370000001</v>
      </c>
      <c r="L1517" s="9">
        <v>534591.86362900003</v>
      </c>
      <c r="M1517" s="6"/>
      <c r="N1517" s="44">
        <v>448.97399999999999</v>
      </c>
      <c r="O1517" s="7">
        <v>444.604174</v>
      </c>
      <c r="P1517" s="7">
        <v>1.3303640000000001</v>
      </c>
      <c r="Q1517" s="7">
        <v>3.0399319999999999</v>
      </c>
      <c r="R1517" s="44">
        <v>448.97399999999999</v>
      </c>
      <c r="S1517" s="7">
        <v>444.604174</v>
      </c>
      <c r="T1517" s="7">
        <v>1.3303640000000001</v>
      </c>
      <c r="U1517" s="7">
        <v>3.0399319999999999</v>
      </c>
      <c r="V1517" s="8">
        <f t="shared" si="24"/>
        <v>2023</v>
      </c>
    </row>
    <row r="1518" spans="1:23" hidden="1" x14ac:dyDescent="0.25">
      <c r="A1518" s="5">
        <v>44986</v>
      </c>
      <c r="B1518" s="6" t="s">
        <v>24</v>
      </c>
      <c r="C1518" s="6" t="s">
        <v>123</v>
      </c>
      <c r="D1518" s="6" t="s">
        <v>68</v>
      </c>
      <c r="E1518" s="6" t="s">
        <v>6</v>
      </c>
      <c r="F1518" s="6" t="s">
        <v>144</v>
      </c>
      <c r="G1518" s="37" t="s">
        <v>68</v>
      </c>
      <c r="H1518" s="37" t="s">
        <v>145</v>
      </c>
      <c r="I1518" s="6" t="s">
        <v>146</v>
      </c>
      <c r="J1518" s="6" t="s">
        <v>34</v>
      </c>
      <c r="K1518" s="7">
        <v>2951.1643960000001</v>
      </c>
      <c r="L1518" s="9">
        <v>622756.662626</v>
      </c>
      <c r="M1518" s="6"/>
      <c r="N1518" s="44">
        <v>530.07399999999996</v>
      </c>
      <c r="O1518" s="7">
        <v>524.91426100000001</v>
      </c>
      <c r="P1518" s="7">
        <v>1.5706709999999999</v>
      </c>
      <c r="Q1518" s="7">
        <v>3.5890430000000002</v>
      </c>
      <c r="R1518" s="44">
        <v>530.07399999999996</v>
      </c>
      <c r="S1518" s="7">
        <v>524.91426100000001</v>
      </c>
      <c r="T1518" s="7">
        <v>1.5706709999999999</v>
      </c>
      <c r="U1518" s="7">
        <v>3.5890430000000002</v>
      </c>
      <c r="V1518" s="8">
        <f t="shared" si="24"/>
        <v>2023</v>
      </c>
    </row>
    <row r="1519" spans="1:23" hidden="1" x14ac:dyDescent="0.25">
      <c r="A1519" s="5">
        <v>45017</v>
      </c>
      <c r="B1519" s="6" t="s">
        <v>24</v>
      </c>
      <c r="C1519" s="6" t="s">
        <v>123</v>
      </c>
      <c r="D1519" s="6" t="s">
        <v>68</v>
      </c>
      <c r="E1519" s="6" t="s">
        <v>6</v>
      </c>
      <c r="F1519" s="6" t="s">
        <v>144</v>
      </c>
      <c r="G1519" s="37" t="s">
        <v>68</v>
      </c>
      <c r="H1519" s="37" t="s">
        <v>145</v>
      </c>
      <c r="I1519" s="6" t="s">
        <v>146</v>
      </c>
      <c r="J1519" s="6" t="s">
        <v>34</v>
      </c>
      <c r="K1519" s="7">
        <v>2928.6663910000002</v>
      </c>
      <c r="L1519" s="9">
        <v>518118.12417800003</v>
      </c>
      <c r="M1519" s="6"/>
      <c r="N1519" s="44">
        <v>526.03300000000002</v>
      </c>
      <c r="O1519" s="7">
        <v>520.91261199999997</v>
      </c>
      <c r="P1519" s="7">
        <v>1.558697</v>
      </c>
      <c r="Q1519" s="7">
        <v>3.5616829999999999</v>
      </c>
      <c r="R1519" s="44">
        <v>526.03300000000002</v>
      </c>
      <c r="S1519" s="7">
        <v>520.91261199999997</v>
      </c>
      <c r="T1519" s="7">
        <v>1.558697</v>
      </c>
      <c r="U1519" s="7">
        <v>3.5616829999999999</v>
      </c>
      <c r="V1519" s="8">
        <f t="shared" si="24"/>
        <v>2023</v>
      </c>
    </row>
    <row r="1520" spans="1:23" hidden="1" x14ac:dyDescent="0.25">
      <c r="A1520" s="5">
        <v>45047</v>
      </c>
      <c r="B1520" s="6" t="s">
        <v>24</v>
      </c>
      <c r="C1520" s="6" t="s">
        <v>123</v>
      </c>
      <c r="D1520" s="6" t="s">
        <v>68</v>
      </c>
      <c r="E1520" s="6" t="s">
        <v>6</v>
      </c>
      <c r="F1520" s="6" t="s">
        <v>144</v>
      </c>
      <c r="G1520" s="37" t="s">
        <v>68</v>
      </c>
      <c r="H1520" s="37" t="s">
        <v>145</v>
      </c>
      <c r="I1520" s="6" t="s">
        <v>146</v>
      </c>
      <c r="J1520" s="6" t="s">
        <v>34</v>
      </c>
      <c r="K1520" s="7">
        <v>2506.6283370000001</v>
      </c>
      <c r="L1520" s="9">
        <v>432695.269707</v>
      </c>
      <c r="M1520" s="6"/>
      <c r="N1520" s="44">
        <v>450.22899999999998</v>
      </c>
      <c r="O1520" s="7">
        <v>445.84604100000001</v>
      </c>
      <c r="P1520" s="7">
        <v>1.3340799999999999</v>
      </c>
      <c r="Q1520" s="7">
        <v>3.0484230000000001</v>
      </c>
      <c r="R1520" s="44">
        <v>450.22899999999998</v>
      </c>
      <c r="S1520" s="7">
        <v>445.84604100000001</v>
      </c>
      <c r="T1520" s="7">
        <v>1.3340799999999999</v>
      </c>
      <c r="U1520" s="7">
        <v>3.0484230000000001</v>
      </c>
      <c r="V1520" s="8">
        <f t="shared" si="24"/>
        <v>2023</v>
      </c>
    </row>
    <row r="1521" spans="1:22" hidden="1" x14ac:dyDescent="0.25">
      <c r="A1521" s="5">
        <v>45078</v>
      </c>
      <c r="B1521" s="6" t="s">
        <v>24</v>
      </c>
      <c r="C1521" s="6" t="s">
        <v>123</v>
      </c>
      <c r="D1521" s="6" t="s">
        <v>68</v>
      </c>
      <c r="E1521" s="6" t="s">
        <v>6</v>
      </c>
      <c r="F1521" s="6" t="s">
        <v>144</v>
      </c>
      <c r="G1521" s="37" t="s">
        <v>68</v>
      </c>
      <c r="H1521" s="37" t="s">
        <v>145</v>
      </c>
      <c r="I1521" s="6" t="s">
        <v>146</v>
      </c>
      <c r="J1521" s="6" t="s">
        <v>34</v>
      </c>
      <c r="K1521" s="7">
        <v>1781.2502380000001</v>
      </c>
      <c r="L1521" s="9">
        <v>328924.188043</v>
      </c>
      <c r="M1521" s="6"/>
      <c r="N1521" s="44">
        <v>319.94</v>
      </c>
      <c r="O1521" s="7">
        <v>316.82533599999999</v>
      </c>
      <c r="P1521" s="7">
        <v>0.94801800000000003</v>
      </c>
      <c r="Q1521" s="7">
        <v>2.166258</v>
      </c>
      <c r="R1521" s="44">
        <v>319.94</v>
      </c>
      <c r="S1521" s="7">
        <v>316.82533599999999</v>
      </c>
      <c r="T1521" s="7">
        <v>0.94801800000000003</v>
      </c>
      <c r="U1521" s="7">
        <v>2.166258</v>
      </c>
      <c r="V1521" s="8">
        <f t="shared" si="24"/>
        <v>2023</v>
      </c>
    </row>
    <row r="1522" spans="1:22" hidden="1" x14ac:dyDescent="0.25">
      <c r="A1522" s="5">
        <v>45108</v>
      </c>
      <c r="B1522" s="6" t="s">
        <v>24</v>
      </c>
      <c r="C1522" s="6" t="s">
        <v>123</v>
      </c>
      <c r="D1522" s="6" t="s">
        <v>68</v>
      </c>
      <c r="E1522" s="6" t="s">
        <v>6</v>
      </c>
      <c r="F1522" s="6" t="s">
        <v>144</v>
      </c>
      <c r="G1522" s="37" t="s">
        <v>68</v>
      </c>
      <c r="H1522" s="37" t="s">
        <v>145</v>
      </c>
      <c r="I1522" s="6" t="s">
        <v>146</v>
      </c>
      <c r="J1522" s="6" t="s">
        <v>34</v>
      </c>
      <c r="K1522" s="7">
        <v>1200.9471590000001</v>
      </c>
      <c r="L1522" s="9">
        <v>215606.698045</v>
      </c>
      <c r="M1522" s="6"/>
      <c r="N1522" s="44">
        <v>215.708</v>
      </c>
      <c r="O1522" s="7">
        <v>213.608666</v>
      </c>
      <c r="P1522" s="7">
        <v>0.63916899999999999</v>
      </c>
      <c r="Q1522" s="7">
        <v>1.460526</v>
      </c>
      <c r="R1522" s="44">
        <v>215.708</v>
      </c>
      <c r="S1522" s="7">
        <v>213.608666</v>
      </c>
      <c r="T1522" s="7">
        <v>0.63916899999999999</v>
      </c>
      <c r="U1522" s="7">
        <v>1.460526</v>
      </c>
      <c r="V1522" s="8">
        <f t="shared" si="24"/>
        <v>2023</v>
      </c>
    </row>
    <row r="1523" spans="1:22" hidden="1" x14ac:dyDescent="0.25">
      <c r="A1523" s="5">
        <v>45139</v>
      </c>
      <c r="B1523" s="6" t="s">
        <v>24</v>
      </c>
      <c r="C1523" s="6" t="s">
        <v>123</v>
      </c>
      <c r="D1523" s="6" t="s">
        <v>68</v>
      </c>
      <c r="E1523" s="6" t="s">
        <v>6</v>
      </c>
      <c r="F1523" s="6" t="s">
        <v>144</v>
      </c>
      <c r="G1523" s="37" t="s">
        <v>68</v>
      </c>
      <c r="H1523" s="37" t="s">
        <v>145</v>
      </c>
      <c r="I1523" s="6" t="s">
        <v>146</v>
      </c>
      <c r="J1523" s="6" t="s">
        <v>34</v>
      </c>
      <c r="K1523" s="7">
        <v>942.60412499999995</v>
      </c>
      <c r="L1523" s="9">
        <v>176140.902477</v>
      </c>
      <c r="M1523" s="6"/>
      <c r="N1523" s="44">
        <v>169.30600000000001</v>
      </c>
      <c r="O1523" s="7">
        <v>167.65800899999999</v>
      </c>
      <c r="P1523" s="7">
        <v>0.50167399999999995</v>
      </c>
      <c r="Q1523" s="7">
        <v>1.1463429999999999</v>
      </c>
      <c r="R1523" s="44">
        <v>169.30600000000001</v>
      </c>
      <c r="S1523" s="7">
        <v>167.65800899999999</v>
      </c>
      <c r="T1523" s="7">
        <v>0.50167399999999995</v>
      </c>
      <c r="U1523" s="7">
        <v>1.1463429999999999</v>
      </c>
      <c r="V1523" s="8">
        <f t="shared" si="24"/>
        <v>2023</v>
      </c>
    </row>
    <row r="1524" spans="1:22" hidden="1" x14ac:dyDescent="0.25">
      <c r="A1524" s="5">
        <v>45170</v>
      </c>
      <c r="B1524" s="6" t="s">
        <v>24</v>
      </c>
      <c r="C1524" s="6" t="s">
        <v>123</v>
      </c>
      <c r="D1524" s="6" t="s">
        <v>68</v>
      </c>
      <c r="E1524" s="6" t="s">
        <v>6</v>
      </c>
      <c r="F1524" s="6" t="s">
        <v>144</v>
      </c>
      <c r="G1524" s="37" t="s">
        <v>68</v>
      </c>
      <c r="H1524" s="37" t="s">
        <v>145</v>
      </c>
      <c r="I1524" s="6" t="s">
        <v>146</v>
      </c>
      <c r="J1524" s="6" t="s">
        <v>34</v>
      </c>
      <c r="K1524" s="7">
        <v>1658.672223</v>
      </c>
      <c r="L1524" s="9">
        <v>275814.31099600001</v>
      </c>
      <c r="M1524" s="6"/>
      <c r="N1524" s="44">
        <v>297.923</v>
      </c>
      <c r="O1524" s="7">
        <v>295.02277299999997</v>
      </c>
      <c r="P1524" s="7">
        <v>0.88278000000000001</v>
      </c>
      <c r="Q1524" s="7">
        <v>2.0171860000000001</v>
      </c>
      <c r="R1524" s="44">
        <v>297.923</v>
      </c>
      <c r="S1524" s="7">
        <v>295.02277299999997</v>
      </c>
      <c r="T1524" s="7">
        <v>0.88278000000000001</v>
      </c>
      <c r="U1524" s="7">
        <v>2.0171860000000001</v>
      </c>
      <c r="V1524" s="8">
        <f t="shared" si="24"/>
        <v>2023</v>
      </c>
    </row>
    <row r="1525" spans="1:22" hidden="1" x14ac:dyDescent="0.25">
      <c r="A1525" s="5">
        <v>45200</v>
      </c>
      <c r="B1525" s="6" t="s">
        <v>24</v>
      </c>
      <c r="C1525" s="6" t="s">
        <v>123</v>
      </c>
      <c r="D1525" s="6" t="s">
        <v>68</v>
      </c>
      <c r="E1525" s="6" t="s">
        <v>6</v>
      </c>
      <c r="F1525" s="6" t="s">
        <v>144</v>
      </c>
      <c r="G1525" s="37" t="s">
        <v>68</v>
      </c>
      <c r="H1525" s="37" t="s">
        <v>145</v>
      </c>
      <c r="I1525" s="6" t="s">
        <v>146</v>
      </c>
      <c r="J1525" s="6" t="s">
        <v>34</v>
      </c>
      <c r="K1525" s="7">
        <v>1945.7202600000001</v>
      </c>
      <c r="L1525" s="9">
        <v>309291.376147</v>
      </c>
      <c r="M1525" s="6"/>
      <c r="N1525" s="44">
        <v>349.48099999999999</v>
      </c>
      <c r="O1525" s="7">
        <v>346.07909799999999</v>
      </c>
      <c r="P1525" s="7">
        <v>1.0355529999999999</v>
      </c>
      <c r="Q1525" s="7">
        <v>2.3662779999999999</v>
      </c>
      <c r="R1525" s="44">
        <v>349.48099999999999</v>
      </c>
      <c r="S1525" s="7">
        <v>346.07909799999999</v>
      </c>
      <c r="T1525" s="7">
        <v>1.0355529999999999</v>
      </c>
      <c r="U1525" s="7">
        <v>2.3662779999999999</v>
      </c>
      <c r="V1525" s="8">
        <f t="shared" si="24"/>
        <v>2023</v>
      </c>
    </row>
    <row r="1526" spans="1:22" hidden="1" x14ac:dyDescent="0.25">
      <c r="A1526" s="5">
        <v>45231</v>
      </c>
      <c r="B1526" s="6" t="s">
        <v>24</v>
      </c>
      <c r="C1526" s="6" t="s">
        <v>123</v>
      </c>
      <c r="D1526" s="6" t="s">
        <v>68</v>
      </c>
      <c r="E1526" s="6" t="s">
        <v>6</v>
      </c>
      <c r="F1526" s="6" t="s">
        <v>144</v>
      </c>
      <c r="G1526" s="37" t="s">
        <v>68</v>
      </c>
      <c r="H1526" s="37" t="s">
        <v>145</v>
      </c>
      <c r="I1526" s="6" t="s">
        <v>146</v>
      </c>
      <c r="J1526" s="6" t="s">
        <v>34</v>
      </c>
      <c r="K1526" s="7">
        <v>2514.3863350000001</v>
      </c>
      <c r="L1526" s="9">
        <v>397399.74093099998</v>
      </c>
      <c r="M1526" s="6"/>
      <c r="N1526" s="44">
        <v>451.62200000000001</v>
      </c>
      <c r="O1526" s="7">
        <v>447.225931</v>
      </c>
      <c r="P1526" s="7">
        <v>1.338209</v>
      </c>
      <c r="Q1526" s="7">
        <v>3.057858</v>
      </c>
      <c r="R1526" s="44">
        <v>451.62200000000001</v>
      </c>
      <c r="S1526" s="7">
        <v>447.225931</v>
      </c>
      <c r="T1526" s="7">
        <v>1.338209</v>
      </c>
      <c r="U1526" s="7">
        <v>3.057858</v>
      </c>
      <c r="V1526" s="8">
        <f t="shared" si="24"/>
        <v>2023</v>
      </c>
    </row>
    <row r="1527" spans="1:22" hidden="1" x14ac:dyDescent="0.25">
      <c r="A1527" s="5">
        <v>45261</v>
      </c>
      <c r="B1527" s="6" t="s">
        <v>24</v>
      </c>
      <c r="C1527" s="6" t="s">
        <v>123</v>
      </c>
      <c r="D1527" s="6" t="s">
        <v>68</v>
      </c>
      <c r="E1527" s="6" t="s">
        <v>6</v>
      </c>
      <c r="F1527" s="6" t="s">
        <v>144</v>
      </c>
      <c r="G1527" s="37" t="s">
        <v>68</v>
      </c>
      <c r="H1527" s="37" t="s">
        <v>145</v>
      </c>
      <c r="I1527" s="6" t="s">
        <v>146</v>
      </c>
      <c r="J1527" s="6" t="s">
        <v>34</v>
      </c>
      <c r="K1527" s="7">
        <v>2825.4843780000001</v>
      </c>
      <c r="L1527" s="9">
        <v>440688.40590000001</v>
      </c>
      <c r="M1527" s="6"/>
      <c r="N1527" s="44">
        <v>507.5</v>
      </c>
      <c r="O1527" s="7">
        <v>502.559954</v>
      </c>
      <c r="P1527" s="7">
        <v>1.503782</v>
      </c>
      <c r="Q1527" s="7">
        <v>3.4361980000000001</v>
      </c>
      <c r="R1527" s="44">
        <v>507.5</v>
      </c>
      <c r="S1527" s="7">
        <v>502.559954</v>
      </c>
      <c r="T1527" s="7">
        <v>1.503782</v>
      </c>
      <c r="U1527" s="7">
        <v>3.4361980000000001</v>
      </c>
      <c r="V1527" s="8">
        <f t="shared" si="24"/>
        <v>2023</v>
      </c>
    </row>
    <row r="1528" spans="1:22" ht="71.400000000000006" hidden="1" x14ac:dyDescent="0.25">
      <c r="A1528" s="5">
        <v>44927</v>
      </c>
      <c r="B1528" s="6" t="s">
        <v>23</v>
      </c>
      <c r="C1528" s="6" t="s">
        <v>118</v>
      </c>
      <c r="D1528" s="6" t="s">
        <v>57</v>
      </c>
      <c r="E1528" s="6" t="s">
        <v>6</v>
      </c>
      <c r="F1528" s="6" t="s">
        <v>119</v>
      </c>
      <c r="G1528" s="37" t="s">
        <v>57</v>
      </c>
      <c r="H1528" s="37" t="s">
        <v>120</v>
      </c>
      <c r="I1528" s="6" t="s">
        <v>120</v>
      </c>
      <c r="J1528" s="6" t="s">
        <v>34</v>
      </c>
      <c r="K1528" s="7">
        <v>1.93</v>
      </c>
      <c r="L1528" s="8"/>
      <c r="M1528" s="6"/>
      <c r="N1528" s="44">
        <v>0.29499999999999998</v>
      </c>
      <c r="O1528" s="7">
        <v>0.29316700000000001</v>
      </c>
      <c r="P1528" s="7">
        <v>1.238E-3</v>
      </c>
      <c r="Q1528" s="7">
        <v>6.4599999999999998E-4</v>
      </c>
      <c r="R1528" s="44">
        <v>0.29499999999999998</v>
      </c>
      <c r="S1528" s="7">
        <v>0.29316700000000001</v>
      </c>
      <c r="T1528" s="7">
        <v>1.238E-3</v>
      </c>
      <c r="U1528" s="7">
        <v>6.4599999999999998E-4</v>
      </c>
      <c r="V1528" s="8">
        <f t="shared" si="24"/>
        <v>2023</v>
      </c>
    </row>
    <row r="1529" spans="1:22" ht="71.400000000000006" hidden="1" x14ac:dyDescent="0.25">
      <c r="A1529" s="5">
        <v>44958</v>
      </c>
      <c r="B1529" s="6" t="s">
        <v>23</v>
      </c>
      <c r="C1529" s="6" t="s">
        <v>118</v>
      </c>
      <c r="D1529" s="6" t="s">
        <v>57</v>
      </c>
      <c r="E1529" s="6" t="s">
        <v>6</v>
      </c>
      <c r="F1529" s="6" t="s">
        <v>119</v>
      </c>
      <c r="G1529" s="37" t="s">
        <v>57</v>
      </c>
      <c r="H1529" s="37" t="s">
        <v>120</v>
      </c>
      <c r="I1529" s="6" t="s">
        <v>120</v>
      </c>
      <c r="J1529" s="6" t="s">
        <v>34</v>
      </c>
      <c r="K1529" s="7">
        <v>1.93</v>
      </c>
      <c r="L1529" s="8"/>
      <c r="M1529" s="6"/>
      <c r="N1529" s="44">
        <v>0.29499999999999998</v>
      </c>
      <c r="O1529" s="7">
        <v>0.29316700000000001</v>
      </c>
      <c r="P1529" s="7">
        <v>1.238E-3</v>
      </c>
      <c r="Q1529" s="7">
        <v>6.4599999999999998E-4</v>
      </c>
      <c r="R1529" s="44">
        <v>0.29499999999999998</v>
      </c>
      <c r="S1529" s="7">
        <v>0.29316700000000001</v>
      </c>
      <c r="T1529" s="7">
        <v>1.238E-3</v>
      </c>
      <c r="U1529" s="7">
        <v>6.4599999999999998E-4</v>
      </c>
      <c r="V1529" s="8">
        <f t="shared" si="24"/>
        <v>2023</v>
      </c>
    </row>
    <row r="1530" spans="1:22" ht="71.400000000000006" hidden="1" x14ac:dyDescent="0.25">
      <c r="A1530" s="5">
        <v>44986</v>
      </c>
      <c r="B1530" s="6" t="s">
        <v>23</v>
      </c>
      <c r="C1530" s="6" t="s">
        <v>118</v>
      </c>
      <c r="D1530" s="6" t="s">
        <v>57</v>
      </c>
      <c r="E1530" s="6" t="s">
        <v>6</v>
      </c>
      <c r="F1530" s="6" t="s">
        <v>119</v>
      </c>
      <c r="G1530" s="37" t="s">
        <v>57</v>
      </c>
      <c r="H1530" s="37" t="s">
        <v>120</v>
      </c>
      <c r="I1530" s="6" t="s">
        <v>120</v>
      </c>
      <c r="J1530" s="6" t="s">
        <v>34</v>
      </c>
      <c r="K1530" s="7">
        <v>1.93</v>
      </c>
      <c r="L1530" s="8"/>
      <c r="M1530" s="6"/>
      <c r="N1530" s="44">
        <v>0.29499999999999998</v>
      </c>
      <c r="O1530" s="7">
        <v>0.29316700000000001</v>
      </c>
      <c r="P1530" s="7">
        <v>1.238E-3</v>
      </c>
      <c r="Q1530" s="7">
        <v>6.4599999999999998E-4</v>
      </c>
      <c r="R1530" s="44">
        <v>0.29499999999999998</v>
      </c>
      <c r="S1530" s="7">
        <v>0.29316700000000001</v>
      </c>
      <c r="T1530" s="7">
        <v>1.238E-3</v>
      </c>
      <c r="U1530" s="7">
        <v>6.4599999999999998E-4</v>
      </c>
      <c r="V1530" s="8">
        <f t="shared" si="24"/>
        <v>2023</v>
      </c>
    </row>
    <row r="1531" spans="1:22" ht="71.400000000000006" hidden="1" x14ac:dyDescent="0.25">
      <c r="A1531" s="5">
        <v>45017</v>
      </c>
      <c r="B1531" s="6" t="s">
        <v>23</v>
      </c>
      <c r="C1531" s="6" t="s">
        <v>118</v>
      </c>
      <c r="D1531" s="6" t="s">
        <v>57</v>
      </c>
      <c r="E1531" s="6" t="s">
        <v>6</v>
      </c>
      <c r="F1531" s="6" t="s">
        <v>119</v>
      </c>
      <c r="G1531" s="37" t="s">
        <v>57</v>
      </c>
      <c r="H1531" s="37" t="s">
        <v>120</v>
      </c>
      <c r="I1531" s="6" t="s">
        <v>120</v>
      </c>
      <c r="J1531" s="6" t="s">
        <v>34</v>
      </c>
      <c r="K1531" s="7">
        <v>1.93</v>
      </c>
      <c r="L1531" s="8"/>
      <c r="M1531" s="6"/>
      <c r="N1531" s="44">
        <v>0.29499999999999998</v>
      </c>
      <c r="O1531" s="7">
        <v>0.29316700000000001</v>
      </c>
      <c r="P1531" s="7">
        <v>1.238E-3</v>
      </c>
      <c r="Q1531" s="7">
        <v>6.4599999999999998E-4</v>
      </c>
      <c r="R1531" s="44">
        <v>0.29499999999999998</v>
      </c>
      <c r="S1531" s="7">
        <v>0.29316700000000001</v>
      </c>
      <c r="T1531" s="7">
        <v>1.238E-3</v>
      </c>
      <c r="U1531" s="7">
        <v>6.4599999999999998E-4</v>
      </c>
      <c r="V1531" s="8">
        <f t="shared" si="24"/>
        <v>2023</v>
      </c>
    </row>
    <row r="1532" spans="1:22" ht="71.400000000000006" hidden="1" x14ac:dyDescent="0.25">
      <c r="A1532" s="5">
        <v>45047</v>
      </c>
      <c r="B1532" s="6" t="s">
        <v>23</v>
      </c>
      <c r="C1532" s="6" t="s">
        <v>118</v>
      </c>
      <c r="D1532" s="6" t="s">
        <v>57</v>
      </c>
      <c r="E1532" s="6" t="s">
        <v>6</v>
      </c>
      <c r="F1532" s="6" t="s">
        <v>119</v>
      </c>
      <c r="G1532" s="37" t="s">
        <v>57</v>
      </c>
      <c r="H1532" s="37" t="s">
        <v>120</v>
      </c>
      <c r="I1532" s="6" t="s">
        <v>120</v>
      </c>
      <c r="J1532" s="6" t="s">
        <v>34</v>
      </c>
      <c r="K1532" s="7">
        <v>1.93</v>
      </c>
      <c r="L1532" s="8"/>
      <c r="M1532" s="6"/>
      <c r="N1532" s="44">
        <v>0.29499999999999998</v>
      </c>
      <c r="O1532" s="7">
        <v>0.29316700000000001</v>
      </c>
      <c r="P1532" s="7">
        <v>1.238E-3</v>
      </c>
      <c r="Q1532" s="7">
        <v>6.4599999999999998E-4</v>
      </c>
      <c r="R1532" s="44">
        <v>0.29499999999999998</v>
      </c>
      <c r="S1532" s="7">
        <v>0.29316700000000001</v>
      </c>
      <c r="T1532" s="7">
        <v>1.238E-3</v>
      </c>
      <c r="U1532" s="7">
        <v>6.4599999999999998E-4</v>
      </c>
      <c r="V1532" s="8">
        <f t="shared" si="24"/>
        <v>2023</v>
      </c>
    </row>
    <row r="1533" spans="1:22" ht="71.400000000000006" hidden="1" x14ac:dyDescent="0.25">
      <c r="A1533" s="5">
        <v>45078</v>
      </c>
      <c r="B1533" s="6" t="s">
        <v>23</v>
      </c>
      <c r="C1533" s="6" t="s">
        <v>118</v>
      </c>
      <c r="D1533" s="6" t="s">
        <v>57</v>
      </c>
      <c r="E1533" s="6" t="s">
        <v>6</v>
      </c>
      <c r="F1533" s="6" t="s">
        <v>119</v>
      </c>
      <c r="G1533" s="37" t="s">
        <v>57</v>
      </c>
      <c r="H1533" s="37" t="s">
        <v>120</v>
      </c>
      <c r="I1533" s="6" t="s">
        <v>120</v>
      </c>
      <c r="J1533" s="6" t="s">
        <v>34</v>
      </c>
      <c r="K1533" s="7">
        <v>1.93</v>
      </c>
      <c r="L1533" s="8"/>
      <c r="M1533" s="6"/>
      <c r="N1533" s="44">
        <v>0.29499999999999998</v>
      </c>
      <c r="O1533" s="7">
        <v>0.29316700000000001</v>
      </c>
      <c r="P1533" s="7">
        <v>1.238E-3</v>
      </c>
      <c r="Q1533" s="7">
        <v>6.4599999999999998E-4</v>
      </c>
      <c r="R1533" s="44">
        <v>0.29499999999999998</v>
      </c>
      <c r="S1533" s="7">
        <v>0.29316700000000001</v>
      </c>
      <c r="T1533" s="7">
        <v>1.238E-3</v>
      </c>
      <c r="U1533" s="7">
        <v>6.4599999999999998E-4</v>
      </c>
      <c r="V1533" s="8">
        <f t="shared" si="24"/>
        <v>2023</v>
      </c>
    </row>
    <row r="1534" spans="1:22" ht="71.400000000000006" hidden="1" x14ac:dyDescent="0.25">
      <c r="A1534" s="5">
        <v>45108</v>
      </c>
      <c r="B1534" s="6" t="s">
        <v>23</v>
      </c>
      <c r="C1534" s="6" t="s">
        <v>118</v>
      </c>
      <c r="D1534" s="6" t="s">
        <v>57</v>
      </c>
      <c r="E1534" s="6" t="s">
        <v>6</v>
      </c>
      <c r="F1534" s="6" t="s">
        <v>119</v>
      </c>
      <c r="G1534" s="37" t="s">
        <v>57</v>
      </c>
      <c r="H1534" s="37" t="s">
        <v>120</v>
      </c>
      <c r="I1534" s="6" t="s">
        <v>120</v>
      </c>
      <c r="J1534" s="6" t="s">
        <v>34</v>
      </c>
      <c r="K1534" s="7">
        <v>1.93</v>
      </c>
      <c r="L1534" s="8"/>
      <c r="M1534" s="6"/>
      <c r="N1534" s="44">
        <v>0.29499999999999998</v>
      </c>
      <c r="O1534" s="7">
        <v>0.29316700000000001</v>
      </c>
      <c r="P1534" s="7">
        <v>1.238E-3</v>
      </c>
      <c r="Q1534" s="7">
        <v>6.4599999999999998E-4</v>
      </c>
      <c r="R1534" s="44">
        <v>0.29499999999999998</v>
      </c>
      <c r="S1534" s="7">
        <v>0.29316700000000001</v>
      </c>
      <c r="T1534" s="7">
        <v>1.238E-3</v>
      </c>
      <c r="U1534" s="7">
        <v>6.4599999999999998E-4</v>
      </c>
      <c r="V1534" s="8">
        <f t="shared" si="24"/>
        <v>2023</v>
      </c>
    </row>
    <row r="1535" spans="1:22" ht="71.400000000000006" hidden="1" x14ac:dyDescent="0.25">
      <c r="A1535" s="5">
        <v>45139</v>
      </c>
      <c r="B1535" s="6" t="s">
        <v>23</v>
      </c>
      <c r="C1535" s="6" t="s">
        <v>118</v>
      </c>
      <c r="D1535" s="6" t="s">
        <v>57</v>
      </c>
      <c r="E1535" s="6" t="s">
        <v>6</v>
      </c>
      <c r="F1535" s="6" t="s">
        <v>119</v>
      </c>
      <c r="G1535" s="37" t="s">
        <v>57</v>
      </c>
      <c r="H1535" s="37" t="s">
        <v>120</v>
      </c>
      <c r="I1535" s="6" t="s">
        <v>120</v>
      </c>
      <c r="J1535" s="6" t="s">
        <v>34</v>
      </c>
      <c r="K1535" s="7">
        <v>1.93</v>
      </c>
      <c r="L1535" s="8"/>
      <c r="M1535" s="6"/>
      <c r="N1535" s="44">
        <v>0.29499999999999998</v>
      </c>
      <c r="O1535" s="7">
        <v>0.29316700000000001</v>
      </c>
      <c r="P1535" s="7">
        <v>1.238E-3</v>
      </c>
      <c r="Q1535" s="7">
        <v>6.4599999999999998E-4</v>
      </c>
      <c r="R1535" s="44">
        <v>0.29499999999999998</v>
      </c>
      <c r="S1535" s="7">
        <v>0.29316700000000001</v>
      </c>
      <c r="T1535" s="7">
        <v>1.238E-3</v>
      </c>
      <c r="U1535" s="7">
        <v>6.4599999999999998E-4</v>
      </c>
      <c r="V1535" s="8">
        <f t="shared" si="24"/>
        <v>2023</v>
      </c>
    </row>
    <row r="1536" spans="1:22" ht="71.400000000000006" hidden="1" x14ac:dyDescent="0.25">
      <c r="A1536" s="5">
        <v>45170</v>
      </c>
      <c r="B1536" s="6" t="s">
        <v>23</v>
      </c>
      <c r="C1536" s="6" t="s">
        <v>118</v>
      </c>
      <c r="D1536" s="6" t="s">
        <v>57</v>
      </c>
      <c r="E1536" s="6" t="s">
        <v>6</v>
      </c>
      <c r="F1536" s="6" t="s">
        <v>119</v>
      </c>
      <c r="G1536" s="37" t="s">
        <v>57</v>
      </c>
      <c r="H1536" s="37" t="s">
        <v>120</v>
      </c>
      <c r="I1536" s="6" t="s">
        <v>120</v>
      </c>
      <c r="J1536" s="6" t="s">
        <v>34</v>
      </c>
      <c r="K1536" s="7">
        <v>1.93</v>
      </c>
      <c r="L1536" s="8"/>
      <c r="M1536" s="6"/>
      <c r="N1536" s="44">
        <v>0.29499999999999998</v>
      </c>
      <c r="O1536" s="7">
        <v>0.29316700000000001</v>
      </c>
      <c r="P1536" s="7">
        <v>1.238E-3</v>
      </c>
      <c r="Q1536" s="7">
        <v>6.4599999999999998E-4</v>
      </c>
      <c r="R1536" s="44">
        <v>0.29499999999999998</v>
      </c>
      <c r="S1536" s="7">
        <v>0.29316700000000001</v>
      </c>
      <c r="T1536" s="7">
        <v>1.238E-3</v>
      </c>
      <c r="U1536" s="7">
        <v>6.4599999999999998E-4</v>
      </c>
      <c r="V1536" s="8">
        <f t="shared" si="24"/>
        <v>2023</v>
      </c>
    </row>
    <row r="1537" spans="1:22" ht="71.400000000000006" hidden="1" x14ac:dyDescent="0.25">
      <c r="A1537" s="5">
        <v>45200</v>
      </c>
      <c r="B1537" s="6" t="s">
        <v>23</v>
      </c>
      <c r="C1537" s="6" t="s">
        <v>118</v>
      </c>
      <c r="D1537" s="6" t="s">
        <v>57</v>
      </c>
      <c r="E1537" s="6" t="s">
        <v>6</v>
      </c>
      <c r="F1537" s="6" t="s">
        <v>119</v>
      </c>
      <c r="G1537" s="37" t="s">
        <v>57</v>
      </c>
      <c r="H1537" s="37" t="s">
        <v>120</v>
      </c>
      <c r="I1537" s="6" t="s">
        <v>120</v>
      </c>
      <c r="J1537" s="6" t="s">
        <v>34</v>
      </c>
      <c r="K1537" s="7">
        <v>1.93</v>
      </c>
      <c r="L1537" s="8"/>
      <c r="M1537" s="6"/>
      <c r="N1537" s="44">
        <v>0.29499999999999998</v>
      </c>
      <c r="O1537" s="7">
        <v>0.29316700000000001</v>
      </c>
      <c r="P1537" s="7">
        <v>1.238E-3</v>
      </c>
      <c r="Q1537" s="7">
        <v>6.4599999999999998E-4</v>
      </c>
      <c r="R1537" s="44">
        <v>0.29499999999999998</v>
      </c>
      <c r="S1537" s="7">
        <v>0.29316700000000001</v>
      </c>
      <c r="T1537" s="7">
        <v>1.238E-3</v>
      </c>
      <c r="U1537" s="7">
        <v>6.4599999999999998E-4</v>
      </c>
      <c r="V1537" s="8">
        <f t="shared" si="24"/>
        <v>2023</v>
      </c>
    </row>
    <row r="1538" spans="1:22" ht="71.400000000000006" hidden="1" x14ac:dyDescent="0.25">
      <c r="A1538" s="5">
        <v>45231</v>
      </c>
      <c r="B1538" s="6" t="s">
        <v>23</v>
      </c>
      <c r="C1538" s="6" t="s">
        <v>118</v>
      </c>
      <c r="D1538" s="6" t="s">
        <v>57</v>
      </c>
      <c r="E1538" s="6" t="s">
        <v>6</v>
      </c>
      <c r="F1538" s="6" t="s">
        <v>119</v>
      </c>
      <c r="G1538" s="37" t="s">
        <v>57</v>
      </c>
      <c r="H1538" s="37" t="s">
        <v>120</v>
      </c>
      <c r="I1538" s="6" t="s">
        <v>120</v>
      </c>
      <c r="J1538" s="6" t="s">
        <v>34</v>
      </c>
      <c r="K1538" s="7">
        <v>1.93</v>
      </c>
      <c r="L1538" s="8"/>
      <c r="M1538" s="6"/>
      <c r="N1538" s="44">
        <v>0.29499999999999998</v>
      </c>
      <c r="O1538" s="7">
        <v>0.29316700000000001</v>
      </c>
      <c r="P1538" s="7">
        <v>1.238E-3</v>
      </c>
      <c r="Q1538" s="7">
        <v>6.4599999999999998E-4</v>
      </c>
      <c r="R1538" s="44">
        <v>0.29499999999999998</v>
      </c>
      <c r="S1538" s="7">
        <v>0.29316700000000001</v>
      </c>
      <c r="T1538" s="7">
        <v>1.238E-3</v>
      </c>
      <c r="U1538" s="7">
        <v>6.4599999999999998E-4</v>
      </c>
      <c r="V1538" s="8">
        <f t="shared" si="24"/>
        <v>2023</v>
      </c>
    </row>
    <row r="1539" spans="1:22" ht="71.400000000000006" hidden="1" x14ac:dyDescent="0.25">
      <c r="A1539" s="5">
        <v>45261</v>
      </c>
      <c r="B1539" s="6" t="s">
        <v>23</v>
      </c>
      <c r="C1539" s="6" t="s">
        <v>118</v>
      </c>
      <c r="D1539" s="6" t="s">
        <v>57</v>
      </c>
      <c r="E1539" s="6" t="s">
        <v>6</v>
      </c>
      <c r="F1539" s="6" t="s">
        <v>119</v>
      </c>
      <c r="G1539" s="37" t="s">
        <v>57</v>
      </c>
      <c r="H1539" s="37" t="s">
        <v>120</v>
      </c>
      <c r="I1539" s="6" t="s">
        <v>120</v>
      </c>
      <c r="J1539" s="6" t="s">
        <v>34</v>
      </c>
      <c r="K1539" s="7">
        <v>1.93</v>
      </c>
      <c r="L1539" s="8"/>
      <c r="M1539" s="6"/>
      <c r="N1539" s="44">
        <v>0.29499999999999998</v>
      </c>
      <c r="O1539" s="7">
        <v>0.29316700000000001</v>
      </c>
      <c r="P1539" s="7">
        <v>1.238E-3</v>
      </c>
      <c r="Q1539" s="7">
        <v>6.4599999999999998E-4</v>
      </c>
      <c r="R1539" s="44">
        <v>0.29499999999999998</v>
      </c>
      <c r="S1539" s="7">
        <v>0.29316700000000001</v>
      </c>
      <c r="T1539" s="7">
        <v>1.238E-3</v>
      </c>
      <c r="U1539" s="7">
        <v>6.4599999999999998E-4</v>
      </c>
      <c r="V1539" s="8">
        <f t="shared" si="24"/>
        <v>2023</v>
      </c>
    </row>
  </sheetData>
  <autoFilter ref="A11:V1539" xr:uid="{00000000-0009-0000-0000-000003000000}">
    <filterColumn colId="1">
      <filters>
        <filter val="Liquefied Petroleum Gas (LPG)"/>
      </filters>
    </filterColumn>
  </autoFilter>
  <phoneticPr fontId="0" type="noConversion"/>
  <pageMargins left="0.1" right="0.1" top="0.1" bottom="0.60000000000000009" header="0.1" footer="0.1"/>
  <pageSetup orientation="portrait" horizontalDpi="0" verticalDpi="0"/>
  <headerFooter alignWithMargins="0">
    <oddFooter xml:space="preserve">&amp;C&amp;"Arial"&amp;10 Page 1 _x000D_&amp;1#&amp;"Calibri"&amp;6&amp;K626469 Public&amp;R&amp;"Arial"&amp;10 7/9/2024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0"/>
  <sheetViews>
    <sheetView workbookViewId="0">
      <selection activeCell="B25" sqref="B25"/>
    </sheetView>
  </sheetViews>
  <sheetFormatPr defaultRowHeight="13.2" x14ac:dyDescent="0.25"/>
  <cols>
    <col min="1" max="1" width="27.44140625" customWidth="1"/>
    <col min="2" max="2" width="34.33203125" customWidth="1"/>
    <col min="3" max="3" width="19.88671875" customWidth="1"/>
    <col min="4" max="4" width="20" customWidth="1"/>
    <col min="5" max="5" width="14.5546875" customWidth="1"/>
  </cols>
  <sheetData>
    <row r="1" spans="1:6" ht="44.7" customHeight="1" x14ac:dyDescent="0.25"/>
    <row r="2" spans="1:6" ht="5.7" customHeight="1" x14ac:dyDescent="0.25"/>
    <row r="3" spans="1:6" x14ac:dyDescent="0.25">
      <c r="A3" s="1" t="s">
        <v>79</v>
      </c>
      <c r="B3" s="2" t="s">
        <v>80</v>
      </c>
    </row>
    <row r="4" spans="1:6" x14ac:dyDescent="0.25">
      <c r="A4" s="1" t="s">
        <v>81</v>
      </c>
      <c r="B4" s="2" t="s">
        <v>175</v>
      </c>
    </row>
    <row r="5" spans="1:6" x14ac:dyDescent="0.25">
      <c r="A5" s="1" t="s">
        <v>176</v>
      </c>
      <c r="B5" s="2" t="s">
        <v>40</v>
      </c>
    </row>
    <row r="6" spans="1:6" x14ac:dyDescent="0.25">
      <c r="A6" s="1" t="s">
        <v>83</v>
      </c>
      <c r="B6" s="2" t="s">
        <v>84</v>
      </c>
    </row>
    <row r="7" spans="1:6" x14ac:dyDescent="0.25">
      <c r="A7" s="1" t="s">
        <v>85</v>
      </c>
      <c r="B7" s="2" t="s">
        <v>86</v>
      </c>
    </row>
    <row r="8" spans="1:6" x14ac:dyDescent="0.25">
      <c r="A8" s="1" t="s">
        <v>177</v>
      </c>
      <c r="B8" s="2" t="s">
        <v>178</v>
      </c>
    </row>
    <row r="9" spans="1:6" x14ac:dyDescent="0.25">
      <c r="A9" s="1" t="s">
        <v>87</v>
      </c>
      <c r="B9" s="2" t="s">
        <v>88</v>
      </c>
    </row>
    <row r="10" spans="1:6" x14ac:dyDescent="0.25">
      <c r="A10" s="1" t="s">
        <v>179</v>
      </c>
      <c r="B10" s="2" t="s">
        <v>180</v>
      </c>
    </row>
    <row r="11" spans="1:6" x14ac:dyDescent="0.25">
      <c r="A11" s="3"/>
      <c r="B11" s="3"/>
      <c r="C11" s="3"/>
      <c r="D11" s="3"/>
      <c r="E11" s="3"/>
      <c r="F11" s="3"/>
    </row>
    <row r="12" spans="1:6" ht="22.8" x14ac:dyDescent="0.25">
      <c r="A12" s="4" t="s">
        <v>181</v>
      </c>
      <c r="B12" s="4" t="s">
        <v>54</v>
      </c>
      <c r="C12" s="4" t="s">
        <v>98</v>
      </c>
      <c r="D12" s="4" t="s">
        <v>182</v>
      </c>
      <c r="E12" s="4" t="s">
        <v>183</v>
      </c>
      <c r="F12" s="4" t="s">
        <v>41</v>
      </c>
    </row>
    <row r="13" spans="1:6" x14ac:dyDescent="0.25">
      <c r="A13" s="5">
        <v>44927</v>
      </c>
      <c r="B13" s="6" t="s">
        <v>55</v>
      </c>
      <c r="C13" s="9">
        <v>80091.850000000006</v>
      </c>
      <c r="D13" s="7">
        <v>222084293.06247401</v>
      </c>
      <c r="E13" s="31">
        <v>3.606371E-4</v>
      </c>
      <c r="F13">
        <f>YEAR(A13)</f>
        <v>2023</v>
      </c>
    </row>
    <row r="14" spans="1:6" x14ac:dyDescent="0.25">
      <c r="A14" s="5">
        <v>44927</v>
      </c>
      <c r="B14" s="6" t="s">
        <v>56</v>
      </c>
      <c r="C14" s="8"/>
      <c r="D14" s="8"/>
      <c r="E14" s="8"/>
      <c r="F14">
        <f t="shared" ref="F14:F77" si="0">YEAR(A14)</f>
        <v>2023</v>
      </c>
    </row>
    <row r="15" spans="1:6" x14ac:dyDescent="0.25">
      <c r="A15" s="5">
        <v>44927</v>
      </c>
      <c r="B15" s="6" t="s">
        <v>57</v>
      </c>
      <c r="C15" s="8"/>
      <c r="D15" s="8"/>
      <c r="E15" s="8"/>
      <c r="F15">
        <f t="shared" si="0"/>
        <v>2023</v>
      </c>
    </row>
    <row r="16" spans="1:6" x14ac:dyDescent="0.25">
      <c r="A16" s="5">
        <v>44927</v>
      </c>
      <c r="B16" s="6" t="s">
        <v>58</v>
      </c>
      <c r="C16" s="8"/>
      <c r="D16" s="8"/>
      <c r="E16" s="8"/>
      <c r="F16">
        <f t="shared" si="0"/>
        <v>2023</v>
      </c>
    </row>
    <row r="17" spans="1:6" x14ac:dyDescent="0.25">
      <c r="A17" s="5">
        <v>44927</v>
      </c>
      <c r="B17" s="6" t="s">
        <v>59</v>
      </c>
      <c r="C17" s="8"/>
      <c r="D17" s="7">
        <v>171500</v>
      </c>
      <c r="E17" s="8"/>
      <c r="F17">
        <f t="shared" si="0"/>
        <v>2023</v>
      </c>
    </row>
    <row r="18" spans="1:6" x14ac:dyDescent="0.25">
      <c r="A18" s="5">
        <v>44927</v>
      </c>
      <c r="B18" s="6" t="s">
        <v>60</v>
      </c>
      <c r="C18" s="8"/>
      <c r="D18" s="8"/>
      <c r="E18" s="8"/>
      <c r="F18">
        <f t="shared" si="0"/>
        <v>2023</v>
      </c>
    </row>
    <row r="19" spans="1:6" x14ac:dyDescent="0.25">
      <c r="A19" s="5">
        <v>44927</v>
      </c>
      <c r="B19" s="6" t="s">
        <v>61</v>
      </c>
      <c r="C19" s="8"/>
      <c r="D19" s="8"/>
      <c r="E19" s="8"/>
      <c r="F19">
        <f t="shared" si="0"/>
        <v>2023</v>
      </c>
    </row>
    <row r="20" spans="1:6" x14ac:dyDescent="0.25">
      <c r="A20" s="5">
        <v>44927</v>
      </c>
      <c r="B20" s="6" t="s">
        <v>62</v>
      </c>
      <c r="C20" s="8"/>
      <c r="D20" s="8"/>
      <c r="E20" s="8"/>
      <c r="F20">
        <f t="shared" si="0"/>
        <v>2023</v>
      </c>
    </row>
    <row r="21" spans="1:6" x14ac:dyDescent="0.25">
      <c r="A21" s="5">
        <v>44927</v>
      </c>
      <c r="B21" s="6" t="s">
        <v>63</v>
      </c>
      <c r="C21" s="9">
        <v>538.89499999999998</v>
      </c>
      <c r="D21" s="7">
        <v>95050</v>
      </c>
      <c r="E21" s="31">
        <v>5.6695948999999999E-3</v>
      </c>
      <c r="F21">
        <f t="shared" si="0"/>
        <v>2023</v>
      </c>
    </row>
    <row r="22" spans="1:6" x14ac:dyDescent="0.25">
      <c r="A22" s="5">
        <v>44927</v>
      </c>
      <c r="B22" s="6" t="s">
        <v>64</v>
      </c>
      <c r="C22" s="8"/>
      <c r="D22" s="8"/>
      <c r="E22" s="8"/>
      <c r="F22">
        <f t="shared" si="0"/>
        <v>2023</v>
      </c>
    </row>
    <row r="23" spans="1:6" x14ac:dyDescent="0.25">
      <c r="A23" s="5">
        <v>44927</v>
      </c>
      <c r="B23" s="6" t="s">
        <v>65</v>
      </c>
      <c r="C23" s="8"/>
      <c r="D23" s="8"/>
      <c r="E23" s="8"/>
      <c r="F23">
        <f t="shared" si="0"/>
        <v>2023</v>
      </c>
    </row>
    <row r="24" spans="1:6" x14ac:dyDescent="0.25">
      <c r="A24" s="5">
        <v>44927</v>
      </c>
      <c r="B24" s="6" t="s">
        <v>66</v>
      </c>
      <c r="C24" s="8"/>
      <c r="D24" s="8"/>
      <c r="E24" s="8"/>
      <c r="F24">
        <f t="shared" si="0"/>
        <v>2023</v>
      </c>
    </row>
    <row r="25" spans="1:6" x14ac:dyDescent="0.25">
      <c r="A25" s="5">
        <v>44927</v>
      </c>
      <c r="B25" s="6" t="s">
        <v>67</v>
      </c>
      <c r="C25" s="8"/>
      <c r="D25" s="7">
        <v>0</v>
      </c>
      <c r="E25" s="8"/>
      <c r="F25">
        <f t="shared" si="0"/>
        <v>2023</v>
      </c>
    </row>
    <row r="26" spans="1:6" x14ac:dyDescent="0.25">
      <c r="A26" s="5">
        <v>44927</v>
      </c>
      <c r="B26" s="6" t="s">
        <v>68</v>
      </c>
      <c r="C26" s="8"/>
      <c r="D26" s="8"/>
      <c r="E26" s="8"/>
      <c r="F26">
        <f t="shared" si="0"/>
        <v>2023</v>
      </c>
    </row>
    <row r="27" spans="1:6" x14ac:dyDescent="0.25">
      <c r="A27" s="5">
        <v>44927</v>
      </c>
      <c r="B27" s="6" t="s">
        <v>69</v>
      </c>
      <c r="C27" s="8"/>
      <c r="D27" s="7">
        <v>4000</v>
      </c>
      <c r="E27" s="8"/>
      <c r="F27">
        <f t="shared" si="0"/>
        <v>2023</v>
      </c>
    </row>
    <row r="28" spans="1:6" x14ac:dyDescent="0.25">
      <c r="A28" s="5">
        <v>44927</v>
      </c>
      <c r="B28" s="6" t="s">
        <v>70</v>
      </c>
      <c r="C28" s="8"/>
      <c r="D28" s="8"/>
      <c r="E28" s="8"/>
      <c r="F28">
        <f t="shared" si="0"/>
        <v>2023</v>
      </c>
    </row>
    <row r="29" spans="1:6" x14ac:dyDescent="0.25">
      <c r="A29" s="5">
        <v>44927</v>
      </c>
      <c r="B29" s="6" t="s">
        <v>71</v>
      </c>
      <c r="C29" s="8"/>
      <c r="D29" s="8"/>
      <c r="E29" s="8"/>
      <c r="F29">
        <f t="shared" si="0"/>
        <v>2023</v>
      </c>
    </row>
    <row r="30" spans="1:6" x14ac:dyDescent="0.25">
      <c r="A30" s="5">
        <v>44927</v>
      </c>
      <c r="B30" s="6" t="s">
        <v>72</v>
      </c>
      <c r="C30" s="8"/>
      <c r="D30" s="8"/>
      <c r="E30" s="8"/>
      <c r="F30">
        <f t="shared" si="0"/>
        <v>2023</v>
      </c>
    </row>
    <row r="31" spans="1:6" x14ac:dyDescent="0.25">
      <c r="A31" s="5">
        <v>44927</v>
      </c>
      <c r="B31" s="6" t="s">
        <v>73</v>
      </c>
      <c r="C31" s="8"/>
      <c r="D31" s="8"/>
      <c r="E31" s="8"/>
      <c r="F31">
        <f t="shared" si="0"/>
        <v>2023</v>
      </c>
    </row>
    <row r="32" spans="1:6" x14ac:dyDescent="0.25">
      <c r="A32" s="5">
        <v>44927</v>
      </c>
      <c r="B32" s="6" t="s">
        <v>74</v>
      </c>
      <c r="C32" s="8"/>
      <c r="D32" s="7">
        <v>264.17205200000001</v>
      </c>
      <c r="E32" s="8"/>
      <c r="F32">
        <f t="shared" si="0"/>
        <v>2023</v>
      </c>
    </row>
    <row r="33" spans="1:6" x14ac:dyDescent="0.25">
      <c r="A33" s="5">
        <v>44927</v>
      </c>
      <c r="B33" s="6" t="s">
        <v>75</v>
      </c>
      <c r="C33" s="9">
        <v>10.667510999999999</v>
      </c>
      <c r="D33" s="7">
        <v>3170.0646280000001</v>
      </c>
      <c r="E33" s="31">
        <v>3.3650768000000001E-3</v>
      </c>
      <c r="F33">
        <f t="shared" si="0"/>
        <v>2023</v>
      </c>
    </row>
    <row r="34" spans="1:6" x14ac:dyDescent="0.25">
      <c r="A34" s="5">
        <v>44927</v>
      </c>
      <c r="B34" s="6" t="s">
        <v>76</v>
      </c>
      <c r="C34" s="8"/>
      <c r="D34" s="8"/>
      <c r="E34" s="8"/>
      <c r="F34">
        <f t="shared" si="0"/>
        <v>2023</v>
      </c>
    </row>
    <row r="35" spans="1:6" x14ac:dyDescent="0.25">
      <c r="A35" s="5">
        <v>44927</v>
      </c>
      <c r="B35" s="6" t="s">
        <v>77</v>
      </c>
      <c r="C35" s="8"/>
      <c r="D35" s="7">
        <v>1496.103891</v>
      </c>
      <c r="E35" s="8"/>
      <c r="F35">
        <f t="shared" si="0"/>
        <v>2023</v>
      </c>
    </row>
    <row r="36" spans="1:6" x14ac:dyDescent="0.25">
      <c r="A36" s="5">
        <v>44927</v>
      </c>
      <c r="B36" s="6" t="s">
        <v>78</v>
      </c>
      <c r="C36" s="8"/>
      <c r="D36" s="8"/>
      <c r="E36" s="8"/>
      <c r="F36">
        <f t="shared" si="0"/>
        <v>2023</v>
      </c>
    </row>
    <row r="37" spans="1:6" x14ac:dyDescent="0.25">
      <c r="A37" s="5">
        <v>44958</v>
      </c>
      <c r="B37" s="6" t="s">
        <v>55</v>
      </c>
      <c r="C37" s="9">
        <v>81587.75</v>
      </c>
      <c r="D37" s="7">
        <v>186079861.37129799</v>
      </c>
      <c r="E37" s="31">
        <v>4.3845549999999998E-4</v>
      </c>
      <c r="F37">
        <f t="shared" si="0"/>
        <v>2023</v>
      </c>
    </row>
    <row r="38" spans="1:6" x14ac:dyDescent="0.25">
      <c r="A38" s="5">
        <v>44958</v>
      </c>
      <c r="B38" s="6" t="s">
        <v>56</v>
      </c>
      <c r="C38" s="8"/>
      <c r="D38" s="8"/>
      <c r="E38" s="8"/>
      <c r="F38">
        <f t="shared" si="0"/>
        <v>2023</v>
      </c>
    </row>
    <row r="39" spans="1:6" x14ac:dyDescent="0.25">
      <c r="A39" s="5">
        <v>44958</v>
      </c>
      <c r="B39" s="6" t="s">
        <v>57</v>
      </c>
      <c r="C39" s="8"/>
      <c r="D39" s="8"/>
      <c r="E39" s="8"/>
      <c r="F39">
        <f t="shared" si="0"/>
        <v>2023</v>
      </c>
    </row>
    <row r="40" spans="1:6" x14ac:dyDescent="0.25">
      <c r="A40" s="5">
        <v>44958</v>
      </c>
      <c r="B40" s="6" t="s">
        <v>58</v>
      </c>
      <c r="C40" s="8"/>
      <c r="D40" s="8"/>
      <c r="E40" s="8"/>
      <c r="F40">
        <f t="shared" si="0"/>
        <v>2023</v>
      </c>
    </row>
    <row r="41" spans="1:6" x14ac:dyDescent="0.25">
      <c r="A41" s="5">
        <v>44958</v>
      </c>
      <c r="B41" s="6" t="s">
        <v>59</v>
      </c>
      <c r="C41" s="8"/>
      <c r="D41" s="7">
        <v>171000</v>
      </c>
      <c r="E41" s="8"/>
      <c r="F41">
        <f t="shared" si="0"/>
        <v>2023</v>
      </c>
    </row>
    <row r="42" spans="1:6" x14ac:dyDescent="0.25">
      <c r="A42" s="5">
        <v>44958</v>
      </c>
      <c r="B42" s="6" t="s">
        <v>60</v>
      </c>
      <c r="C42" s="8"/>
      <c r="D42" s="8"/>
      <c r="E42" s="8"/>
      <c r="F42">
        <f t="shared" si="0"/>
        <v>2023</v>
      </c>
    </row>
    <row r="43" spans="1:6" x14ac:dyDescent="0.25">
      <c r="A43" s="5">
        <v>44958</v>
      </c>
      <c r="B43" s="6" t="s">
        <v>61</v>
      </c>
      <c r="C43" s="8"/>
      <c r="D43" s="8"/>
      <c r="E43" s="8"/>
      <c r="F43">
        <f t="shared" si="0"/>
        <v>2023</v>
      </c>
    </row>
    <row r="44" spans="1:6" x14ac:dyDescent="0.25">
      <c r="A44" s="5">
        <v>44958</v>
      </c>
      <c r="B44" s="6" t="s">
        <v>62</v>
      </c>
      <c r="C44" s="8"/>
      <c r="D44" s="8"/>
      <c r="E44" s="8"/>
      <c r="F44">
        <f t="shared" si="0"/>
        <v>2023</v>
      </c>
    </row>
    <row r="45" spans="1:6" x14ac:dyDescent="0.25">
      <c r="A45" s="5">
        <v>44958</v>
      </c>
      <c r="B45" s="6" t="s">
        <v>63</v>
      </c>
      <c r="C45" s="9">
        <v>538.89499999999998</v>
      </c>
      <c r="D45" s="7">
        <v>95050</v>
      </c>
      <c r="E45" s="31">
        <v>5.6695948999999999E-3</v>
      </c>
      <c r="F45">
        <f t="shared" si="0"/>
        <v>2023</v>
      </c>
    </row>
    <row r="46" spans="1:6" x14ac:dyDescent="0.25">
      <c r="A46" s="5">
        <v>44958</v>
      </c>
      <c r="B46" s="6" t="s">
        <v>64</v>
      </c>
      <c r="C46" s="8"/>
      <c r="D46" s="8"/>
      <c r="E46" s="8"/>
      <c r="F46">
        <f t="shared" si="0"/>
        <v>2023</v>
      </c>
    </row>
    <row r="47" spans="1:6" x14ac:dyDescent="0.25">
      <c r="A47" s="5">
        <v>44958</v>
      </c>
      <c r="B47" s="6" t="s">
        <v>65</v>
      </c>
      <c r="C47" s="8"/>
      <c r="D47" s="8"/>
      <c r="E47" s="8"/>
      <c r="F47">
        <f t="shared" si="0"/>
        <v>2023</v>
      </c>
    </row>
    <row r="48" spans="1:6" x14ac:dyDescent="0.25">
      <c r="A48" s="5">
        <v>44958</v>
      </c>
      <c r="B48" s="6" t="s">
        <v>66</v>
      </c>
      <c r="C48" s="9">
        <v>3280.68</v>
      </c>
      <c r="D48" s="7">
        <v>624500</v>
      </c>
      <c r="E48" s="31">
        <v>5.2532906000000001E-3</v>
      </c>
      <c r="F48">
        <f t="shared" si="0"/>
        <v>2023</v>
      </c>
    </row>
    <row r="49" spans="1:6" x14ac:dyDescent="0.25">
      <c r="A49" s="5">
        <v>44958</v>
      </c>
      <c r="B49" s="6" t="s">
        <v>67</v>
      </c>
      <c r="C49" s="8"/>
      <c r="D49" s="7">
        <v>0</v>
      </c>
      <c r="E49" s="8"/>
      <c r="F49">
        <f t="shared" si="0"/>
        <v>2023</v>
      </c>
    </row>
    <row r="50" spans="1:6" x14ac:dyDescent="0.25">
      <c r="A50" s="5">
        <v>44958</v>
      </c>
      <c r="B50" s="6" t="s">
        <v>68</v>
      </c>
      <c r="C50" s="8"/>
      <c r="D50" s="8"/>
      <c r="E50" s="8"/>
      <c r="F50">
        <f t="shared" si="0"/>
        <v>2023</v>
      </c>
    </row>
    <row r="51" spans="1:6" x14ac:dyDescent="0.25">
      <c r="A51" s="5">
        <v>44958</v>
      </c>
      <c r="B51" s="6" t="s">
        <v>69</v>
      </c>
      <c r="C51" s="8"/>
      <c r="D51" s="8"/>
      <c r="E51" s="8"/>
      <c r="F51">
        <f t="shared" si="0"/>
        <v>2023</v>
      </c>
    </row>
    <row r="52" spans="1:6" x14ac:dyDescent="0.25">
      <c r="A52" s="5">
        <v>44958</v>
      </c>
      <c r="B52" s="6" t="s">
        <v>70</v>
      </c>
      <c r="C52" s="8"/>
      <c r="D52" s="8"/>
      <c r="E52" s="8"/>
      <c r="F52">
        <f t="shared" si="0"/>
        <v>2023</v>
      </c>
    </row>
    <row r="53" spans="1:6" x14ac:dyDescent="0.25">
      <c r="A53" s="5">
        <v>44958</v>
      </c>
      <c r="B53" s="6" t="s">
        <v>71</v>
      </c>
      <c r="C53" s="8"/>
      <c r="D53" s="8"/>
      <c r="E53" s="8"/>
      <c r="F53">
        <f t="shared" si="0"/>
        <v>2023</v>
      </c>
    </row>
    <row r="54" spans="1:6" x14ac:dyDescent="0.25">
      <c r="A54" s="5">
        <v>44958</v>
      </c>
      <c r="B54" s="6" t="s">
        <v>72</v>
      </c>
      <c r="C54" s="8"/>
      <c r="D54" s="8"/>
      <c r="E54" s="8"/>
      <c r="F54">
        <f t="shared" si="0"/>
        <v>2023</v>
      </c>
    </row>
    <row r="55" spans="1:6" x14ac:dyDescent="0.25">
      <c r="A55" s="5">
        <v>44958</v>
      </c>
      <c r="B55" s="6" t="s">
        <v>73</v>
      </c>
      <c r="C55" s="8"/>
      <c r="D55" s="8"/>
      <c r="E55" s="8"/>
      <c r="F55">
        <f t="shared" si="0"/>
        <v>2023</v>
      </c>
    </row>
    <row r="56" spans="1:6" x14ac:dyDescent="0.25">
      <c r="A56" s="5">
        <v>44958</v>
      </c>
      <c r="B56" s="6" t="s">
        <v>74</v>
      </c>
      <c r="C56" s="8"/>
      <c r="D56" s="7">
        <v>792.51615700000002</v>
      </c>
      <c r="E56" s="8"/>
      <c r="F56">
        <f t="shared" si="0"/>
        <v>2023</v>
      </c>
    </row>
    <row r="57" spans="1:6" x14ac:dyDescent="0.25">
      <c r="A57" s="5">
        <v>44958</v>
      </c>
      <c r="B57" s="6" t="s">
        <v>75</v>
      </c>
      <c r="C57" s="9">
        <v>6.943066</v>
      </c>
      <c r="D57" s="7">
        <v>2113.3764190000002</v>
      </c>
      <c r="E57" s="31">
        <v>3.2852953999999998E-3</v>
      </c>
      <c r="F57">
        <f t="shared" si="0"/>
        <v>2023</v>
      </c>
    </row>
    <row r="58" spans="1:6" x14ac:dyDescent="0.25">
      <c r="A58" s="5">
        <v>44958</v>
      </c>
      <c r="B58" s="6" t="s">
        <v>76</v>
      </c>
      <c r="C58" s="8"/>
      <c r="D58" s="8"/>
      <c r="E58" s="8"/>
      <c r="F58">
        <f t="shared" si="0"/>
        <v>2023</v>
      </c>
    </row>
    <row r="59" spans="1:6" x14ac:dyDescent="0.25">
      <c r="A59" s="5">
        <v>44958</v>
      </c>
      <c r="B59" s="6" t="s">
        <v>77</v>
      </c>
      <c r="C59" s="8"/>
      <c r="D59" s="7">
        <v>2244.1558369999998</v>
      </c>
      <c r="E59" s="8"/>
      <c r="F59">
        <f t="shared" si="0"/>
        <v>2023</v>
      </c>
    </row>
    <row r="60" spans="1:6" x14ac:dyDescent="0.25">
      <c r="A60" s="5">
        <v>44958</v>
      </c>
      <c r="B60" s="6" t="s">
        <v>78</v>
      </c>
      <c r="C60" s="8"/>
      <c r="D60" s="8"/>
      <c r="E60" s="8"/>
      <c r="F60">
        <f t="shared" si="0"/>
        <v>2023</v>
      </c>
    </row>
    <row r="61" spans="1:6" x14ac:dyDescent="0.25">
      <c r="A61" s="5">
        <v>44986</v>
      </c>
      <c r="B61" s="6" t="s">
        <v>55</v>
      </c>
      <c r="C61" s="9">
        <v>92651.13</v>
      </c>
      <c r="D61" s="7">
        <v>135232817.24955899</v>
      </c>
      <c r="E61" s="31">
        <v>6.8512309999999997E-4</v>
      </c>
      <c r="F61">
        <f t="shared" si="0"/>
        <v>2023</v>
      </c>
    </row>
    <row r="62" spans="1:6" x14ac:dyDescent="0.25">
      <c r="A62" s="5">
        <v>44986</v>
      </c>
      <c r="B62" s="6" t="s">
        <v>56</v>
      </c>
      <c r="C62" s="8"/>
      <c r="D62" s="8"/>
      <c r="E62" s="8"/>
      <c r="F62">
        <f t="shared" si="0"/>
        <v>2023</v>
      </c>
    </row>
    <row r="63" spans="1:6" x14ac:dyDescent="0.25">
      <c r="A63" s="5">
        <v>44986</v>
      </c>
      <c r="B63" s="6" t="s">
        <v>57</v>
      </c>
      <c r="C63" s="8"/>
      <c r="D63" s="8"/>
      <c r="E63" s="8"/>
      <c r="F63">
        <f t="shared" si="0"/>
        <v>2023</v>
      </c>
    </row>
    <row r="64" spans="1:6" x14ac:dyDescent="0.25">
      <c r="A64" s="5">
        <v>44986</v>
      </c>
      <c r="B64" s="6" t="s">
        <v>58</v>
      </c>
      <c r="C64" s="8"/>
      <c r="D64" s="8"/>
      <c r="E64" s="8"/>
      <c r="F64">
        <f t="shared" si="0"/>
        <v>2023</v>
      </c>
    </row>
    <row r="65" spans="1:6" x14ac:dyDescent="0.25">
      <c r="A65" s="5">
        <v>44986</v>
      </c>
      <c r="B65" s="6" t="s">
        <v>59</v>
      </c>
      <c r="C65" s="8"/>
      <c r="D65" s="7">
        <v>129500</v>
      </c>
      <c r="E65" s="8"/>
      <c r="F65">
        <f t="shared" si="0"/>
        <v>2023</v>
      </c>
    </row>
    <row r="66" spans="1:6" x14ac:dyDescent="0.25">
      <c r="A66" s="5">
        <v>44986</v>
      </c>
      <c r="B66" s="6" t="s">
        <v>60</v>
      </c>
      <c r="C66" s="8"/>
      <c r="D66" s="8"/>
      <c r="E66" s="8"/>
      <c r="F66">
        <f t="shared" si="0"/>
        <v>2023</v>
      </c>
    </row>
    <row r="67" spans="1:6" x14ac:dyDescent="0.25">
      <c r="A67" s="5">
        <v>44986</v>
      </c>
      <c r="B67" s="6" t="s">
        <v>61</v>
      </c>
      <c r="C67" s="8"/>
      <c r="D67" s="8"/>
      <c r="E67" s="8"/>
      <c r="F67">
        <f t="shared" si="0"/>
        <v>2023</v>
      </c>
    </row>
    <row r="68" spans="1:6" x14ac:dyDescent="0.25">
      <c r="A68" s="5">
        <v>44986</v>
      </c>
      <c r="B68" s="6" t="s">
        <v>62</v>
      </c>
      <c r="C68" s="8"/>
      <c r="D68" s="8"/>
      <c r="E68" s="8"/>
      <c r="F68">
        <f t="shared" si="0"/>
        <v>2023</v>
      </c>
    </row>
    <row r="69" spans="1:6" x14ac:dyDescent="0.25">
      <c r="A69" s="5">
        <v>44986</v>
      </c>
      <c r="B69" s="6" t="s">
        <v>63</v>
      </c>
      <c r="C69" s="9">
        <v>466.60500000000002</v>
      </c>
      <c r="D69" s="7">
        <v>82300</v>
      </c>
      <c r="E69" s="31">
        <v>5.6695625000000001E-3</v>
      </c>
      <c r="F69">
        <f t="shared" si="0"/>
        <v>2023</v>
      </c>
    </row>
    <row r="70" spans="1:6" x14ac:dyDescent="0.25">
      <c r="A70" s="5">
        <v>44986</v>
      </c>
      <c r="B70" s="6" t="s">
        <v>64</v>
      </c>
      <c r="C70" s="8"/>
      <c r="D70" s="8"/>
      <c r="E70" s="8"/>
      <c r="F70">
        <f t="shared" si="0"/>
        <v>2023</v>
      </c>
    </row>
    <row r="71" spans="1:6" x14ac:dyDescent="0.25">
      <c r="A71" s="5">
        <v>44986</v>
      </c>
      <c r="B71" s="6" t="s">
        <v>65</v>
      </c>
      <c r="C71" s="8"/>
      <c r="D71" s="8"/>
      <c r="E71" s="8"/>
      <c r="F71">
        <f t="shared" si="0"/>
        <v>2023</v>
      </c>
    </row>
    <row r="72" spans="1:6" x14ac:dyDescent="0.25">
      <c r="A72" s="5">
        <v>44986</v>
      </c>
      <c r="B72" s="6" t="s">
        <v>66</v>
      </c>
      <c r="C72" s="9">
        <v>3280.68</v>
      </c>
      <c r="D72" s="7">
        <v>624500</v>
      </c>
      <c r="E72" s="31">
        <v>5.2532906000000001E-3</v>
      </c>
      <c r="F72">
        <f t="shared" si="0"/>
        <v>2023</v>
      </c>
    </row>
    <row r="73" spans="1:6" x14ac:dyDescent="0.25">
      <c r="A73" s="5">
        <v>44986</v>
      </c>
      <c r="B73" s="6" t="s">
        <v>67</v>
      </c>
      <c r="C73" s="8"/>
      <c r="D73" s="7">
        <v>47022.625319999999</v>
      </c>
      <c r="E73" s="8"/>
      <c r="F73">
        <f t="shared" si="0"/>
        <v>2023</v>
      </c>
    </row>
    <row r="74" spans="1:6" x14ac:dyDescent="0.25">
      <c r="A74" s="5">
        <v>44986</v>
      </c>
      <c r="B74" s="6" t="s">
        <v>68</v>
      </c>
      <c r="C74" s="8"/>
      <c r="D74" s="8"/>
      <c r="E74" s="8"/>
      <c r="F74">
        <f t="shared" si="0"/>
        <v>2023</v>
      </c>
    </row>
    <row r="75" spans="1:6" x14ac:dyDescent="0.25">
      <c r="A75" s="5">
        <v>44986</v>
      </c>
      <c r="B75" s="6" t="s">
        <v>69</v>
      </c>
      <c r="C75" s="8"/>
      <c r="D75" s="8"/>
      <c r="E75" s="8"/>
      <c r="F75">
        <f t="shared" si="0"/>
        <v>2023</v>
      </c>
    </row>
    <row r="76" spans="1:6" x14ac:dyDescent="0.25">
      <c r="A76" s="5">
        <v>44986</v>
      </c>
      <c r="B76" s="6" t="s">
        <v>70</v>
      </c>
      <c r="C76" s="8"/>
      <c r="D76" s="8"/>
      <c r="E76" s="8"/>
      <c r="F76">
        <f t="shared" si="0"/>
        <v>2023</v>
      </c>
    </row>
    <row r="77" spans="1:6" x14ac:dyDescent="0.25">
      <c r="A77" s="5">
        <v>44986</v>
      </c>
      <c r="B77" s="6" t="s">
        <v>71</v>
      </c>
      <c r="C77" s="8"/>
      <c r="D77" s="8"/>
      <c r="E77" s="8"/>
      <c r="F77">
        <f t="shared" si="0"/>
        <v>2023</v>
      </c>
    </row>
    <row r="78" spans="1:6" x14ac:dyDescent="0.25">
      <c r="A78" s="5">
        <v>44986</v>
      </c>
      <c r="B78" s="6" t="s">
        <v>72</v>
      </c>
      <c r="C78" s="8"/>
      <c r="D78" s="8"/>
      <c r="E78" s="8"/>
      <c r="F78">
        <f t="shared" ref="F78:F141" si="1">YEAR(A78)</f>
        <v>2023</v>
      </c>
    </row>
    <row r="79" spans="1:6" x14ac:dyDescent="0.25">
      <c r="A79" s="5">
        <v>44986</v>
      </c>
      <c r="B79" s="6" t="s">
        <v>73</v>
      </c>
      <c r="C79" s="8"/>
      <c r="D79" s="8"/>
      <c r="E79" s="8"/>
      <c r="F79">
        <f t="shared" si="1"/>
        <v>2023</v>
      </c>
    </row>
    <row r="80" spans="1:6" x14ac:dyDescent="0.25">
      <c r="A80" s="5">
        <v>44986</v>
      </c>
      <c r="B80" s="6" t="s">
        <v>74</v>
      </c>
      <c r="C80" s="8"/>
      <c r="D80" s="7">
        <v>792.51615700000002</v>
      </c>
      <c r="E80" s="8"/>
      <c r="F80">
        <f t="shared" si="1"/>
        <v>2023</v>
      </c>
    </row>
    <row r="81" spans="1:6" x14ac:dyDescent="0.25">
      <c r="A81" s="5">
        <v>44986</v>
      </c>
      <c r="B81" s="6" t="s">
        <v>75</v>
      </c>
      <c r="C81" s="9">
        <v>13.018248</v>
      </c>
      <c r="D81" s="7">
        <v>3962.5807850000001</v>
      </c>
      <c r="E81" s="31">
        <v>3.2852952000000002E-3</v>
      </c>
      <c r="F81">
        <f t="shared" si="1"/>
        <v>2023</v>
      </c>
    </row>
    <row r="82" spans="1:6" x14ac:dyDescent="0.25">
      <c r="A82" s="5">
        <v>44986</v>
      </c>
      <c r="B82" s="6" t="s">
        <v>76</v>
      </c>
      <c r="C82" s="8"/>
      <c r="D82" s="8"/>
      <c r="E82" s="8"/>
      <c r="F82">
        <f t="shared" si="1"/>
        <v>2023</v>
      </c>
    </row>
    <row r="83" spans="1:6" x14ac:dyDescent="0.25">
      <c r="A83" s="5">
        <v>44986</v>
      </c>
      <c r="B83" s="6" t="s">
        <v>77</v>
      </c>
      <c r="C83" s="8"/>
      <c r="D83" s="7">
        <v>2244.1558369999998</v>
      </c>
      <c r="E83" s="8"/>
      <c r="F83">
        <f t="shared" si="1"/>
        <v>2023</v>
      </c>
    </row>
    <row r="84" spans="1:6" x14ac:dyDescent="0.25">
      <c r="A84" s="5">
        <v>44986</v>
      </c>
      <c r="B84" s="6" t="s">
        <v>78</v>
      </c>
      <c r="C84" s="8"/>
      <c r="D84" s="8"/>
      <c r="E84" s="8"/>
      <c r="F84">
        <f t="shared" si="1"/>
        <v>2023</v>
      </c>
    </row>
    <row r="85" spans="1:6" x14ac:dyDescent="0.25">
      <c r="A85" s="5">
        <v>45017</v>
      </c>
      <c r="B85" s="6" t="s">
        <v>55</v>
      </c>
      <c r="C85" s="9">
        <v>73349.59</v>
      </c>
      <c r="D85" s="7">
        <v>79283078.598879993</v>
      </c>
      <c r="E85" s="31">
        <v>9.2516069999999998E-4</v>
      </c>
      <c r="F85">
        <f t="shared" si="1"/>
        <v>2023</v>
      </c>
    </row>
    <row r="86" spans="1:6" x14ac:dyDescent="0.25">
      <c r="A86" s="5">
        <v>45017</v>
      </c>
      <c r="B86" s="6" t="s">
        <v>56</v>
      </c>
      <c r="C86" s="8"/>
      <c r="D86" s="8"/>
      <c r="E86" s="8"/>
      <c r="F86">
        <f t="shared" si="1"/>
        <v>2023</v>
      </c>
    </row>
    <row r="87" spans="1:6" x14ac:dyDescent="0.25">
      <c r="A87" s="5">
        <v>45017</v>
      </c>
      <c r="B87" s="6" t="s">
        <v>57</v>
      </c>
      <c r="C87" s="8"/>
      <c r="D87" s="8"/>
      <c r="E87" s="8"/>
      <c r="F87">
        <f t="shared" si="1"/>
        <v>2023</v>
      </c>
    </row>
    <row r="88" spans="1:6" x14ac:dyDescent="0.25">
      <c r="A88" s="5">
        <v>45017</v>
      </c>
      <c r="B88" s="6" t="s">
        <v>58</v>
      </c>
      <c r="C88" s="8"/>
      <c r="D88" s="8"/>
      <c r="E88" s="8"/>
      <c r="F88">
        <f t="shared" si="1"/>
        <v>2023</v>
      </c>
    </row>
    <row r="89" spans="1:6" x14ac:dyDescent="0.25">
      <c r="A89" s="5">
        <v>45017</v>
      </c>
      <c r="B89" s="6" t="s">
        <v>59</v>
      </c>
      <c r="C89" s="8"/>
      <c r="D89" s="7">
        <v>171000</v>
      </c>
      <c r="E89" s="8"/>
      <c r="F89">
        <f t="shared" si="1"/>
        <v>2023</v>
      </c>
    </row>
    <row r="90" spans="1:6" x14ac:dyDescent="0.25">
      <c r="A90" s="5">
        <v>45017</v>
      </c>
      <c r="B90" s="6" t="s">
        <v>60</v>
      </c>
      <c r="C90" s="8"/>
      <c r="D90" s="8"/>
      <c r="E90" s="8"/>
      <c r="F90">
        <f t="shared" si="1"/>
        <v>2023</v>
      </c>
    </row>
    <row r="91" spans="1:6" x14ac:dyDescent="0.25">
      <c r="A91" s="5">
        <v>45017</v>
      </c>
      <c r="B91" s="6" t="s">
        <v>61</v>
      </c>
      <c r="C91" s="8"/>
      <c r="D91" s="8"/>
      <c r="E91" s="8"/>
      <c r="F91">
        <f t="shared" si="1"/>
        <v>2023</v>
      </c>
    </row>
    <row r="92" spans="1:6" x14ac:dyDescent="0.25">
      <c r="A92" s="5">
        <v>45017</v>
      </c>
      <c r="B92" s="6" t="s">
        <v>62</v>
      </c>
      <c r="C92" s="8"/>
      <c r="D92" s="8"/>
      <c r="E92" s="8"/>
      <c r="F92">
        <f t="shared" si="1"/>
        <v>2023</v>
      </c>
    </row>
    <row r="93" spans="1:6" x14ac:dyDescent="0.25">
      <c r="A93" s="5">
        <v>45017</v>
      </c>
      <c r="B93" s="6" t="s">
        <v>63</v>
      </c>
      <c r="C93" s="9">
        <v>466.60500000000002</v>
      </c>
      <c r="D93" s="7">
        <v>82300</v>
      </c>
      <c r="E93" s="31">
        <v>5.6695625000000001E-3</v>
      </c>
      <c r="F93">
        <f t="shared" si="1"/>
        <v>2023</v>
      </c>
    </row>
    <row r="94" spans="1:6" x14ac:dyDescent="0.25">
      <c r="A94" s="5">
        <v>45017</v>
      </c>
      <c r="B94" s="6" t="s">
        <v>64</v>
      </c>
      <c r="C94" s="8"/>
      <c r="D94" s="8"/>
      <c r="E94" s="8"/>
      <c r="F94">
        <f t="shared" si="1"/>
        <v>2023</v>
      </c>
    </row>
    <row r="95" spans="1:6" x14ac:dyDescent="0.25">
      <c r="A95" s="5">
        <v>45017</v>
      </c>
      <c r="B95" s="6" t="s">
        <v>65</v>
      </c>
      <c r="C95" s="8"/>
      <c r="D95" s="8"/>
      <c r="E95" s="8"/>
      <c r="F95">
        <f t="shared" si="1"/>
        <v>2023</v>
      </c>
    </row>
    <row r="96" spans="1:6" x14ac:dyDescent="0.25">
      <c r="A96" s="5">
        <v>45017</v>
      </c>
      <c r="B96" s="6" t="s">
        <v>66</v>
      </c>
      <c r="C96" s="9">
        <v>16487.91</v>
      </c>
      <c r="D96" s="7">
        <v>3129500</v>
      </c>
      <c r="E96" s="31">
        <v>5.2685444000000001E-3</v>
      </c>
      <c r="F96">
        <f t="shared" si="1"/>
        <v>2023</v>
      </c>
    </row>
    <row r="97" spans="1:6" x14ac:dyDescent="0.25">
      <c r="A97" s="5">
        <v>45017</v>
      </c>
      <c r="B97" s="6" t="s">
        <v>67</v>
      </c>
      <c r="C97" s="8"/>
      <c r="D97" s="7">
        <v>0</v>
      </c>
      <c r="E97" s="8"/>
      <c r="F97">
        <f t="shared" si="1"/>
        <v>2023</v>
      </c>
    </row>
    <row r="98" spans="1:6" x14ac:dyDescent="0.25">
      <c r="A98" s="5">
        <v>45017</v>
      </c>
      <c r="B98" s="6" t="s">
        <v>68</v>
      </c>
      <c r="C98" s="8"/>
      <c r="D98" s="8"/>
      <c r="E98" s="8"/>
      <c r="F98">
        <f t="shared" si="1"/>
        <v>2023</v>
      </c>
    </row>
    <row r="99" spans="1:6" x14ac:dyDescent="0.25">
      <c r="A99" s="5">
        <v>45017</v>
      </c>
      <c r="B99" s="6" t="s">
        <v>69</v>
      </c>
      <c r="C99" s="8"/>
      <c r="D99" s="8"/>
      <c r="E99" s="8"/>
      <c r="F99">
        <f t="shared" si="1"/>
        <v>2023</v>
      </c>
    </row>
    <row r="100" spans="1:6" x14ac:dyDescent="0.25">
      <c r="A100" s="5">
        <v>45017</v>
      </c>
      <c r="B100" s="6" t="s">
        <v>70</v>
      </c>
      <c r="C100" s="8"/>
      <c r="D100" s="8"/>
      <c r="E100" s="8"/>
      <c r="F100">
        <f t="shared" si="1"/>
        <v>2023</v>
      </c>
    </row>
    <row r="101" spans="1:6" x14ac:dyDescent="0.25">
      <c r="A101" s="5">
        <v>45017</v>
      </c>
      <c r="B101" s="6" t="s">
        <v>71</v>
      </c>
      <c r="C101" s="8"/>
      <c r="D101" s="8"/>
      <c r="E101" s="8"/>
      <c r="F101">
        <f t="shared" si="1"/>
        <v>2023</v>
      </c>
    </row>
    <row r="102" spans="1:6" x14ac:dyDescent="0.25">
      <c r="A102" s="5">
        <v>45017</v>
      </c>
      <c r="B102" s="6" t="s">
        <v>72</v>
      </c>
      <c r="C102" s="8"/>
      <c r="D102" s="8"/>
      <c r="E102" s="8"/>
      <c r="F102">
        <f t="shared" si="1"/>
        <v>2023</v>
      </c>
    </row>
    <row r="103" spans="1:6" x14ac:dyDescent="0.25">
      <c r="A103" s="5">
        <v>45017</v>
      </c>
      <c r="B103" s="6" t="s">
        <v>73</v>
      </c>
      <c r="C103" s="8"/>
      <c r="D103" s="8"/>
      <c r="E103" s="8"/>
      <c r="F103">
        <f t="shared" si="1"/>
        <v>2023</v>
      </c>
    </row>
    <row r="104" spans="1:6" x14ac:dyDescent="0.25">
      <c r="A104" s="5">
        <v>45017</v>
      </c>
      <c r="B104" s="6" t="s">
        <v>74</v>
      </c>
      <c r="C104" s="8"/>
      <c r="D104" s="7">
        <v>1056.6882089999999</v>
      </c>
      <c r="E104" s="8"/>
      <c r="F104">
        <f t="shared" si="1"/>
        <v>2023</v>
      </c>
    </row>
    <row r="105" spans="1:6" x14ac:dyDescent="0.25">
      <c r="A105" s="5">
        <v>45017</v>
      </c>
      <c r="B105" s="6" t="s">
        <v>75</v>
      </c>
      <c r="C105" s="9">
        <v>11.284382000000001</v>
      </c>
      <c r="D105" s="7">
        <v>3434.2366809999999</v>
      </c>
      <c r="E105" s="31">
        <v>3.2858485999999998E-3</v>
      </c>
      <c r="F105">
        <f t="shared" si="1"/>
        <v>2023</v>
      </c>
    </row>
    <row r="106" spans="1:6" x14ac:dyDescent="0.25">
      <c r="A106" s="5">
        <v>45017</v>
      </c>
      <c r="B106" s="6" t="s">
        <v>76</v>
      </c>
      <c r="C106" s="8"/>
      <c r="D106" s="8"/>
      <c r="E106" s="8"/>
      <c r="F106">
        <f t="shared" si="1"/>
        <v>2023</v>
      </c>
    </row>
    <row r="107" spans="1:6" x14ac:dyDescent="0.25">
      <c r="A107" s="5">
        <v>45017</v>
      </c>
      <c r="B107" s="6" t="s">
        <v>77</v>
      </c>
      <c r="C107" s="8"/>
      <c r="D107" s="7">
        <v>2244.1558369999998</v>
      </c>
      <c r="E107" s="8"/>
      <c r="F107">
        <f t="shared" si="1"/>
        <v>2023</v>
      </c>
    </row>
    <row r="108" spans="1:6" x14ac:dyDescent="0.25">
      <c r="A108" s="5">
        <v>45017</v>
      </c>
      <c r="B108" s="6" t="s">
        <v>78</v>
      </c>
      <c r="C108" s="8"/>
      <c r="D108" s="8"/>
      <c r="E108" s="8"/>
      <c r="F108">
        <f t="shared" si="1"/>
        <v>2023</v>
      </c>
    </row>
    <row r="109" spans="1:6" x14ac:dyDescent="0.25">
      <c r="A109" s="5">
        <v>45047</v>
      </c>
      <c r="B109" s="6" t="s">
        <v>55</v>
      </c>
      <c r="C109" s="9">
        <v>77313.64</v>
      </c>
      <c r="D109" s="7">
        <v>0</v>
      </c>
      <c r="E109" s="8"/>
      <c r="F109">
        <f t="shared" si="1"/>
        <v>2023</v>
      </c>
    </row>
    <row r="110" spans="1:6" x14ac:dyDescent="0.25">
      <c r="A110" s="5">
        <v>45047</v>
      </c>
      <c r="B110" s="6" t="s">
        <v>56</v>
      </c>
      <c r="C110" s="8"/>
      <c r="D110" s="8"/>
      <c r="E110" s="8"/>
      <c r="F110">
        <f t="shared" si="1"/>
        <v>2023</v>
      </c>
    </row>
    <row r="111" spans="1:6" x14ac:dyDescent="0.25">
      <c r="A111" s="5">
        <v>45047</v>
      </c>
      <c r="B111" s="6" t="s">
        <v>57</v>
      </c>
      <c r="C111" s="8"/>
      <c r="D111" s="8"/>
      <c r="E111" s="8"/>
      <c r="F111">
        <f t="shared" si="1"/>
        <v>2023</v>
      </c>
    </row>
    <row r="112" spans="1:6" x14ac:dyDescent="0.25">
      <c r="A112" s="5">
        <v>45047</v>
      </c>
      <c r="B112" s="6" t="s">
        <v>58</v>
      </c>
      <c r="C112" s="8"/>
      <c r="D112" s="8"/>
      <c r="E112" s="8"/>
      <c r="F112">
        <f t="shared" si="1"/>
        <v>2023</v>
      </c>
    </row>
    <row r="113" spans="1:6" x14ac:dyDescent="0.25">
      <c r="A113" s="5">
        <v>45047</v>
      </c>
      <c r="B113" s="6" t="s">
        <v>59</v>
      </c>
      <c r="C113" s="8"/>
      <c r="D113" s="7">
        <v>115000</v>
      </c>
      <c r="E113" s="8"/>
      <c r="F113">
        <f t="shared" si="1"/>
        <v>2023</v>
      </c>
    </row>
    <row r="114" spans="1:6" x14ac:dyDescent="0.25">
      <c r="A114" s="5">
        <v>45047</v>
      </c>
      <c r="B114" s="6" t="s">
        <v>60</v>
      </c>
      <c r="C114" s="8"/>
      <c r="D114" s="8"/>
      <c r="E114" s="8"/>
      <c r="F114">
        <f t="shared" si="1"/>
        <v>2023</v>
      </c>
    </row>
    <row r="115" spans="1:6" x14ac:dyDescent="0.25">
      <c r="A115" s="5">
        <v>45047</v>
      </c>
      <c r="B115" s="6" t="s">
        <v>61</v>
      </c>
      <c r="C115" s="8"/>
      <c r="D115" s="8"/>
      <c r="E115" s="8"/>
      <c r="F115">
        <f t="shared" si="1"/>
        <v>2023</v>
      </c>
    </row>
    <row r="116" spans="1:6" x14ac:dyDescent="0.25">
      <c r="A116" s="5">
        <v>45047</v>
      </c>
      <c r="B116" s="6" t="s">
        <v>62</v>
      </c>
      <c r="C116" s="8"/>
      <c r="D116" s="8"/>
      <c r="E116" s="8"/>
      <c r="F116">
        <f t="shared" si="1"/>
        <v>2023</v>
      </c>
    </row>
    <row r="117" spans="1:6" x14ac:dyDescent="0.25">
      <c r="A117" s="5">
        <v>45047</v>
      </c>
      <c r="B117" s="6" t="s">
        <v>63</v>
      </c>
      <c r="C117" s="9">
        <v>487.01499999999999</v>
      </c>
      <c r="D117" s="7">
        <v>85900</v>
      </c>
      <c r="E117" s="31">
        <v>5.6695575999999998E-3</v>
      </c>
      <c r="F117">
        <f t="shared" si="1"/>
        <v>2023</v>
      </c>
    </row>
    <row r="118" spans="1:6" x14ac:dyDescent="0.25">
      <c r="A118" s="5">
        <v>45047</v>
      </c>
      <c r="B118" s="6" t="s">
        <v>64</v>
      </c>
      <c r="C118" s="8"/>
      <c r="D118" s="8"/>
      <c r="E118" s="8"/>
      <c r="F118">
        <f t="shared" si="1"/>
        <v>2023</v>
      </c>
    </row>
    <row r="119" spans="1:6" x14ac:dyDescent="0.25">
      <c r="A119" s="5">
        <v>45047</v>
      </c>
      <c r="B119" s="6" t="s">
        <v>65</v>
      </c>
      <c r="C119" s="8"/>
      <c r="D119" s="8"/>
      <c r="E119" s="8"/>
      <c r="F119">
        <f t="shared" si="1"/>
        <v>2023</v>
      </c>
    </row>
    <row r="120" spans="1:6" x14ac:dyDescent="0.25">
      <c r="A120" s="5">
        <v>45047</v>
      </c>
      <c r="B120" s="6" t="s">
        <v>66</v>
      </c>
      <c r="C120" s="9">
        <v>16487.91</v>
      </c>
      <c r="D120" s="7">
        <v>3129500</v>
      </c>
      <c r="E120" s="31">
        <v>5.2685444000000001E-3</v>
      </c>
      <c r="F120">
        <f t="shared" si="1"/>
        <v>2023</v>
      </c>
    </row>
    <row r="121" spans="1:6" x14ac:dyDescent="0.25">
      <c r="A121" s="5">
        <v>45047</v>
      </c>
      <c r="B121" s="6" t="s">
        <v>67</v>
      </c>
      <c r="C121" s="8"/>
      <c r="D121" s="7">
        <v>0</v>
      </c>
      <c r="E121" s="8"/>
      <c r="F121">
        <f t="shared" si="1"/>
        <v>2023</v>
      </c>
    </row>
    <row r="122" spans="1:6" x14ac:dyDescent="0.25">
      <c r="A122" s="5">
        <v>45047</v>
      </c>
      <c r="B122" s="6" t="s">
        <v>68</v>
      </c>
      <c r="C122" s="8"/>
      <c r="D122" s="8"/>
      <c r="E122" s="8"/>
      <c r="F122">
        <f t="shared" si="1"/>
        <v>2023</v>
      </c>
    </row>
    <row r="123" spans="1:6" x14ac:dyDescent="0.25">
      <c r="A123" s="5">
        <v>45047</v>
      </c>
      <c r="B123" s="6" t="s">
        <v>69</v>
      </c>
      <c r="C123" s="8"/>
      <c r="D123" s="8"/>
      <c r="E123" s="8"/>
      <c r="F123">
        <f t="shared" si="1"/>
        <v>2023</v>
      </c>
    </row>
    <row r="124" spans="1:6" x14ac:dyDescent="0.25">
      <c r="A124" s="5">
        <v>45047</v>
      </c>
      <c r="B124" s="6" t="s">
        <v>70</v>
      </c>
      <c r="C124" s="8"/>
      <c r="D124" s="8"/>
      <c r="E124" s="8"/>
      <c r="F124">
        <f t="shared" si="1"/>
        <v>2023</v>
      </c>
    </row>
    <row r="125" spans="1:6" x14ac:dyDescent="0.25">
      <c r="A125" s="5">
        <v>45047</v>
      </c>
      <c r="B125" s="6" t="s">
        <v>71</v>
      </c>
      <c r="C125" s="8"/>
      <c r="D125" s="8"/>
      <c r="E125" s="8"/>
      <c r="F125">
        <f t="shared" si="1"/>
        <v>2023</v>
      </c>
    </row>
    <row r="126" spans="1:6" x14ac:dyDescent="0.25">
      <c r="A126" s="5">
        <v>45047</v>
      </c>
      <c r="B126" s="6" t="s">
        <v>72</v>
      </c>
      <c r="C126" s="8"/>
      <c r="D126" s="8"/>
      <c r="E126" s="8"/>
      <c r="F126">
        <f t="shared" si="1"/>
        <v>2023</v>
      </c>
    </row>
    <row r="127" spans="1:6" x14ac:dyDescent="0.25">
      <c r="A127" s="5">
        <v>45047</v>
      </c>
      <c r="B127" s="6" t="s">
        <v>73</v>
      </c>
      <c r="C127" s="8"/>
      <c r="D127" s="8"/>
      <c r="E127" s="8"/>
      <c r="F127">
        <f t="shared" si="1"/>
        <v>2023</v>
      </c>
    </row>
    <row r="128" spans="1:6" x14ac:dyDescent="0.25">
      <c r="A128" s="5">
        <v>45047</v>
      </c>
      <c r="B128" s="6" t="s">
        <v>74</v>
      </c>
      <c r="C128" s="8"/>
      <c r="D128" s="7">
        <v>792.51615700000002</v>
      </c>
      <c r="E128" s="8"/>
      <c r="F128">
        <f t="shared" si="1"/>
        <v>2023</v>
      </c>
    </row>
    <row r="129" spans="1:6" x14ac:dyDescent="0.25">
      <c r="A129" s="5">
        <v>45047</v>
      </c>
      <c r="B129" s="6" t="s">
        <v>75</v>
      </c>
      <c r="C129" s="9">
        <v>16.059522000000001</v>
      </c>
      <c r="D129" s="7">
        <v>5019.2689950000004</v>
      </c>
      <c r="E129" s="31">
        <v>3.1995738000000001E-3</v>
      </c>
      <c r="F129">
        <f t="shared" si="1"/>
        <v>2023</v>
      </c>
    </row>
    <row r="130" spans="1:6" x14ac:dyDescent="0.25">
      <c r="A130" s="5">
        <v>45047</v>
      </c>
      <c r="B130" s="6" t="s">
        <v>76</v>
      </c>
      <c r="C130" s="8"/>
      <c r="D130" s="8"/>
      <c r="E130" s="8"/>
      <c r="F130">
        <f t="shared" si="1"/>
        <v>2023</v>
      </c>
    </row>
    <row r="131" spans="1:6" x14ac:dyDescent="0.25">
      <c r="A131" s="5">
        <v>45047</v>
      </c>
      <c r="B131" s="6" t="s">
        <v>77</v>
      </c>
      <c r="C131" s="8"/>
      <c r="D131" s="7">
        <v>12716.883075</v>
      </c>
      <c r="E131" s="8"/>
      <c r="F131">
        <f t="shared" si="1"/>
        <v>2023</v>
      </c>
    </row>
    <row r="132" spans="1:6" x14ac:dyDescent="0.25">
      <c r="A132" s="5">
        <v>45047</v>
      </c>
      <c r="B132" s="6" t="s">
        <v>78</v>
      </c>
      <c r="C132" s="8"/>
      <c r="D132" s="8"/>
      <c r="E132" s="8"/>
      <c r="F132">
        <f t="shared" si="1"/>
        <v>2023</v>
      </c>
    </row>
    <row r="133" spans="1:6" x14ac:dyDescent="0.25">
      <c r="A133" s="5">
        <v>45078</v>
      </c>
      <c r="B133" s="6" t="s">
        <v>55</v>
      </c>
      <c r="C133" s="9">
        <v>80195.509999999995</v>
      </c>
      <c r="D133" s="7">
        <v>0</v>
      </c>
      <c r="E133" s="8"/>
      <c r="F133">
        <f t="shared" si="1"/>
        <v>2023</v>
      </c>
    </row>
    <row r="134" spans="1:6" x14ac:dyDescent="0.25">
      <c r="A134" s="5">
        <v>45078</v>
      </c>
      <c r="B134" s="6" t="s">
        <v>56</v>
      </c>
      <c r="C134" s="8"/>
      <c r="D134" s="8"/>
      <c r="E134" s="8"/>
      <c r="F134">
        <f t="shared" si="1"/>
        <v>2023</v>
      </c>
    </row>
    <row r="135" spans="1:6" x14ac:dyDescent="0.25">
      <c r="A135" s="5">
        <v>45078</v>
      </c>
      <c r="B135" s="6" t="s">
        <v>57</v>
      </c>
      <c r="C135" s="8"/>
      <c r="D135" s="8"/>
      <c r="E135" s="8"/>
      <c r="F135">
        <f t="shared" si="1"/>
        <v>2023</v>
      </c>
    </row>
    <row r="136" spans="1:6" x14ac:dyDescent="0.25">
      <c r="A136" s="5">
        <v>45078</v>
      </c>
      <c r="B136" s="6" t="s">
        <v>58</v>
      </c>
      <c r="C136" s="8"/>
      <c r="D136" s="8"/>
      <c r="E136" s="8"/>
      <c r="F136">
        <f t="shared" si="1"/>
        <v>2023</v>
      </c>
    </row>
    <row r="137" spans="1:6" x14ac:dyDescent="0.25">
      <c r="A137" s="5">
        <v>45078</v>
      </c>
      <c r="B137" s="6" t="s">
        <v>59</v>
      </c>
      <c r="C137" s="8"/>
      <c r="D137" s="7">
        <v>161500</v>
      </c>
      <c r="E137" s="8"/>
      <c r="F137">
        <f t="shared" si="1"/>
        <v>2023</v>
      </c>
    </row>
    <row r="138" spans="1:6" x14ac:dyDescent="0.25">
      <c r="A138" s="5">
        <v>45078</v>
      </c>
      <c r="B138" s="6" t="s">
        <v>60</v>
      </c>
      <c r="C138" s="8"/>
      <c r="D138" s="8"/>
      <c r="E138" s="8"/>
      <c r="F138">
        <f t="shared" si="1"/>
        <v>2023</v>
      </c>
    </row>
    <row r="139" spans="1:6" x14ac:dyDescent="0.25">
      <c r="A139" s="5">
        <v>45078</v>
      </c>
      <c r="B139" s="6" t="s">
        <v>61</v>
      </c>
      <c r="C139" s="8"/>
      <c r="D139" s="8"/>
      <c r="E139" s="8"/>
      <c r="F139">
        <f t="shared" si="1"/>
        <v>2023</v>
      </c>
    </row>
    <row r="140" spans="1:6" x14ac:dyDescent="0.25">
      <c r="A140" s="5">
        <v>45078</v>
      </c>
      <c r="B140" s="6" t="s">
        <v>62</v>
      </c>
      <c r="C140" s="8"/>
      <c r="D140" s="8"/>
      <c r="E140" s="8"/>
      <c r="F140">
        <f t="shared" si="1"/>
        <v>2023</v>
      </c>
    </row>
    <row r="141" spans="1:6" x14ac:dyDescent="0.25">
      <c r="A141" s="5">
        <v>45078</v>
      </c>
      <c r="B141" s="6" t="s">
        <v>63</v>
      </c>
      <c r="C141" s="9">
        <v>487.01499999999999</v>
      </c>
      <c r="D141" s="7">
        <v>85900</v>
      </c>
      <c r="E141" s="31">
        <v>5.6695575999999998E-3</v>
      </c>
      <c r="F141">
        <f t="shared" si="1"/>
        <v>2023</v>
      </c>
    </row>
    <row r="142" spans="1:6" x14ac:dyDescent="0.25">
      <c r="A142" s="5">
        <v>45078</v>
      </c>
      <c r="B142" s="6" t="s">
        <v>64</v>
      </c>
      <c r="C142" s="8"/>
      <c r="D142" s="8"/>
      <c r="E142" s="8"/>
      <c r="F142">
        <f t="shared" ref="F142:F205" si="2">YEAR(A142)</f>
        <v>2023</v>
      </c>
    </row>
    <row r="143" spans="1:6" x14ac:dyDescent="0.25">
      <c r="A143" s="5">
        <v>45078</v>
      </c>
      <c r="B143" s="6" t="s">
        <v>65</v>
      </c>
      <c r="C143" s="8"/>
      <c r="D143" s="8"/>
      <c r="E143" s="8"/>
      <c r="F143">
        <f t="shared" si="2"/>
        <v>2023</v>
      </c>
    </row>
    <row r="144" spans="1:6" x14ac:dyDescent="0.25">
      <c r="A144" s="5">
        <v>45078</v>
      </c>
      <c r="B144" s="6" t="s">
        <v>66</v>
      </c>
      <c r="C144" s="9">
        <v>20130.505000000001</v>
      </c>
      <c r="D144" s="7">
        <v>3751500</v>
      </c>
      <c r="E144" s="31">
        <v>5.3659882000000004E-3</v>
      </c>
      <c r="F144">
        <f t="shared" si="2"/>
        <v>2023</v>
      </c>
    </row>
    <row r="145" spans="1:6" x14ac:dyDescent="0.25">
      <c r="A145" s="5">
        <v>45078</v>
      </c>
      <c r="B145" s="6" t="s">
        <v>67</v>
      </c>
      <c r="C145" s="8"/>
      <c r="D145" s="7">
        <v>58117.851519000003</v>
      </c>
      <c r="E145" s="8"/>
      <c r="F145">
        <f t="shared" si="2"/>
        <v>2023</v>
      </c>
    </row>
    <row r="146" spans="1:6" x14ac:dyDescent="0.25">
      <c r="A146" s="5">
        <v>45078</v>
      </c>
      <c r="B146" s="6" t="s">
        <v>68</v>
      </c>
      <c r="C146" s="8"/>
      <c r="D146" s="8"/>
      <c r="E146" s="8"/>
      <c r="F146">
        <f t="shared" si="2"/>
        <v>2023</v>
      </c>
    </row>
    <row r="147" spans="1:6" x14ac:dyDescent="0.25">
      <c r="A147" s="5">
        <v>45078</v>
      </c>
      <c r="B147" s="6" t="s">
        <v>69</v>
      </c>
      <c r="C147" s="8"/>
      <c r="D147" s="8"/>
      <c r="E147" s="8"/>
      <c r="F147">
        <f t="shared" si="2"/>
        <v>2023</v>
      </c>
    </row>
    <row r="148" spans="1:6" x14ac:dyDescent="0.25">
      <c r="A148" s="5">
        <v>45078</v>
      </c>
      <c r="B148" s="6" t="s">
        <v>70</v>
      </c>
      <c r="C148" s="8"/>
      <c r="D148" s="8"/>
      <c r="E148" s="8"/>
      <c r="F148">
        <f t="shared" si="2"/>
        <v>2023</v>
      </c>
    </row>
    <row r="149" spans="1:6" x14ac:dyDescent="0.25">
      <c r="A149" s="5">
        <v>45078</v>
      </c>
      <c r="B149" s="6" t="s">
        <v>71</v>
      </c>
      <c r="C149" s="8"/>
      <c r="D149" s="8"/>
      <c r="E149" s="8"/>
      <c r="F149">
        <f t="shared" si="2"/>
        <v>2023</v>
      </c>
    </row>
    <row r="150" spans="1:6" x14ac:dyDescent="0.25">
      <c r="A150" s="5">
        <v>45078</v>
      </c>
      <c r="B150" s="6" t="s">
        <v>72</v>
      </c>
      <c r="C150" s="8"/>
      <c r="D150" s="8"/>
      <c r="E150" s="8"/>
      <c r="F150">
        <f t="shared" si="2"/>
        <v>2023</v>
      </c>
    </row>
    <row r="151" spans="1:6" x14ac:dyDescent="0.25">
      <c r="A151" s="5">
        <v>45078</v>
      </c>
      <c r="B151" s="6" t="s">
        <v>73</v>
      </c>
      <c r="C151" s="8"/>
      <c r="D151" s="8"/>
      <c r="E151" s="8"/>
      <c r="F151">
        <f t="shared" si="2"/>
        <v>2023</v>
      </c>
    </row>
    <row r="152" spans="1:6" x14ac:dyDescent="0.25">
      <c r="A152" s="5">
        <v>45078</v>
      </c>
      <c r="B152" s="6" t="s">
        <v>74</v>
      </c>
      <c r="C152" s="8"/>
      <c r="D152" s="7">
        <v>792.51615700000002</v>
      </c>
      <c r="E152" s="8"/>
      <c r="F152">
        <f t="shared" si="2"/>
        <v>2023</v>
      </c>
    </row>
    <row r="153" spans="1:6" x14ac:dyDescent="0.25">
      <c r="A153" s="5">
        <v>45078</v>
      </c>
      <c r="B153" s="6" t="s">
        <v>75</v>
      </c>
      <c r="C153" s="9">
        <v>10.753614000000001</v>
      </c>
      <c r="D153" s="7">
        <v>3434.2366809999999</v>
      </c>
      <c r="E153" s="31">
        <v>3.1312966999999998E-3</v>
      </c>
      <c r="F153">
        <f t="shared" si="2"/>
        <v>2023</v>
      </c>
    </row>
    <row r="154" spans="1:6" x14ac:dyDescent="0.25">
      <c r="A154" s="5">
        <v>45078</v>
      </c>
      <c r="B154" s="6" t="s">
        <v>76</v>
      </c>
      <c r="C154" s="8"/>
      <c r="D154" s="8"/>
      <c r="E154" s="8"/>
      <c r="F154">
        <f t="shared" si="2"/>
        <v>2023</v>
      </c>
    </row>
    <row r="155" spans="1:6" x14ac:dyDescent="0.25">
      <c r="A155" s="5">
        <v>45078</v>
      </c>
      <c r="B155" s="6" t="s">
        <v>77</v>
      </c>
      <c r="C155" s="8"/>
      <c r="D155" s="7">
        <v>22441.558367000001</v>
      </c>
      <c r="E155" s="8"/>
      <c r="F155">
        <f t="shared" si="2"/>
        <v>2023</v>
      </c>
    </row>
    <row r="156" spans="1:6" x14ac:dyDescent="0.25">
      <c r="A156" s="5">
        <v>45078</v>
      </c>
      <c r="B156" s="6" t="s">
        <v>78</v>
      </c>
      <c r="C156" s="8"/>
      <c r="D156" s="8"/>
      <c r="E156" s="8"/>
      <c r="F156">
        <f t="shared" si="2"/>
        <v>2023</v>
      </c>
    </row>
    <row r="157" spans="1:6" x14ac:dyDescent="0.25">
      <c r="A157" s="5">
        <v>45108</v>
      </c>
      <c r="B157" s="6" t="s">
        <v>55</v>
      </c>
      <c r="C157" s="9">
        <v>77405.279999999999</v>
      </c>
      <c r="D157" s="7">
        <v>142696073.98675498</v>
      </c>
      <c r="E157" s="31">
        <v>5.4244850000000002E-4</v>
      </c>
      <c r="F157">
        <f t="shared" si="2"/>
        <v>2023</v>
      </c>
    </row>
    <row r="158" spans="1:6" x14ac:dyDescent="0.25">
      <c r="A158" s="5">
        <v>45108</v>
      </c>
      <c r="B158" s="6" t="s">
        <v>56</v>
      </c>
      <c r="C158" s="8"/>
      <c r="D158" s="8"/>
      <c r="E158" s="8"/>
      <c r="F158">
        <f t="shared" si="2"/>
        <v>2023</v>
      </c>
    </row>
    <row r="159" spans="1:6" x14ac:dyDescent="0.25">
      <c r="A159" s="5">
        <v>45108</v>
      </c>
      <c r="B159" s="6" t="s">
        <v>57</v>
      </c>
      <c r="C159" s="8"/>
      <c r="D159" s="8"/>
      <c r="E159" s="8"/>
      <c r="F159">
        <f t="shared" si="2"/>
        <v>2023</v>
      </c>
    </row>
    <row r="160" spans="1:6" x14ac:dyDescent="0.25">
      <c r="A160" s="5">
        <v>45108</v>
      </c>
      <c r="B160" s="6" t="s">
        <v>58</v>
      </c>
      <c r="C160" s="8"/>
      <c r="D160" s="8"/>
      <c r="E160" s="8"/>
      <c r="F160">
        <f t="shared" si="2"/>
        <v>2023</v>
      </c>
    </row>
    <row r="161" spans="1:6" x14ac:dyDescent="0.25">
      <c r="A161" s="5">
        <v>45108</v>
      </c>
      <c r="B161" s="6" t="s">
        <v>59</v>
      </c>
      <c r="C161" s="8"/>
      <c r="D161" s="7">
        <v>148500</v>
      </c>
      <c r="E161" s="8"/>
      <c r="F161">
        <f t="shared" si="2"/>
        <v>2023</v>
      </c>
    </row>
    <row r="162" spans="1:6" x14ac:dyDescent="0.25">
      <c r="A162" s="5">
        <v>45108</v>
      </c>
      <c r="B162" s="6" t="s">
        <v>60</v>
      </c>
      <c r="C162" s="8"/>
      <c r="D162" s="8"/>
      <c r="E162" s="8"/>
      <c r="F162">
        <f t="shared" si="2"/>
        <v>2023</v>
      </c>
    </row>
    <row r="163" spans="1:6" x14ac:dyDescent="0.25">
      <c r="A163" s="5">
        <v>45108</v>
      </c>
      <c r="B163" s="6" t="s">
        <v>61</v>
      </c>
      <c r="C163" s="8"/>
      <c r="D163" s="8"/>
      <c r="E163" s="8"/>
      <c r="F163">
        <f t="shared" si="2"/>
        <v>2023</v>
      </c>
    </row>
    <row r="164" spans="1:6" x14ac:dyDescent="0.25">
      <c r="A164" s="5">
        <v>45108</v>
      </c>
      <c r="B164" s="6" t="s">
        <v>62</v>
      </c>
      <c r="C164" s="8"/>
      <c r="D164" s="8"/>
      <c r="E164" s="8"/>
      <c r="F164">
        <f t="shared" si="2"/>
        <v>2023</v>
      </c>
    </row>
    <row r="165" spans="1:6" x14ac:dyDescent="0.25">
      <c r="A165" s="5">
        <v>45108</v>
      </c>
      <c r="B165" s="6" t="s">
        <v>63</v>
      </c>
      <c r="C165" s="9">
        <v>407.92</v>
      </c>
      <c r="D165" s="7">
        <v>71950</v>
      </c>
      <c r="E165" s="31">
        <v>5.6694926999999997E-3</v>
      </c>
      <c r="F165">
        <f t="shared" si="2"/>
        <v>2023</v>
      </c>
    </row>
    <row r="166" spans="1:6" x14ac:dyDescent="0.25">
      <c r="A166" s="5">
        <v>45108</v>
      </c>
      <c r="B166" s="6" t="s">
        <v>64</v>
      </c>
      <c r="C166" s="8"/>
      <c r="D166" s="8"/>
      <c r="E166" s="8"/>
      <c r="F166">
        <f t="shared" si="2"/>
        <v>2023</v>
      </c>
    </row>
    <row r="167" spans="1:6" x14ac:dyDescent="0.25">
      <c r="A167" s="5">
        <v>45108</v>
      </c>
      <c r="B167" s="6" t="s">
        <v>65</v>
      </c>
      <c r="C167" s="8"/>
      <c r="D167" s="8"/>
      <c r="E167" s="8"/>
      <c r="F167">
        <f t="shared" si="2"/>
        <v>2023</v>
      </c>
    </row>
    <row r="168" spans="1:6" x14ac:dyDescent="0.25">
      <c r="A168" s="5">
        <v>45108</v>
      </c>
      <c r="B168" s="6" t="s">
        <v>66</v>
      </c>
      <c r="C168" s="9">
        <v>20130.505000000001</v>
      </c>
      <c r="D168" s="7">
        <v>3751500</v>
      </c>
      <c r="E168" s="31">
        <v>5.3659882000000004E-3</v>
      </c>
      <c r="F168">
        <f t="shared" si="2"/>
        <v>2023</v>
      </c>
    </row>
    <row r="169" spans="1:6" x14ac:dyDescent="0.25">
      <c r="A169" s="5">
        <v>45108</v>
      </c>
      <c r="B169" s="6" t="s">
        <v>67</v>
      </c>
      <c r="C169" s="9">
        <v>372.95838400000002</v>
      </c>
      <c r="D169" s="7">
        <v>48959.886156</v>
      </c>
      <c r="E169" s="31">
        <v>7.6176317000000004E-3</v>
      </c>
      <c r="F169">
        <f t="shared" si="2"/>
        <v>2023</v>
      </c>
    </row>
    <row r="170" spans="1:6" x14ac:dyDescent="0.25">
      <c r="A170" s="5">
        <v>45108</v>
      </c>
      <c r="B170" s="6" t="s">
        <v>68</v>
      </c>
      <c r="C170" s="8"/>
      <c r="D170" s="8"/>
      <c r="E170" s="8"/>
      <c r="F170">
        <f t="shared" si="2"/>
        <v>2023</v>
      </c>
    </row>
    <row r="171" spans="1:6" x14ac:dyDescent="0.25">
      <c r="A171" s="5">
        <v>45108</v>
      </c>
      <c r="B171" s="6" t="s">
        <v>69</v>
      </c>
      <c r="C171" s="8"/>
      <c r="D171" s="8"/>
      <c r="E171" s="8"/>
      <c r="F171">
        <f t="shared" si="2"/>
        <v>2023</v>
      </c>
    </row>
    <row r="172" spans="1:6" x14ac:dyDescent="0.25">
      <c r="A172" s="5">
        <v>45108</v>
      </c>
      <c r="B172" s="6" t="s">
        <v>70</v>
      </c>
      <c r="C172" s="8"/>
      <c r="D172" s="8"/>
      <c r="E172" s="8"/>
      <c r="F172">
        <f t="shared" si="2"/>
        <v>2023</v>
      </c>
    </row>
    <row r="173" spans="1:6" x14ac:dyDescent="0.25">
      <c r="A173" s="5">
        <v>45108</v>
      </c>
      <c r="B173" s="6" t="s">
        <v>71</v>
      </c>
      <c r="C173" s="8"/>
      <c r="D173" s="8"/>
      <c r="E173" s="8"/>
      <c r="F173">
        <f t="shared" si="2"/>
        <v>2023</v>
      </c>
    </row>
    <row r="174" spans="1:6" x14ac:dyDescent="0.25">
      <c r="A174" s="5">
        <v>45108</v>
      </c>
      <c r="B174" s="6" t="s">
        <v>72</v>
      </c>
      <c r="C174" s="8"/>
      <c r="D174" s="8"/>
      <c r="E174" s="8"/>
      <c r="F174">
        <f t="shared" si="2"/>
        <v>2023</v>
      </c>
    </row>
    <row r="175" spans="1:6" x14ac:dyDescent="0.25">
      <c r="A175" s="5">
        <v>45108</v>
      </c>
      <c r="B175" s="6" t="s">
        <v>73</v>
      </c>
      <c r="C175" s="8"/>
      <c r="D175" s="8"/>
      <c r="E175" s="8"/>
      <c r="F175">
        <f t="shared" si="2"/>
        <v>2023</v>
      </c>
    </row>
    <row r="176" spans="1:6" x14ac:dyDescent="0.25">
      <c r="A176" s="5">
        <v>45108</v>
      </c>
      <c r="B176" s="6" t="s">
        <v>74</v>
      </c>
      <c r="C176" s="8"/>
      <c r="D176" s="7">
        <v>792.51615700000002</v>
      </c>
      <c r="E176" s="8"/>
      <c r="F176">
        <f t="shared" si="2"/>
        <v>2023</v>
      </c>
    </row>
    <row r="177" spans="1:6" x14ac:dyDescent="0.25">
      <c r="A177" s="5">
        <v>45108</v>
      </c>
      <c r="B177" s="6" t="s">
        <v>75</v>
      </c>
      <c r="C177" s="9">
        <v>12.573743</v>
      </c>
      <c r="D177" s="7">
        <v>3962.5807850000001</v>
      </c>
      <c r="E177" s="31">
        <v>3.1731196000000001E-3</v>
      </c>
      <c r="F177">
        <f t="shared" si="2"/>
        <v>2023</v>
      </c>
    </row>
    <row r="178" spans="1:6" x14ac:dyDescent="0.25">
      <c r="A178" s="5">
        <v>45108</v>
      </c>
      <c r="B178" s="6" t="s">
        <v>76</v>
      </c>
      <c r="C178" s="8"/>
      <c r="D178" s="8"/>
      <c r="E178" s="8"/>
      <c r="F178">
        <f t="shared" si="2"/>
        <v>2023</v>
      </c>
    </row>
    <row r="179" spans="1:6" x14ac:dyDescent="0.25">
      <c r="A179" s="5">
        <v>45108</v>
      </c>
      <c r="B179" s="6" t="s">
        <v>77</v>
      </c>
      <c r="C179" s="8"/>
      <c r="D179" s="7">
        <v>30670.129767999999</v>
      </c>
      <c r="E179" s="8"/>
      <c r="F179">
        <f t="shared" si="2"/>
        <v>2023</v>
      </c>
    </row>
    <row r="180" spans="1:6" x14ac:dyDescent="0.25">
      <c r="A180" s="5">
        <v>45108</v>
      </c>
      <c r="B180" s="6" t="s">
        <v>78</v>
      </c>
      <c r="C180" s="8"/>
      <c r="D180" s="8"/>
      <c r="E180" s="8"/>
      <c r="F180">
        <f t="shared" si="2"/>
        <v>2023</v>
      </c>
    </row>
    <row r="181" spans="1:6" x14ac:dyDescent="0.25">
      <c r="A181" s="5">
        <v>45139</v>
      </c>
      <c r="B181" s="6" t="s">
        <v>55</v>
      </c>
      <c r="C181" s="9">
        <v>81407.22</v>
      </c>
      <c r="D181" s="7">
        <v>251341796.953628</v>
      </c>
      <c r="E181" s="31">
        <v>3.2389039999999999E-4</v>
      </c>
      <c r="F181">
        <f t="shared" si="2"/>
        <v>2023</v>
      </c>
    </row>
    <row r="182" spans="1:6" x14ac:dyDescent="0.25">
      <c r="A182" s="5">
        <v>45139</v>
      </c>
      <c r="B182" s="6" t="s">
        <v>56</v>
      </c>
      <c r="C182" s="8"/>
      <c r="D182" s="8"/>
      <c r="E182" s="8"/>
      <c r="F182">
        <f t="shared" si="2"/>
        <v>2023</v>
      </c>
    </row>
    <row r="183" spans="1:6" x14ac:dyDescent="0.25">
      <c r="A183" s="5">
        <v>45139</v>
      </c>
      <c r="B183" s="6" t="s">
        <v>57</v>
      </c>
      <c r="C183" s="8"/>
      <c r="D183" s="8"/>
      <c r="E183" s="8"/>
      <c r="F183">
        <f t="shared" si="2"/>
        <v>2023</v>
      </c>
    </row>
    <row r="184" spans="1:6" x14ac:dyDescent="0.25">
      <c r="A184" s="5">
        <v>45139</v>
      </c>
      <c r="B184" s="6" t="s">
        <v>58</v>
      </c>
      <c r="C184" s="8"/>
      <c r="D184" s="8"/>
      <c r="E184" s="8"/>
      <c r="F184">
        <f t="shared" si="2"/>
        <v>2023</v>
      </c>
    </row>
    <row r="185" spans="1:6" x14ac:dyDescent="0.25">
      <c r="A185" s="5">
        <v>45139</v>
      </c>
      <c r="B185" s="6" t="s">
        <v>59</v>
      </c>
      <c r="C185" s="8"/>
      <c r="D185" s="7">
        <v>226000</v>
      </c>
      <c r="E185" s="8"/>
      <c r="F185">
        <f t="shared" si="2"/>
        <v>2023</v>
      </c>
    </row>
    <row r="186" spans="1:6" x14ac:dyDescent="0.25">
      <c r="A186" s="5">
        <v>45139</v>
      </c>
      <c r="B186" s="6" t="s">
        <v>60</v>
      </c>
      <c r="C186" s="8"/>
      <c r="D186" s="8"/>
      <c r="E186" s="8"/>
      <c r="F186">
        <f t="shared" si="2"/>
        <v>2023</v>
      </c>
    </row>
    <row r="187" spans="1:6" x14ac:dyDescent="0.25">
      <c r="A187" s="5">
        <v>45139</v>
      </c>
      <c r="B187" s="6" t="s">
        <v>61</v>
      </c>
      <c r="C187" s="8"/>
      <c r="D187" s="8"/>
      <c r="E187" s="8"/>
      <c r="F187">
        <f t="shared" si="2"/>
        <v>2023</v>
      </c>
    </row>
    <row r="188" spans="1:6" x14ac:dyDescent="0.25">
      <c r="A188" s="5">
        <v>45139</v>
      </c>
      <c r="B188" s="6" t="s">
        <v>62</v>
      </c>
      <c r="C188" s="8"/>
      <c r="D188" s="8"/>
      <c r="E188" s="8"/>
      <c r="F188">
        <f t="shared" si="2"/>
        <v>2023</v>
      </c>
    </row>
    <row r="189" spans="1:6" x14ac:dyDescent="0.25">
      <c r="A189" s="5">
        <v>45139</v>
      </c>
      <c r="B189" s="6" t="s">
        <v>63</v>
      </c>
      <c r="C189" s="9">
        <v>407.92</v>
      </c>
      <c r="D189" s="7">
        <v>71950</v>
      </c>
      <c r="E189" s="31">
        <v>5.6694926999999997E-3</v>
      </c>
      <c r="F189">
        <f t="shared" si="2"/>
        <v>2023</v>
      </c>
    </row>
    <row r="190" spans="1:6" x14ac:dyDescent="0.25">
      <c r="A190" s="5">
        <v>45139</v>
      </c>
      <c r="B190" s="6" t="s">
        <v>64</v>
      </c>
      <c r="C190" s="8"/>
      <c r="D190" s="8"/>
      <c r="E190" s="8"/>
      <c r="F190">
        <f t="shared" si="2"/>
        <v>2023</v>
      </c>
    </row>
    <row r="191" spans="1:6" x14ac:dyDescent="0.25">
      <c r="A191" s="5">
        <v>45139</v>
      </c>
      <c r="B191" s="6" t="s">
        <v>65</v>
      </c>
      <c r="C191" s="8"/>
      <c r="D191" s="8"/>
      <c r="E191" s="8"/>
      <c r="F191">
        <f t="shared" si="2"/>
        <v>2023</v>
      </c>
    </row>
    <row r="192" spans="1:6" x14ac:dyDescent="0.25">
      <c r="A192" s="5">
        <v>45139</v>
      </c>
      <c r="B192" s="6" t="s">
        <v>66</v>
      </c>
      <c r="C192" s="9">
        <v>25758.865000000002</v>
      </c>
      <c r="D192" s="7">
        <v>4805500</v>
      </c>
      <c r="E192" s="31">
        <v>5.3602881999999996E-3</v>
      </c>
      <c r="F192">
        <f t="shared" si="2"/>
        <v>2023</v>
      </c>
    </row>
    <row r="193" spans="1:6" x14ac:dyDescent="0.25">
      <c r="A193" s="5">
        <v>45139</v>
      </c>
      <c r="B193" s="6" t="s">
        <v>67</v>
      </c>
      <c r="C193" s="9">
        <v>368.08299899999997</v>
      </c>
      <c r="D193" s="7">
        <v>48959.886156</v>
      </c>
      <c r="E193" s="31">
        <v>7.5180524999999996E-3</v>
      </c>
      <c r="F193">
        <f t="shared" si="2"/>
        <v>2023</v>
      </c>
    </row>
    <row r="194" spans="1:6" x14ac:dyDescent="0.25">
      <c r="A194" s="5">
        <v>45139</v>
      </c>
      <c r="B194" s="6" t="s">
        <v>68</v>
      </c>
      <c r="C194" s="8"/>
      <c r="D194" s="8"/>
      <c r="E194" s="8"/>
      <c r="F194">
        <f t="shared" si="2"/>
        <v>2023</v>
      </c>
    </row>
    <row r="195" spans="1:6" x14ac:dyDescent="0.25">
      <c r="A195" s="5">
        <v>45139</v>
      </c>
      <c r="B195" s="6" t="s">
        <v>69</v>
      </c>
      <c r="C195" s="8"/>
      <c r="D195" s="8"/>
      <c r="E195" s="8"/>
      <c r="F195">
        <f t="shared" si="2"/>
        <v>2023</v>
      </c>
    </row>
    <row r="196" spans="1:6" x14ac:dyDescent="0.25">
      <c r="A196" s="5">
        <v>45139</v>
      </c>
      <c r="B196" s="6" t="s">
        <v>70</v>
      </c>
      <c r="C196" s="8"/>
      <c r="D196" s="8"/>
      <c r="E196" s="8"/>
      <c r="F196">
        <f t="shared" si="2"/>
        <v>2023</v>
      </c>
    </row>
    <row r="197" spans="1:6" x14ac:dyDescent="0.25">
      <c r="A197" s="5">
        <v>45139</v>
      </c>
      <c r="B197" s="6" t="s">
        <v>71</v>
      </c>
      <c r="C197" s="8"/>
      <c r="D197" s="8"/>
      <c r="E197" s="8"/>
      <c r="F197">
        <f t="shared" si="2"/>
        <v>2023</v>
      </c>
    </row>
    <row r="198" spans="1:6" x14ac:dyDescent="0.25">
      <c r="A198" s="5">
        <v>45139</v>
      </c>
      <c r="B198" s="6" t="s">
        <v>72</v>
      </c>
      <c r="C198" s="8"/>
      <c r="D198" s="8"/>
      <c r="E198" s="8"/>
      <c r="F198">
        <f t="shared" si="2"/>
        <v>2023</v>
      </c>
    </row>
    <row r="199" spans="1:6" x14ac:dyDescent="0.25">
      <c r="A199" s="5">
        <v>45139</v>
      </c>
      <c r="B199" s="6" t="s">
        <v>73</v>
      </c>
      <c r="C199" s="8"/>
      <c r="D199" s="8"/>
      <c r="E199" s="8"/>
      <c r="F199">
        <f t="shared" si="2"/>
        <v>2023</v>
      </c>
    </row>
    <row r="200" spans="1:6" x14ac:dyDescent="0.25">
      <c r="A200" s="5">
        <v>45139</v>
      </c>
      <c r="B200" s="6" t="s">
        <v>74</v>
      </c>
      <c r="C200" s="8"/>
      <c r="D200" s="7">
        <v>792.51615700000002</v>
      </c>
      <c r="E200" s="8"/>
      <c r="F200">
        <f t="shared" si="2"/>
        <v>2023</v>
      </c>
    </row>
    <row r="201" spans="1:6" x14ac:dyDescent="0.25">
      <c r="A201" s="5">
        <v>45139</v>
      </c>
      <c r="B201" s="6" t="s">
        <v>75</v>
      </c>
      <c r="C201" s="9">
        <v>14.038565999999999</v>
      </c>
      <c r="D201" s="7">
        <v>4490.9248900000002</v>
      </c>
      <c r="E201" s="31">
        <v>3.1259854000000001E-3</v>
      </c>
      <c r="F201">
        <f t="shared" si="2"/>
        <v>2023</v>
      </c>
    </row>
    <row r="202" spans="1:6" x14ac:dyDescent="0.25">
      <c r="A202" s="5">
        <v>45139</v>
      </c>
      <c r="B202" s="6" t="s">
        <v>76</v>
      </c>
      <c r="C202" s="8"/>
      <c r="D202" s="8"/>
      <c r="E202" s="8"/>
      <c r="F202">
        <f t="shared" si="2"/>
        <v>2023</v>
      </c>
    </row>
    <row r="203" spans="1:6" x14ac:dyDescent="0.25">
      <c r="A203" s="5">
        <v>45139</v>
      </c>
      <c r="B203" s="6" t="s">
        <v>77</v>
      </c>
      <c r="C203" s="8"/>
      <c r="D203" s="7">
        <v>32166.233659000001</v>
      </c>
      <c r="E203" s="8"/>
      <c r="F203">
        <f t="shared" si="2"/>
        <v>2023</v>
      </c>
    </row>
    <row r="204" spans="1:6" x14ac:dyDescent="0.25">
      <c r="A204" s="5">
        <v>45139</v>
      </c>
      <c r="B204" s="6" t="s">
        <v>78</v>
      </c>
      <c r="C204" s="8"/>
      <c r="D204" s="8"/>
      <c r="E204" s="8"/>
      <c r="F204">
        <f t="shared" si="2"/>
        <v>2023</v>
      </c>
    </row>
    <row r="205" spans="1:6" x14ac:dyDescent="0.25">
      <c r="A205" s="5">
        <v>45170</v>
      </c>
      <c r="B205" s="6" t="s">
        <v>55</v>
      </c>
      <c r="C205" s="9">
        <v>76951.47</v>
      </c>
      <c r="D205" s="7">
        <v>245261163.904064</v>
      </c>
      <c r="E205" s="31">
        <v>3.1375309999999998E-4</v>
      </c>
      <c r="F205">
        <f t="shared" si="2"/>
        <v>2023</v>
      </c>
    </row>
    <row r="206" spans="1:6" x14ac:dyDescent="0.25">
      <c r="A206" s="5">
        <v>45170</v>
      </c>
      <c r="B206" s="6" t="s">
        <v>56</v>
      </c>
      <c r="C206" s="8"/>
      <c r="D206" s="8"/>
      <c r="E206" s="8"/>
      <c r="F206">
        <f t="shared" ref="F206:F269" si="3">YEAR(A206)</f>
        <v>2023</v>
      </c>
    </row>
    <row r="207" spans="1:6" x14ac:dyDescent="0.25">
      <c r="A207" s="5">
        <v>45170</v>
      </c>
      <c r="B207" s="6" t="s">
        <v>57</v>
      </c>
      <c r="C207" s="8"/>
      <c r="D207" s="8"/>
      <c r="E207" s="8"/>
      <c r="F207">
        <f t="shared" si="3"/>
        <v>2023</v>
      </c>
    </row>
    <row r="208" spans="1:6" x14ac:dyDescent="0.25">
      <c r="A208" s="5">
        <v>45170</v>
      </c>
      <c r="B208" s="6" t="s">
        <v>58</v>
      </c>
      <c r="C208" s="8"/>
      <c r="D208" s="8"/>
      <c r="E208" s="8"/>
      <c r="F208">
        <f t="shared" si="3"/>
        <v>2023</v>
      </c>
    </row>
    <row r="209" spans="1:6" x14ac:dyDescent="0.25">
      <c r="A209" s="5">
        <v>45170</v>
      </c>
      <c r="B209" s="6" t="s">
        <v>59</v>
      </c>
      <c r="C209" s="8"/>
      <c r="D209" s="7">
        <v>266000</v>
      </c>
      <c r="E209" s="8"/>
      <c r="F209">
        <f t="shared" si="3"/>
        <v>2023</v>
      </c>
    </row>
    <row r="210" spans="1:6" x14ac:dyDescent="0.25">
      <c r="A210" s="5">
        <v>45170</v>
      </c>
      <c r="B210" s="6" t="s">
        <v>60</v>
      </c>
      <c r="C210" s="8"/>
      <c r="D210" s="8"/>
      <c r="E210" s="8"/>
      <c r="F210">
        <f t="shared" si="3"/>
        <v>2023</v>
      </c>
    </row>
    <row r="211" spans="1:6" x14ac:dyDescent="0.25">
      <c r="A211" s="5">
        <v>45170</v>
      </c>
      <c r="B211" s="6" t="s">
        <v>61</v>
      </c>
      <c r="C211" s="8"/>
      <c r="D211" s="8"/>
      <c r="E211" s="8"/>
      <c r="F211">
        <f t="shared" si="3"/>
        <v>2023</v>
      </c>
    </row>
    <row r="212" spans="1:6" x14ac:dyDescent="0.25">
      <c r="A212" s="5">
        <v>45170</v>
      </c>
      <c r="B212" s="6" t="s">
        <v>62</v>
      </c>
      <c r="C212" s="8"/>
      <c r="D212" s="8"/>
      <c r="E212" s="8"/>
      <c r="F212">
        <f t="shared" si="3"/>
        <v>2023</v>
      </c>
    </row>
    <row r="213" spans="1:6" x14ac:dyDescent="0.25">
      <c r="A213" s="5">
        <v>45170</v>
      </c>
      <c r="B213" s="6" t="s">
        <v>63</v>
      </c>
      <c r="C213" s="9">
        <v>750.95500000000004</v>
      </c>
      <c r="D213" s="7">
        <v>132450</v>
      </c>
      <c r="E213" s="31">
        <v>5.6697244000000003E-3</v>
      </c>
      <c r="F213">
        <f t="shared" si="3"/>
        <v>2023</v>
      </c>
    </row>
    <row r="214" spans="1:6" x14ac:dyDescent="0.25">
      <c r="A214" s="5">
        <v>45170</v>
      </c>
      <c r="B214" s="6" t="s">
        <v>64</v>
      </c>
      <c r="C214" s="8"/>
      <c r="D214" s="8"/>
      <c r="E214" s="8"/>
      <c r="F214">
        <f t="shared" si="3"/>
        <v>2023</v>
      </c>
    </row>
    <row r="215" spans="1:6" x14ac:dyDescent="0.25">
      <c r="A215" s="5">
        <v>45170</v>
      </c>
      <c r="B215" s="6" t="s">
        <v>65</v>
      </c>
      <c r="C215" s="8"/>
      <c r="D215" s="8"/>
      <c r="E215" s="8"/>
      <c r="F215">
        <f t="shared" si="3"/>
        <v>2023</v>
      </c>
    </row>
    <row r="216" spans="1:6" x14ac:dyDescent="0.25">
      <c r="A216" s="5">
        <v>45170</v>
      </c>
      <c r="B216" s="6" t="s">
        <v>66</v>
      </c>
      <c r="C216" s="9">
        <v>25758.865000000002</v>
      </c>
      <c r="D216" s="7">
        <v>4805500</v>
      </c>
      <c r="E216" s="31">
        <v>5.3602881999999996E-3</v>
      </c>
      <c r="F216">
        <f t="shared" si="3"/>
        <v>2023</v>
      </c>
    </row>
    <row r="217" spans="1:6" x14ac:dyDescent="0.25">
      <c r="A217" s="5">
        <v>45170</v>
      </c>
      <c r="B217" s="6" t="s">
        <v>67</v>
      </c>
      <c r="C217" s="9">
        <v>368.08299899999997</v>
      </c>
      <c r="D217" s="7">
        <v>48959.886156</v>
      </c>
      <c r="E217" s="31">
        <v>7.5180524999999996E-3</v>
      </c>
      <c r="F217">
        <f t="shared" si="3"/>
        <v>2023</v>
      </c>
    </row>
    <row r="218" spans="1:6" x14ac:dyDescent="0.25">
      <c r="A218" s="5">
        <v>45170</v>
      </c>
      <c r="B218" s="6" t="s">
        <v>68</v>
      </c>
      <c r="C218" s="8"/>
      <c r="D218" s="8"/>
      <c r="E218" s="8"/>
      <c r="F218">
        <f t="shared" si="3"/>
        <v>2023</v>
      </c>
    </row>
    <row r="219" spans="1:6" x14ac:dyDescent="0.25">
      <c r="A219" s="5">
        <v>45170</v>
      </c>
      <c r="B219" s="6" t="s">
        <v>69</v>
      </c>
      <c r="C219" s="8"/>
      <c r="D219" s="8"/>
      <c r="E219" s="8"/>
      <c r="F219">
        <f t="shared" si="3"/>
        <v>2023</v>
      </c>
    </row>
    <row r="220" spans="1:6" x14ac:dyDescent="0.25">
      <c r="A220" s="5">
        <v>45170</v>
      </c>
      <c r="B220" s="6" t="s">
        <v>70</v>
      </c>
      <c r="C220" s="8"/>
      <c r="D220" s="8"/>
      <c r="E220" s="8"/>
      <c r="F220">
        <f t="shared" si="3"/>
        <v>2023</v>
      </c>
    </row>
    <row r="221" spans="1:6" x14ac:dyDescent="0.25">
      <c r="A221" s="5">
        <v>45170</v>
      </c>
      <c r="B221" s="6" t="s">
        <v>71</v>
      </c>
      <c r="C221" s="8"/>
      <c r="D221" s="8"/>
      <c r="E221" s="8"/>
      <c r="F221">
        <f t="shared" si="3"/>
        <v>2023</v>
      </c>
    </row>
    <row r="222" spans="1:6" x14ac:dyDescent="0.25">
      <c r="A222" s="5">
        <v>45170</v>
      </c>
      <c r="B222" s="6" t="s">
        <v>72</v>
      </c>
      <c r="C222" s="8"/>
      <c r="D222" s="8"/>
      <c r="E222" s="8"/>
      <c r="F222">
        <f t="shared" si="3"/>
        <v>2023</v>
      </c>
    </row>
    <row r="223" spans="1:6" x14ac:dyDescent="0.25">
      <c r="A223" s="5">
        <v>45170</v>
      </c>
      <c r="B223" s="6" t="s">
        <v>73</v>
      </c>
      <c r="C223" s="8"/>
      <c r="D223" s="8"/>
      <c r="E223" s="8"/>
      <c r="F223">
        <f t="shared" si="3"/>
        <v>2023</v>
      </c>
    </row>
    <row r="224" spans="1:6" x14ac:dyDescent="0.25">
      <c r="A224" s="5">
        <v>45170</v>
      </c>
      <c r="B224" s="6" t="s">
        <v>74</v>
      </c>
      <c r="C224" s="8"/>
      <c r="D224" s="7">
        <v>792.51615700000002</v>
      </c>
      <c r="E224" s="8"/>
      <c r="F224">
        <f t="shared" si="3"/>
        <v>2023</v>
      </c>
    </row>
    <row r="225" spans="1:6" x14ac:dyDescent="0.25">
      <c r="A225" s="5">
        <v>45170</v>
      </c>
      <c r="B225" s="6" t="s">
        <v>75</v>
      </c>
      <c r="C225" s="9">
        <v>9.0837780000000006</v>
      </c>
      <c r="D225" s="7">
        <v>2905.8925760000002</v>
      </c>
      <c r="E225" s="31">
        <v>3.1259854000000001E-3</v>
      </c>
      <c r="F225">
        <f t="shared" si="3"/>
        <v>2023</v>
      </c>
    </row>
    <row r="226" spans="1:6" x14ac:dyDescent="0.25">
      <c r="A226" s="5">
        <v>45170</v>
      </c>
      <c r="B226" s="6" t="s">
        <v>76</v>
      </c>
      <c r="C226" s="9">
        <v>114.3015</v>
      </c>
      <c r="D226" s="7">
        <v>8741.4532130000007</v>
      </c>
      <c r="E226" s="31">
        <v>1.30758006E-2</v>
      </c>
      <c r="F226">
        <f t="shared" si="3"/>
        <v>2023</v>
      </c>
    </row>
    <row r="227" spans="1:6" x14ac:dyDescent="0.25">
      <c r="A227" s="5">
        <v>45170</v>
      </c>
      <c r="B227" s="6" t="s">
        <v>77</v>
      </c>
      <c r="C227" s="8"/>
      <c r="D227" s="7">
        <v>21693.506420999998</v>
      </c>
      <c r="E227" s="8"/>
      <c r="F227">
        <f t="shared" si="3"/>
        <v>2023</v>
      </c>
    </row>
    <row r="228" spans="1:6" x14ac:dyDescent="0.25">
      <c r="A228" s="5">
        <v>45170</v>
      </c>
      <c r="B228" s="6" t="s">
        <v>78</v>
      </c>
      <c r="C228" s="8"/>
      <c r="D228" s="8"/>
      <c r="E228" s="8"/>
      <c r="F228">
        <f t="shared" si="3"/>
        <v>2023</v>
      </c>
    </row>
    <row r="229" spans="1:6" x14ac:dyDescent="0.25">
      <c r="A229" s="5">
        <v>45200</v>
      </c>
      <c r="B229" s="6" t="s">
        <v>55</v>
      </c>
      <c r="C229" s="8"/>
      <c r="D229" s="7">
        <v>249508812.751136</v>
      </c>
      <c r="E229" s="8"/>
      <c r="F229">
        <f t="shared" si="3"/>
        <v>2023</v>
      </c>
    </row>
    <row r="230" spans="1:6" x14ac:dyDescent="0.25">
      <c r="A230" s="5">
        <v>45200</v>
      </c>
      <c r="B230" s="6" t="s">
        <v>56</v>
      </c>
      <c r="C230" s="8"/>
      <c r="D230" s="8"/>
      <c r="E230" s="8"/>
      <c r="F230">
        <f t="shared" si="3"/>
        <v>2023</v>
      </c>
    </row>
    <row r="231" spans="1:6" x14ac:dyDescent="0.25">
      <c r="A231" s="5">
        <v>45200</v>
      </c>
      <c r="B231" s="6" t="s">
        <v>57</v>
      </c>
      <c r="C231" s="8"/>
      <c r="D231" s="8"/>
      <c r="E231" s="8"/>
      <c r="F231">
        <f t="shared" si="3"/>
        <v>2023</v>
      </c>
    </row>
    <row r="232" spans="1:6" x14ac:dyDescent="0.25">
      <c r="A232" s="5">
        <v>45200</v>
      </c>
      <c r="B232" s="6" t="s">
        <v>58</v>
      </c>
      <c r="C232" s="8"/>
      <c r="D232" s="8"/>
      <c r="E232" s="8"/>
      <c r="F232">
        <f t="shared" si="3"/>
        <v>2023</v>
      </c>
    </row>
    <row r="233" spans="1:6" x14ac:dyDescent="0.25">
      <c r="A233" s="5">
        <v>45200</v>
      </c>
      <c r="B233" s="6" t="s">
        <v>59</v>
      </c>
      <c r="C233" s="8"/>
      <c r="D233" s="7">
        <v>197000</v>
      </c>
      <c r="E233" s="8"/>
      <c r="F233">
        <f t="shared" si="3"/>
        <v>2023</v>
      </c>
    </row>
    <row r="234" spans="1:6" x14ac:dyDescent="0.25">
      <c r="A234" s="5">
        <v>45200</v>
      </c>
      <c r="B234" s="6" t="s">
        <v>60</v>
      </c>
      <c r="C234" s="8"/>
      <c r="D234" s="8"/>
      <c r="E234" s="8"/>
      <c r="F234">
        <f t="shared" si="3"/>
        <v>2023</v>
      </c>
    </row>
    <row r="235" spans="1:6" x14ac:dyDescent="0.25">
      <c r="A235" s="5">
        <v>45200</v>
      </c>
      <c r="B235" s="6" t="s">
        <v>61</v>
      </c>
      <c r="C235" s="8"/>
      <c r="D235" s="8"/>
      <c r="E235" s="8"/>
      <c r="F235">
        <f t="shared" si="3"/>
        <v>2023</v>
      </c>
    </row>
    <row r="236" spans="1:6" x14ac:dyDescent="0.25">
      <c r="A236" s="5">
        <v>45200</v>
      </c>
      <c r="B236" s="6" t="s">
        <v>62</v>
      </c>
      <c r="C236" s="8"/>
      <c r="D236" s="8"/>
      <c r="E236" s="8"/>
      <c r="F236">
        <f t="shared" si="3"/>
        <v>2023</v>
      </c>
    </row>
    <row r="237" spans="1:6" x14ac:dyDescent="0.25">
      <c r="A237" s="5">
        <v>45200</v>
      </c>
      <c r="B237" s="6" t="s">
        <v>63</v>
      </c>
      <c r="C237" s="9">
        <v>750.95500000000004</v>
      </c>
      <c r="D237" s="7">
        <v>132450</v>
      </c>
      <c r="E237" s="31">
        <v>5.6697244000000003E-3</v>
      </c>
      <c r="F237">
        <f t="shared" si="3"/>
        <v>2023</v>
      </c>
    </row>
    <row r="238" spans="1:6" x14ac:dyDescent="0.25">
      <c r="A238" s="5">
        <v>45200</v>
      </c>
      <c r="B238" s="6" t="s">
        <v>64</v>
      </c>
      <c r="C238" s="8"/>
      <c r="D238" s="8"/>
      <c r="E238" s="8"/>
      <c r="F238">
        <f t="shared" si="3"/>
        <v>2023</v>
      </c>
    </row>
    <row r="239" spans="1:6" x14ac:dyDescent="0.25">
      <c r="A239" s="5">
        <v>45200</v>
      </c>
      <c r="B239" s="6" t="s">
        <v>65</v>
      </c>
      <c r="C239" s="8"/>
      <c r="D239" s="8"/>
      <c r="E239" s="8"/>
      <c r="F239">
        <f t="shared" si="3"/>
        <v>2023</v>
      </c>
    </row>
    <row r="240" spans="1:6" x14ac:dyDescent="0.25">
      <c r="A240" s="5">
        <v>45200</v>
      </c>
      <c r="B240" s="6" t="s">
        <v>66</v>
      </c>
      <c r="C240" s="9">
        <v>108.545</v>
      </c>
      <c r="D240" s="7">
        <v>16000</v>
      </c>
      <c r="E240" s="31">
        <v>6.7840625000000002E-3</v>
      </c>
      <c r="F240">
        <f t="shared" si="3"/>
        <v>2023</v>
      </c>
    </row>
    <row r="241" spans="1:6" x14ac:dyDescent="0.25">
      <c r="A241" s="5">
        <v>45200</v>
      </c>
      <c r="B241" s="6" t="s">
        <v>67</v>
      </c>
      <c r="C241" s="8"/>
      <c r="D241" s="7">
        <v>0</v>
      </c>
      <c r="E241" s="8"/>
      <c r="F241">
        <f t="shared" si="3"/>
        <v>2023</v>
      </c>
    </row>
    <row r="242" spans="1:6" x14ac:dyDescent="0.25">
      <c r="A242" s="5">
        <v>45200</v>
      </c>
      <c r="B242" s="6" t="s">
        <v>68</v>
      </c>
      <c r="C242" s="8"/>
      <c r="D242" s="8"/>
      <c r="E242" s="8"/>
      <c r="F242">
        <f t="shared" si="3"/>
        <v>2023</v>
      </c>
    </row>
    <row r="243" spans="1:6" x14ac:dyDescent="0.25">
      <c r="A243" s="5">
        <v>45200</v>
      </c>
      <c r="B243" s="6" t="s">
        <v>69</v>
      </c>
      <c r="C243" s="8"/>
      <c r="D243" s="8"/>
      <c r="E243" s="8"/>
      <c r="F243">
        <f t="shared" si="3"/>
        <v>2023</v>
      </c>
    </row>
    <row r="244" spans="1:6" x14ac:dyDescent="0.25">
      <c r="A244" s="5">
        <v>45200</v>
      </c>
      <c r="B244" s="6" t="s">
        <v>70</v>
      </c>
      <c r="C244" s="8"/>
      <c r="D244" s="8"/>
      <c r="E244" s="8"/>
      <c r="F244">
        <f t="shared" si="3"/>
        <v>2023</v>
      </c>
    </row>
    <row r="245" spans="1:6" x14ac:dyDescent="0.25">
      <c r="A245" s="5">
        <v>45200</v>
      </c>
      <c r="B245" s="6" t="s">
        <v>71</v>
      </c>
      <c r="C245" s="8"/>
      <c r="D245" s="8"/>
      <c r="E245" s="8"/>
      <c r="F245">
        <f t="shared" si="3"/>
        <v>2023</v>
      </c>
    </row>
    <row r="246" spans="1:6" x14ac:dyDescent="0.25">
      <c r="A246" s="5">
        <v>45200</v>
      </c>
      <c r="B246" s="6" t="s">
        <v>72</v>
      </c>
      <c r="C246" s="8"/>
      <c r="D246" s="8"/>
      <c r="E246" s="8"/>
      <c r="F246">
        <f t="shared" si="3"/>
        <v>2023</v>
      </c>
    </row>
    <row r="247" spans="1:6" x14ac:dyDescent="0.25">
      <c r="A247" s="5">
        <v>45200</v>
      </c>
      <c r="B247" s="6" t="s">
        <v>73</v>
      </c>
      <c r="C247" s="8"/>
      <c r="D247" s="8"/>
      <c r="E247" s="8"/>
      <c r="F247">
        <f t="shared" si="3"/>
        <v>2023</v>
      </c>
    </row>
    <row r="248" spans="1:6" x14ac:dyDescent="0.25">
      <c r="A248" s="5">
        <v>45200</v>
      </c>
      <c r="B248" s="6" t="s">
        <v>74</v>
      </c>
      <c r="C248" s="8"/>
      <c r="D248" s="7">
        <v>264.17205200000001</v>
      </c>
      <c r="E248" s="8"/>
      <c r="F248">
        <f t="shared" si="3"/>
        <v>2023</v>
      </c>
    </row>
    <row r="249" spans="1:6" x14ac:dyDescent="0.25">
      <c r="A249" s="5">
        <v>45200</v>
      </c>
      <c r="B249" s="6" t="s">
        <v>75</v>
      </c>
      <c r="C249" s="9">
        <v>9.8378399999999999</v>
      </c>
      <c r="D249" s="7">
        <v>3170.0646280000001</v>
      </c>
      <c r="E249" s="31">
        <v>3.1033561999999999E-3</v>
      </c>
      <c r="F249">
        <f t="shared" si="3"/>
        <v>2023</v>
      </c>
    </row>
    <row r="250" spans="1:6" x14ac:dyDescent="0.25">
      <c r="A250" s="5">
        <v>45200</v>
      </c>
      <c r="B250" s="6" t="s">
        <v>76</v>
      </c>
      <c r="C250" s="8"/>
      <c r="D250" s="8"/>
      <c r="E250" s="8"/>
      <c r="F250">
        <f t="shared" si="3"/>
        <v>2023</v>
      </c>
    </row>
    <row r="251" spans="1:6" x14ac:dyDescent="0.25">
      <c r="A251" s="5">
        <v>45200</v>
      </c>
      <c r="B251" s="6" t="s">
        <v>77</v>
      </c>
      <c r="C251" s="8"/>
      <c r="D251" s="7">
        <v>19449.350585</v>
      </c>
      <c r="E251" s="8"/>
      <c r="F251">
        <f t="shared" si="3"/>
        <v>2023</v>
      </c>
    </row>
    <row r="252" spans="1:6" x14ac:dyDescent="0.25">
      <c r="A252" s="5">
        <v>45200</v>
      </c>
      <c r="B252" s="6" t="s">
        <v>78</v>
      </c>
      <c r="C252" s="8"/>
      <c r="D252" s="8"/>
      <c r="E252" s="8"/>
      <c r="F252">
        <f t="shared" si="3"/>
        <v>2023</v>
      </c>
    </row>
    <row r="253" spans="1:6" x14ac:dyDescent="0.25">
      <c r="A253" s="5">
        <v>45231</v>
      </c>
      <c r="B253" s="6" t="s">
        <v>55</v>
      </c>
      <c r="C253" s="8"/>
      <c r="D253" s="7">
        <v>261431135.22890598</v>
      </c>
      <c r="E253" s="8"/>
      <c r="F253">
        <f t="shared" si="3"/>
        <v>2023</v>
      </c>
    </row>
    <row r="254" spans="1:6" x14ac:dyDescent="0.25">
      <c r="A254" s="5">
        <v>45231</v>
      </c>
      <c r="B254" s="6" t="s">
        <v>56</v>
      </c>
      <c r="C254" s="8"/>
      <c r="D254" s="8"/>
      <c r="E254" s="8"/>
      <c r="F254">
        <f t="shared" si="3"/>
        <v>2023</v>
      </c>
    </row>
    <row r="255" spans="1:6" x14ac:dyDescent="0.25">
      <c r="A255" s="5">
        <v>45231</v>
      </c>
      <c r="B255" s="6" t="s">
        <v>57</v>
      </c>
      <c r="C255" s="8"/>
      <c r="D255" s="8"/>
      <c r="E255" s="8"/>
      <c r="F255">
        <f t="shared" si="3"/>
        <v>2023</v>
      </c>
    </row>
    <row r="256" spans="1:6" x14ac:dyDescent="0.25">
      <c r="A256" s="5">
        <v>45231</v>
      </c>
      <c r="B256" s="6" t="s">
        <v>58</v>
      </c>
      <c r="C256" s="8"/>
      <c r="D256" s="8"/>
      <c r="E256" s="8"/>
      <c r="F256">
        <f t="shared" si="3"/>
        <v>2023</v>
      </c>
    </row>
    <row r="257" spans="1:6" x14ac:dyDescent="0.25">
      <c r="A257" s="5">
        <v>45231</v>
      </c>
      <c r="B257" s="6" t="s">
        <v>59</v>
      </c>
      <c r="C257" s="9">
        <v>2671.65</v>
      </c>
      <c r="D257" s="7">
        <v>210001</v>
      </c>
      <c r="E257" s="31">
        <v>1.27220822E-2</v>
      </c>
      <c r="F257">
        <f t="shared" si="3"/>
        <v>2023</v>
      </c>
    </row>
    <row r="258" spans="1:6" x14ac:dyDescent="0.25">
      <c r="A258" s="5">
        <v>45231</v>
      </c>
      <c r="B258" s="6" t="s">
        <v>60</v>
      </c>
      <c r="C258" s="8"/>
      <c r="D258" s="8"/>
      <c r="E258" s="8"/>
      <c r="F258">
        <f t="shared" si="3"/>
        <v>2023</v>
      </c>
    </row>
    <row r="259" spans="1:6" x14ac:dyDescent="0.25">
      <c r="A259" s="5">
        <v>45231</v>
      </c>
      <c r="B259" s="6" t="s">
        <v>61</v>
      </c>
      <c r="C259" s="8"/>
      <c r="D259" s="8"/>
      <c r="E259" s="8"/>
      <c r="F259">
        <f t="shared" si="3"/>
        <v>2023</v>
      </c>
    </row>
    <row r="260" spans="1:6" x14ac:dyDescent="0.25">
      <c r="A260" s="5">
        <v>45231</v>
      </c>
      <c r="B260" s="6" t="s">
        <v>62</v>
      </c>
      <c r="C260" s="8"/>
      <c r="D260" s="8"/>
      <c r="E260" s="8"/>
      <c r="F260">
        <f t="shared" si="3"/>
        <v>2023</v>
      </c>
    </row>
    <row r="261" spans="1:6" x14ac:dyDescent="0.25">
      <c r="A261" s="5">
        <v>45231</v>
      </c>
      <c r="B261" s="6" t="s">
        <v>63</v>
      </c>
      <c r="C261" s="9">
        <v>844.23</v>
      </c>
      <c r="D261" s="7">
        <v>148900</v>
      </c>
      <c r="E261" s="31">
        <v>5.6697783E-3</v>
      </c>
      <c r="F261">
        <f t="shared" si="3"/>
        <v>2023</v>
      </c>
    </row>
    <row r="262" spans="1:6" x14ac:dyDescent="0.25">
      <c r="A262" s="5">
        <v>45231</v>
      </c>
      <c r="B262" s="6" t="s">
        <v>64</v>
      </c>
      <c r="C262" s="8"/>
      <c r="D262" s="8"/>
      <c r="E262" s="8"/>
      <c r="F262">
        <f t="shared" si="3"/>
        <v>2023</v>
      </c>
    </row>
    <row r="263" spans="1:6" x14ac:dyDescent="0.25">
      <c r="A263" s="5">
        <v>45231</v>
      </c>
      <c r="B263" s="6" t="s">
        <v>65</v>
      </c>
      <c r="C263" s="8"/>
      <c r="D263" s="8"/>
      <c r="E263" s="8"/>
      <c r="F263">
        <f t="shared" si="3"/>
        <v>2023</v>
      </c>
    </row>
    <row r="264" spans="1:6" x14ac:dyDescent="0.25">
      <c r="A264" s="5">
        <v>45231</v>
      </c>
      <c r="B264" s="6" t="s">
        <v>66</v>
      </c>
      <c r="C264" s="9">
        <v>36745.915000000001</v>
      </c>
      <c r="D264" s="7">
        <v>6863000</v>
      </c>
      <c r="E264" s="31">
        <v>5.3542058000000002E-3</v>
      </c>
      <c r="F264">
        <f t="shared" si="3"/>
        <v>2023</v>
      </c>
    </row>
    <row r="265" spans="1:6" x14ac:dyDescent="0.25">
      <c r="A265" s="5">
        <v>45231</v>
      </c>
      <c r="B265" s="6" t="s">
        <v>67</v>
      </c>
      <c r="C265" s="8"/>
      <c r="D265" s="7">
        <v>0</v>
      </c>
      <c r="E265" s="8"/>
      <c r="F265">
        <f t="shared" si="3"/>
        <v>2023</v>
      </c>
    </row>
    <row r="266" spans="1:6" x14ac:dyDescent="0.25">
      <c r="A266" s="5">
        <v>45231</v>
      </c>
      <c r="B266" s="6" t="s">
        <v>68</v>
      </c>
      <c r="C266" s="8"/>
      <c r="D266" s="8"/>
      <c r="E266" s="8"/>
      <c r="F266">
        <f t="shared" si="3"/>
        <v>2023</v>
      </c>
    </row>
    <row r="267" spans="1:6" x14ac:dyDescent="0.25">
      <c r="A267" s="5">
        <v>45231</v>
      </c>
      <c r="B267" s="6" t="s">
        <v>69</v>
      </c>
      <c r="C267" s="8"/>
      <c r="D267" s="8"/>
      <c r="E267" s="8"/>
      <c r="F267">
        <f t="shared" si="3"/>
        <v>2023</v>
      </c>
    </row>
    <row r="268" spans="1:6" x14ac:dyDescent="0.25">
      <c r="A268" s="5">
        <v>45231</v>
      </c>
      <c r="B268" s="6" t="s">
        <v>70</v>
      </c>
      <c r="C268" s="8"/>
      <c r="D268" s="8"/>
      <c r="E268" s="8"/>
      <c r="F268">
        <f t="shared" si="3"/>
        <v>2023</v>
      </c>
    </row>
    <row r="269" spans="1:6" x14ac:dyDescent="0.25">
      <c r="A269" s="5">
        <v>45231</v>
      </c>
      <c r="B269" s="6" t="s">
        <v>71</v>
      </c>
      <c r="C269" s="8"/>
      <c r="D269" s="8"/>
      <c r="E269" s="8"/>
      <c r="F269">
        <f t="shared" si="3"/>
        <v>2023</v>
      </c>
    </row>
    <row r="270" spans="1:6" x14ac:dyDescent="0.25">
      <c r="A270" s="5">
        <v>45231</v>
      </c>
      <c r="B270" s="6" t="s">
        <v>72</v>
      </c>
      <c r="C270" s="8"/>
      <c r="D270" s="8"/>
      <c r="E270" s="8"/>
      <c r="F270">
        <f t="shared" ref="F270:F300" si="4">YEAR(A270)</f>
        <v>2023</v>
      </c>
    </row>
    <row r="271" spans="1:6" x14ac:dyDescent="0.25">
      <c r="A271" s="5">
        <v>45231</v>
      </c>
      <c r="B271" s="6" t="s">
        <v>73</v>
      </c>
      <c r="C271" s="8"/>
      <c r="D271" s="8"/>
      <c r="E271" s="8"/>
      <c r="F271">
        <f t="shared" si="4"/>
        <v>2023</v>
      </c>
    </row>
    <row r="272" spans="1:6" x14ac:dyDescent="0.25">
      <c r="A272" s="5">
        <v>45231</v>
      </c>
      <c r="B272" s="6" t="s">
        <v>74</v>
      </c>
      <c r="C272" s="8"/>
      <c r="D272" s="7">
        <v>264.17205200000001</v>
      </c>
      <c r="E272" s="8"/>
      <c r="F272">
        <f t="shared" si="4"/>
        <v>2023</v>
      </c>
    </row>
    <row r="273" spans="1:6" x14ac:dyDescent="0.25">
      <c r="A273" s="5">
        <v>45231</v>
      </c>
      <c r="B273" s="6" t="s">
        <v>75</v>
      </c>
      <c r="C273" s="8"/>
      <c r="D273" s="8"/>
      <c r="E273" s="8"/>
      <c r="F273">
        <f t="shared" si="4"/>
        <v>2023</v>
      </c>
    </row>
    <row r="274" spans="1:6" x14ac:dyDescent="0.25">
      <c r="A274" s="5">
        <v>45231</v>
      </c>
      <c r="B274" s="6" t="s">
        <v>76</v>
      </c>
      <c r="C274" s="8"/>
      <c r="D274" s="7">
        <v>8740.9248680000001</v>
      </c>
      <c r="E274" s="8"/>
      <c r="F274">
        <f t="shared" si="4"/>
        <v>2023</v>
      </c>
    </row>
    <row r="275" spans="1:6" x14ac:dyDescent="0.25">
      <c r="A275" s="5">
        <v>45231</v>
      </c>
      <c r="B275" s="6" t="s">
        <v>77</v>
      </c>
      <c r="C275" s="9">
        <v>149.87662</v>
      </c>
      <c r="D275" s="7">
        <v>4488.3116730000002</v>
      </c>
      <c r="E275" s="31">
        <v>3.33926498E-2</v>
      </c>
      <c r="F275">
        <f t="shared" si="4"/>
        <v>2023</v>
      </c>
    </row>
    <row r="276" spans="1:6" x14ac:dyDescent="0.25">
      <c r="A276" s="5">
        <v>45231</v>
      </c>
      <c r="B276" s="6" t="s">
        <v>78</v>
      </c>
      <c r="C276" s="8"/>
      <c r="D276" s="8"/>
      <c r="E276" s="8"/>
      <c r="F276">
        <f t="shared" si="4"/>
        <v>2023</v>
      </c>
    </row>
    <row r="277" spans="1:6" x14ac:dyDescent="0.25">
      <c r="A277" s="5">
        <v>45261</v>
      </c>
      <c r="B277" s="6" t="s">
        <v>55</v>
      </c>
      <c r="C277" s="8"/>
      <c r="D277" s="7">
        <v>250895610.35719502</v>
      </c>
      <c r="E277" s="8"/>
      <c r="F277">
        <f t="shared" si="4"/>
        <v>2023</v>
      </c>
    </row>
    <row r="278" spans="1:6" x14ac:dyDescent="0.25">
      <c r="A278" s="5">
        <v>45261</v>
      </c>
      <c r="B278" s="6" t="s">
        <v>56</v>
      </c>
      <c r="C278" s="8"/>
      <c r="D278" s="8"/>
      <c r="E278" s="8"/>
      <c r="F278">
        <f t="shared" si="4"/>
        <v>2023</v>
      </c>
    </row>
    <row r="279" spans="1:6" x14ac:dyDescent="0.25">
      <c r="A279" s="5">
        <v>45261</v>
      </c>
      <c r="B279" s="6" t="s">
        <v>57</v>
      </c>
      <c r="C279" s="8"/>
      <c r="D279" s="8"/>
      <c r="E279" s="8"/>
      <c r="F279">
        <f t="shared" si="4"/>
        <v>2023</v>
      </c>
    </row>
    <row r="280" spans="1:6" x14ac:dyDescent="0.25">
      <c r="A280" s="5">
        <v>45261</v>
      </c>
      <c r="B280" s="6" t="s">
        <v>58</v>
      </c>
      <c r="C280" s="8"/>
      <c r="D280" s="8"/>
      <c r="E280" s="8"/>
      <c r="F280">
        <f t="shared" si="4"/>
        <v>2023</v>
      </c>
    </row>
    <row r="281" spans="1:6" x14ac:dyDescent="0.25">
      <c r="A281" s="5">
        <v>45261</v>
      </c>
      <c r="B281" s="6" t="s">
        <v>59</v>
      </c>
      <c r="C281" s="8"/>
      <c r="D281" s="7">
        <v>174000</v>
      </c>
      <c r="E281" s="8"/>
      <c r="F281">
        <f t="shared" si="4"/>
        <v>2023</v>
      </c>
    </row>
    <row r="282" spans="1:6" x14ac:dyDescent="0.25">
      <c r="A282" s="5">
        <v>45261</v>
      </c>
      <c r="B282" s="6" t="s">
        <v>60</v>
      </c>
      <c r="C282" s="8"/>
      <c r="D282" s="7">
        <v>148469047</v>
      </c>
      <c r="E282" s="8"/>
      <c r="F282">
        <f t="shared" si="4"/>
        <v>2023</v>
      </c>
    </row>
    <row r="283" spans="1:6" x14ac:dyDescent="0.25">
      <c r="A283" s="5">
        <v>45261</v>
      </c>
      <c r="B283" s="6" t="s">
        <v>61</v>
      </c>
      <c r="C283" s="8"/>
      <c r="D283" s="7">
        <v>1600316377</v>
      </c>
      <c r="E283" s="8"/>
      <c r="F283">
        <f t="shared" si="4"/>
        <v>2023</v>
      </c>
    </row>
    <row r="284" spans="1:6" x14ac:dyDescent="0.25">
      <c r="A284" s="5">
        <v>45261</v>
      </c>
      <c r="B284" s="6" t="s">
        <v>62</v>
      </c>
      <c r="C284" s="8"/>
      <c r="D284" s="8"/>
      <c r="E284" s="8"/>
      <c r="F284">
        <f t="shared" si="4"/>
        <v>2023</v>
      </c>
    </row>
    <row r="285" spans="1:6" x14ac:dyDescent="0.25">
      <c r="A285" s="5">
        <v>45261</v>
      </c>
      <c r="B285" s="6" t="s">
        <v>63</v>
      </c>
      <c r="C285" s="9">
        <v>844.23</v>
      </c>
      <c r="D285" s="7">
        <v>148900</v>
      </c>
      <c r="E285" s="31">
        <v>5.6697783E-3</v>
      </c>
      <c r="F285">
        <f t="shared" si="4"/>
        <v>2023</v>
      </c>
    </row>
    <row r="286" spans="1:6" x14ac:dyDescent="0.25">
      <c r="A286" s="5">
        <v>45261</v>
      </c>
      <c r="B286" s="6" t="s">
        <v>64</v>
      </c>
      <c r="C286" s="8"/>
      <c r="D286" s="8"/>
      <c r="E286" s="8"/>
      <c r="F286">
        <f t="shared" si="4"/>
        <v>2023</v>
      </c>
    </row>
    <row r="287" spans="1:6" x14ac:dyDescent="0.25">
      <c r="A287" s="5">
        <v>45261</v>
      </c>
      <c r="B287" s="6" t="s">
        <v>65</v>
      </c>
      <c r="C287" s="8"/>
      <c r="D287" s="8"/>
      <c r="E287" s="8"/>
      <c r="F287">
        <f t="shared" si="4"/>
        <v>2023</v>
      </c>
    </row>
    <row r="288" spans="1:6" x14ac:dyDescent="0.25">
      <c r="A288" s="5">
        <v>45261</v>
      </c>
      <c r="B288" s="6" t="s">
        <v>66</v>
      </c>
      <c r="C288" s="9">
        <v>26479.764999999999</v>
      </c>
      <c r="D288" s="7">
        <v>4940500</v>
      </c>
      <c r="E288" s="31">
        <v>5.3597337999999996E-3</v>
      </c>
      <c r="F288">
        <f t="shared" si="4"/>
        <v>2023</v>
      </c>
    </row>
    <row r="289" spans="1:6" x14ac:dyDescent="0.25">
      <c r="A289" s="5">
        <v>45261</v>
      </c>
      <c r="B289" s="6" t="s">
        <v>67</v>
      </c>
      <c r="C289" s="8"/>
      <c r="D289" s="7">
        <v>198657.38337299999</v>
      </c>
      <c r="E289" s="8"/>
      <c r="F289">
        <f t="shared" si="4"/>
        <v>2023</v>
      </c>
    </row>
    <row r="290" spans="1:6" x14ac:dyDescent="0.25">
      <c r="A290" s="5">
        <v>45261</v>
      </c>
      <c r="B290" s="6" t="s">
        <v>68</v>
      </c>
      <c r="C290" s="9">
        <v>1017.265698</v>
      </c>
      <c r="D290" s="7">
        <v>31964.818335</v>
      </c>
      <c r="E290" s="31">
        <v>3.1824541800000002E-2</v>
      </c>
      <c r="F290">
        <f t="shared" si="4"/>
        <v>2023</v>
      </c>
    </row>
    <row r="291" spans="1:6" x14ac:dyDescent="0.25">
      <c r="A291" s="5">
        <v>45261</v>
      </c>
      <c r="B291" s="6" t="s">
        <v>69</v>
      </c>
      <c r="C291" s="8"/>
      <c r="D291" s="8"/>
      <c r="E291" s="8"/>
      <c r="F291">
        <f t="shared" si="4"/>
        <v>2023</v>
      </c>
    </row>
    <row r="292" spans="1:6" x14ac:dyDescent="0.25">
      <c r="A292" s="5">
        <v>45261</v>
      </c>
      <c r="B292" s="6" t="s">
        <v>70</v>
      </c>
      <c r="C292" s="8"/>
      <c r="D292" s="8"/>
      <c r="E292" s="8"/>
      <c r="F292">
        <f t="shared" si="4"/>
        <v>2023</v>
      </c>
    </row>
    <row r="293" spans="1:6" x14ac:dyDescent="0.25">
      <c r="A293" s="5">
        <v>45261</v>
      </c>
      <c r="B293" s="6" t="s">
        <v>71</v>
      </c>
      <c r="C293" s="8"/>
      <c r="D293" s="8"/>
      <c r="E293" s="8"/>
      <c r="F293">
        <f t="shared" si="4"/>
        <v>2023</v>
      </c>
    </row>
    <row r="294" spans="1:6" x14ac:dyDescent="0.25">
      <c r="A294" s="5">
        <v>45261</v>
      </c>
      <c r="B294" s="6" t="s">
        <v>72</v>
      </c>
      <c r="C294" s="8"/>
      <c r="D294" s="8"/>
      <c r="E294" s="8"/>
      <c r="F294">
        <f t="shared" si="4"/>
        <v>2023</v>
      </c>
    </row>
    <row r="295" spans="1:6" x14ac:dyDescent="0.25">
      <c r="A295" s="5">
        <v>45261</v>
      </c>
      <c r="B295" s="6" t="s">
        <v>73</v>
      </c>
      <c r="C295" s="8"/>
      <c r="D295" s="8"/>
      <c r="E295" s="8"/>
      <c r="F295">
        <f t="shared" si="4"/>
        <v>2023</v>
      </c>
    </row>
    <row r="296" spans="1:6" x14ac:dyDescent="0.25">
      <c r="A296" s="5">
        <v>45261</v>
      </c>
      <c r="B296" s="6" t="s">
        <v>74</v>
      </c>
      <c r="C296" s="9">
        <v>14.610149</v>
      </c>
      <c r="D296" s="7">
        <v>0</v>
      </c>
      <c r="E296" s="8"/>
      <c r="F296">
        <f t="shared" si="4"/>
        <v>2023</v>
      </c>
    </row>
    <row r="297" spans="1:6" x14ac:dyDescent="0.25">
      <c r="A297" s="5">
        <v>45261</v>
      </c>
      <c r="B297" s="6" t="s">
        <v>75</v>
      </c>
      <c r="C297" s="8"/>
      <c r="D297" s="8"/>
      <c r="E297" s="8"/>
      <c r="F297">
        <f t="shared" si="4"/>
        <v>2023</v>
      </c>
    </row>
    <row r="298" spans="1:6" x14ac:dyDescent="0.25">
      <c r="A298" s="5">
        <v>45261</v>
      </c>
      <c r="B298" s="6" t="s">
        <v>76</v>
      </c>
      <c r="C298" s="8"/>
      <c r="D298" s="8"/>
      <c r="E298" s="8"/>
      <c r="F298">
        <f t="shared" si="4"/>
        <v>2023</v>
      </c>
    </row>
    <row r="299" spans="1:6" x14ac:dyDescent="0.25">
      <c r="A299" s="5">
        <v>45261</v>
      </c>
      <c r="B299" s="6" t="s">
        <v>77</v>
      </c>
      <c r="C299" s="8"/>
      <c r="D299" s="7">
        <v>1496.103891</v>
      </c>
      <c r="E299" s="8"/>
      <c r="F299">
        <f t="shared" si="4"/>
        <v>2023</v>
      </c>
    </row>
    <row r="300" spans="1:6" x14ac:dyDescent="0.25">
      <c r="A300" s="5">
        <v>45261</v>
      </c>
      <c r="B300" s="6" t="s">
        <v>78</v>
      </c>
      <c r="C300" s="8"/>
      <c r="D300" s="8"/>
      <c r="E300" s="8"/>
      <c r="F300">
        <f t="shared" si="4"/>
        <v>2023</v>
      </c>
    </row>
  </sheetData>
  <pageMargins left="0.7" right="0.7" top="0.75" bottom="0.75" header="0.3" footer="0.3"/>
  <headerFooter>
    <oddFooter>&amp;C_x000D_&amp;1#&amp;"Calibri"&amp;6&amp;K626469 Public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510"/>
  <sheetViews>
    <sheetView workbookViewId="0">
      <selection activeCell="A295" sqref="A295"/>
    </sheetView>
  </sheetViews>
  <sheetFormatPr defaultColWidth="8.88671875" defaultRowHeight="13.8" x14ac:dyDescent="0.25"/>
  <cols>
    <col min="1" max="9" width="20.6640625" style="33" customWidth="1"/>
    <col min="10" max="18" width="22.6640625" style="33" customWidth="1"/>
    <col min="19" max="16384" width="8.88671875" style="33"/>
  </cols>
  <sheetData>
    <row r="1" spans="1:18" x14ac:dyDescent="0.25">
      <c r="A1" s="52" t="s">
        <v>84</v>
      </c>
      <c r="B1" s="52" t="s">
        <v>84</v>
      </c>
      <c r="C1" s="52" t="s">
        <v>84</v>
      </c>
      <c r="D1" s="52" t="s">
        <v>84</v>
      </c>
      <c r="E1" s="52" t="s">
        <v>84</v>
      </c>
      <c r="F1" s="52" t="s">
        <v>84</v>
      </c>
      <c r="G1" s="52" t="s">
        <v>84</v>
      </c>
      <c r="H1" s="52" t="s">
        <v>84</v>
      </c>
      <c r="I1" s="52" t="s">
        <v>84</v>
      </c>
      <c r="J1" s="52" t="s">
        <v>84</v>
      </c>
      <c r="K1" s="52" t="s">
        <v>84</v>
      </c>
      <c r="L1" s="52" t="s">
        <v>84</v>
      </c>
      <c r="M1" s="52" t="s">
        <v>84</v>
      </c>
      <c r="N1" s="52" t="s">
        <v>84</v>
      </c>
      <c r="O1" s="52" t="s">
        <v>84</v>
      </c>
      <c r="P1" s="52" t="s">
        <v>84</v>
      </c>
      <c r="Q1" s="52" t="s">
        <v>84</v>
      </c>
      <c r="R1" s="52" t="s">
        <v>84</v>
      </c>
    </row>
    <row r="2" spans="1:18" x14ac:dyDescent="0.25">
      <c r="A2" s="52" t="s">
        <v>184</v>
      </c>
      <c r="B2" s="52" t="s">
        <v>184</v>
      </c>
      <c r="C2" s="52" t="s">
        <v>184</v>
      </c>
      <c r="D2" s="52" t="s">
        <v>184</v>
      </c>
      <c r="E2" s="52" t="s">
        <v>184</v>
      </c>
      <c r="F2" s="52" t="s">
        <v>184</v>
      </c>
      <c r="G2" s="52" t="s">
        <v>184</v>
      </c>
      <c r="H2" s="52" t="s">
        <v>184</v>
      </c>
      <c r="I2" s="52" t="s">
        <v>184</v>
      </c>
      <c r="J2" s="52" t="s">
        <v>184</v>
      </c>
      <c r="K2" s="52" t="s">
        <v>184</v>
      </c>
      <c r="L2" s="52" t="s">
        <v>184</v>
      </c>
      <c r="M2" s="52" t="s">
        <v>184</v>
      </c>
      <c r="N2" s="52" t="s">
        <v>184</v>
      </c>
      <c r="O2" s="52" t="s">
        <v>184</v>
      </c>
      <c r="P2" s="52" t="s">
        <v>184</v>
      </c>
      <c r="Q2" s="52" t="s">
        <v>184</v>
      </c>
      <c r="R2" s="52" t="s">
        <v>184</v>
      </c>
    </row>
    <row r="3" spans="1:18" x14ac:dyDescent="0.25">
      <c r="A3" s="52" t="s">
        <v>185</v>
      </c>
      <c r="B3" s="52" t="s">
        <v>185</v>
      </c>
      <c r="C3" s="52" t="s">
        <v>185</v>
      </c>
      <c r="D3" s="52" t="s">
        <v>185</v>
      </c>
      <c r="E3" s="52" t="s">
        <v>185</v>
      </c>
      <c r="F3" s="52" t="s">
        <v>185</v>
      </c>
      <c r="G3" s="52" t="s">
        <v>185</v>
      </c>
      <c r="H3" s="52" t="s">
        <v>185</v>
      </c>
      <c r="I3" s="52" t="s">
        <v>185</v>
      </c>
      <c r="J3" s="52" t="s">
        <v>185</v>
      </c>
      <c r="K3" s="52" t="s">
        <v>185</v>
      </c>
      <c r="L3" s="52" t="s">
        <v>185</v>
      </c>
      <c r="M3" s="52" t="s">
        <v>185</v>
      </c>
      <c r="N3" s="52" t="s">
        <v>185</v>
      </c>
      <c r="O3" s="52" t="s">
        <v>185</v>
      </c>
      <c r="P3" s="52" t="s">
        <v>185</v>
      </c>
      <c r="Q3" s="52" t="s">
        <v>185</v>
      </c>
      <c r="R3" s="52" t="s">
        <v>185</v>
      </c>
    </row>
    <row r="4" spans="1:18" x14ac:dyDescent="0.25">
      <c r="A4" s="52" t="s">
        <v>186</v>
      </c>
      <c r="B4" s="52" t="s">
        <v>186</v>
      </c>
      <c r="C4" s="52" t="s">
        <v>186</v>
      </c>
      <c r="D4" s="52" t="s">
        <v>186</v>
      </c>
      <c r="E4" s="52" t="s">
        <v>186</v>
      </c>
      <c r="F4" s="52" t="s">
        <v>186</v>
      </c>
      <c r="G4" s="52" t="s">
        <v>186</v>
      </c>
      <c r="H4" s="52" t="s">
        <v>186</v>
      </c>
      <c r="I4" s="52" t="s">
        <v>186</v>
      </c>
      <c r="J4" s="52" t="s">
        <v>186</v>
      </c>
      <c r="K4" s="52" t="s">
        <v>186</v>
      </c>
      <c r="L4" s="52" t="s">
        <v>186</v>
      </c>
      <c r="M4" s="52" t="s">
        <v>186</v>
      </c>
      <c r="N4" s="52" t="s">
        <v>186</v>
      </c>
      <c r="O4" s="52" t="s">
        <v>186</v>
      </c>
      <c r="P4" s="52" t="s">
        <v>186</v>
      </c>
      <c r="Q4" s="52" t="s">
        <v>186</v>
      </c>
      <c r="R4" s="52" t="s">
        <v>186</v>
      </c>
    </row>
    <row r="5" spans="1:18" x14ac:dyDescent="0.25">
      <c r="A5" s="53" t="s">
        <v>187</v>
      </c>
      <c r="B5" s="53" t="s">
        <v>187</v>
      </c>
      <c r="C5" s="53" t="s">
        <v>187</v>
      </c>
      <c r="D5" s="53" t="s">
        <v>187</v>
      </c>
      <c r="E5" s="53" t="s">
        <v>187</v>
      </c>
      <c r="F5" s="53" t="s">
        <v>187</v>
      </c>
      <c r="G5" s="53" t="s">
        <v>187</v>
      </c>
      <c r="H5" s="53" t="s">
        <v>187</v>
      </c>
      <c r="I5" s="53" t="s">
        <v>187</v>
      </c>
      <c r="J5" s="53" t="s">
        <v>187</v>
      </c>
      <c r="K5" s="53" t="s">
        <v>187</v>
      </c>
      <c r="L5" s="53" t="s">
        <v>187</v>
      </c>
      <c r="M5" s="53" t="s">
        <v>187</v>
      </c>
      <c r="N5" s="53" t="s">
        <v>187</v>
      </c>
      <c r="O5" s="53" t="s">
        <v>187</v>
      </c>
      <c r="P5" s="53" t="s">
        <v>187</v>
      </c>
      <c r="Q5" s="53" t="s">
        <v>187</v>
      </c>
      <c r="R5" s="53" t="s">
        <v>187</v>
      </c>
    </row>
    <row r="6" spans="1:18" x14ac:dyDescent="0.25">
      <c r="A6" s="34" t="s">
        <v>92</v>
      </c>
      <c r="B6" s="34" t="s">
        <v>86</v>
      </c>
      <c r="C6" s="34" t="s">
        <v>188</v>
      </c>
      <c r="D6" s="34" t="s">
        <v>2</v>
      </c>
      <c r="E6" s="34" t="s">
        <v>189</v>
      </c>
      <c r="F6" s="34" t="s">
        <v>10</v>
      </c>
      <c r="G6" s="34" t="s">
        <v>190</v>
      </c>
      <c r="H6" s="34" t="s">
        <v>191</v>
      </c>
      <c r="I6" s="34" t="s">
        <v>192</v>
      </c>
      <c r="J6" s="34" t="s">
        <v>193</v>
      </c>
      <c r="K6" s="34" t="s">
        <v>194</v>
      </c>
      <c r="L6" s="34" t="s">
        <v>195</v>
      </c>
      <c r="M6" s="34" t="s">
        <v>196</v>
      </c>
      <c r="N6" s="34" t="s">
        <v>197</v>
      </c>
      <c r="O6" s="34" t="s">
        <v>198</v>
      </c>
      <c r="P6" s="34" t="s">
        <v>199</v>
      </c>
      <c r="Q6" s="34" t="s">
        <v>200</v>
      </c>
      <c r="R6" s="34" t="s">
        <v>201</v>
      </c>
    </row>
    <row r="7" spans="1:18" ht="96.6" hidden="1" x14ac:dyDescent="0.25">
      <c r="A7" s="33" t="s">
        <v>108</v>
      </c>
      <c r="B7" s="33" t="s">
        <v>55</v>
      </c>
      <c r="C7" s="33" t="s">
        <v>202</v>
      </c>
      <c r="D7" s="33" t="s">
        <v>5</v>
      </c>
      <c r="E7" s="33" t="s">
        <v>203</v>
      </c>
      <c r="F7" s="33" t="s">
        <v>11</v>
      </c>
      <c r="G7" s="33" t="s">
        <v>204</v>
      </c>
      <c r="H7" s="33" t="s">
        <v>205</v>
      </c>
      <c r="I7" s="33" t="s">
        <v>206</v>
      </c>
      <c r="J7" s="33">
        <v>2478.87</v>
      </c>
      <c r="K7" s="33">
        <v>0.30991999999999997</v>
      </c>
      <c r="L7" s="33">
        <v>33.895679999999999</v>
      </c>
      <c r="Q7" s="33" t="s">
        <v>207</v>
      </c>
      <c r="R7" s="33">
        <v>2023</v>
      </c>
    </row>
    <row r="8" spans="1:18" ht="96.6" hidden="1" x14ac:dyDescent="0.25">
      <c r="A8" s="33" t="s">
        <v>108</v>
      </c>
      <c r="B8" s="33" t="s">
        <v>61</v>
      </c>
      <c r="C8" s="33" t="s">
        <v>202</v>
      </c>
      <c r="D8" s="33" t="s">
        <v>5</v>
      </c>
      <c r="E8" s="33" t="s">
        <v>203</v>
      </c>
      <c r="F8" s="33" t="s">
        <v>11</v>
      </c>
      <c r="G8" s="33" t="s">
        <v>204</v>
      </c>
      <c r="H8" s="33" t="s">
        <v>205</v>
      </c>
      <c r="I8" s="33" t="s">
        <v>206</v>
      </c>
      <c r="J8" s="33">
        <v>2478.87</v>
      </c>
      <c r="K8" s="33">
        <v>0.30991999999999997</v>
      </c>
      <c r="L8" s="33">
        <v>33.895679999999999</v>
      </c>
      <c r="Q8" s="33" t="s">
        <v>207</v>
      </c>
      <c r="R8" s="33">
        <v>2023</v>
      </c>
    </row>
    <row r="9" spans="1:18" ht="96.6" hidden="1" x14ac:dyDescent="0.25">
      <c r="A9" s="33" t="s">
        <v>157</v>
      </c>
      <c r="B9" s="33" t="s">
        <v>72</v>
      </c>
      <c r="C9" s="33" t="s">
        <v>202</v>
      </c>
      <c r="D9" s="33" t="s">
        <v>5</v>
      </c>
      <c r="E9" s="33" t="s">
        <v>203</v>
      </c>
      <c r="F9" s="33" t="s">
        <v>11</v>
      </c>
      <c r="G9" s="33" t="s">
        <v>204</v>
      </c>
      <c r="H9" s="33" t="s">
        <v>205</v>
      </c>
      <c r="I9" s="33" t="s">
        <v>206</v>
      </c>
      <c r="J9" s="33">
        <v>2478.87</v>
      </c>
      <c r="K9" s="33">
        <v>0.30991999999999997</v>
      </c>
      <c r="L9" s="33">
        <v>33.895679999999999</v>
      </c>
      <c r="Q9" s="33" t="s">
        <v>207</v>
      </c>
      <c r="R9" s="33">
        <v>2023</v>
      </c>
    </row>
    <row r="10" spans="1:18" ht="96.6" hidden="1" x14ac:dyDescent="0.25">
      <c r="A10" s="33" t="s">
        <v>123</v>
      </c>
      <c r="B10" s="33" t="s">
        <v>59</v>
      </c>
      <c r="C10" s="33" t="s">
        <v>202</v>
      </c>
      <c r="D10" s="33" t="s">
        <v>5</v>
      </c>
      <c r="E10" s="33" t="s">
        <v>203</v>
      </c>
      <c r="F10" s="33" t="s">
        <v>11</v>
      </c>
      <c r="G10" s="33" t="s">
        <v>204</v>
      </c>
      <c r="H10" s="33" t="s">
        <v>205</v>
      </c>
      <c r="I10" s="33" t="s">
        <v>206</v>
      </c>
      <c r="J10" s="33">
        <v>2478.87</v>
      </c>
      <c r="K10" s="33">
        <v>0.30991999999999997</v>
      </c>
      <c r="L10" s="33">
        <v>33.895679999999999</v>
      </c>
      <c r="Q10" s="33" t="s">
        <v>207</v>
      </c>
      <c r="R10" s="33">
        <v>2023</v>
      </c>
    </row>
    <row r="11" spans="1:18" ht="96.6" hidden="1" x14ac:dyDescent="0.25">
      <c r="A11" s="33" t="s">
        <v>123</v>
      </c>
      <c r="B11" s="33" t="s">
        <v>60</v>
      </c>
      <c r="C11" s="33" t="s">
        <v>202</v>
      </c>
      <c r="D11" s="33" t="s">
        <v>5</v>
      </c>
      <c r="E11" s="33" t="s">
        <v>203</v>
      </c>
      <c r="F11" s="33" t="s">
        <v>11</v>
      </c>
      <c r="G11" s="33" t="s">
        <v>204</v>
      </c>
      <c r="H11" s="33" t="s">
        <v>205</v>
      </c>
      <c r="I11" s="33" t="s">
        <v>206</v>
      </c>
      <c r="J11" s="33">
        <v>2478.87</v>
      </c>
      <c r="K11" s="33">
        <v>0.30991999999999997</v>
      </c>
      <c r="L11" s="33">
        <v>33.895679999999999</v>
      </c>
      <c r="Q11" s="33" t="s">
        <v>207</v>
      </c>
      <c r="R11" s="33">
        <v>2023</v>
      </c>
    </row>
    <row r="12" spans="1:18" ht="96.6" hidden="1" x14ac:dyDescent="0.25">
      <c r="A12" s="33" t="s">
        <v>123</v>
      </c>
      <c r="B12" s="33" t="s">
        <v>63</v>
      </c>
      <c r="C12" s="33" t="s">
        <v>202</v>
      </c>
      <c r="D12" s="33" t="s">
        <v>5</v>
      </c>
      <c r="E12" s="33" t="s">
        <v>203</v>
      </c>
      <c r="F12" s="33" t="s">
        <v>11</v>
      </c>
      <c r="G12" s="33" t="s">
        <v>204</v>
      </c>
      <c r="H12" s="33" t="s">
        <v>205</v>
      </c>
      <c r="I12" s="33" t="s">
        <v>206</v>
      </c>
      <c r="J12" s="33">
        <v>2478.87</v>
      </c>
      <c r="K12" s="33">
        <v>0.30991999999999997</v>
      </c>
      <c r="L12" s="33">
        <v>33.895679999999999</v>
      </c>
      <c r="Q12" s="33" t="s">
        <v>207</v>
      </c>
      <c r="R12" s="33">
        <v>2023</v>
      </c>
    </row>
    <row r="13" spans="1:18" ht="96.6" hidden="1" x14ac:dyDescent="0.25">
      <c r="A13" s="33" t="s">
        <v>123</v>
      </c>
      <c r="B13" s="33" t="s">
        <v>64</v>
      </c>
      <c r="C13" s="33" t="s">
        <v>202</v>
      </c>
      <c r="D13" s="33" t="s">
        <v>5</v>
      </c>
      <c r="E13" s="33" t="s">
        <v>203</v>
      </c>
      <c r="F13" s="33" t="s">
        <v>11</v>
      </c>
      <c r="G13" s="33" t="s">
        <v>204</v>
      </c>
      <c r="H13" s="33" t="s">
        <v>205</v>
      </c>
      <c r="I13" s="33" t="s">
        <v>206</v>
      </c>
      <c r="J13" s="33">
        <v>2478.87</v>
      </c>
      <c r="K13" s="33">
        <v>0.30991999999999997</v>
      </c>
      <c r="L13" s="33">
        <v>33.895679999999999</v>
      </c>
      <c r="Q13" s="33" t="s">
        <v>207</v>
      </c>
      <c r="R13" s="33">
        <v>2023</v>
      </c>
    </row>
    <row r="14" spans="1:18" ht="96.6" hidden="1" x14ac:dyDescent="0.25">
      <c r="A14" s="33" t="s">
        <v>123</v>
      </c>
      <c r="B14" s="33" t="s">
        <v>66</v>
      </c>
      <c r="C14" s="33" t="s">
        <v>202</v>
      </c>
      <c r="D14" s="33" t="s">
        <v>5</v>
      </c>
      <c r="E14" s="33" t="s">
        <v>203</v>
      </c>
      <c r="F14" s="33" t="s">
        <v>11</v>
      </c>
      <c r="G14" s="33" t="s">
        <v>204</v>
      </c>
      <c r="H14" s="33" t="s">
        <v>205</v>
      </c>
      <c r="I14" s="33" t="s">
        <v>206</v>
      </c>
      <c r="J14" s="33">
        <v>2478.87</v>
      </c>
      <c r="K14" s="33">
        <v>0.30991999999999997</v>
      </c>
      <c r="L14" s="33">
        <v>33.895679999999999</v>
      </c>
      <c r="Q14" s="33" t="s">
        <v>207</v>
      </c>
      <c r="R14" s="33">
        <v>2023</v>
      </c>
    </row>
    <row r="15" spans="1:18" ht="96.6" hidden="1" x14ac:dyDescent="0.25">
      <c r="A15" s="33" t="s">
        <v>123</v>
      </c>
      <c r="B15" s="33" t="s">
        <v>67</v>
      </c>
      <c r="C15" s="33" t="s">
        <v>202</v>
      </c>
      <c r="D15" s="33" t="s">
        <v>5</v>
      </c>
      <c r="E15" s="33" t="s">
        <v>203</v>
      </c>
      <c r="F15" s="33" t="s">
        <v>11</v>
      </c>
      <c r="G15" s="33" t="s">
        <v>204</v>
      </c>
      <c r="H15" s="33" t="s">
        <v>205</v>
      </c>
      <c r="I15" s="33" t="s">
        <v>206</v>
      </c>
      <c r="J15" s="33">
        <v>2478.87</v>
      </c>
      <c r="K15" s="33">
        <v>0.30991999999999997</v>
      </c>
      <c r="L15" s="33">
        <v>33.895679999999999</v>
      </c>
      <c r="Q15" s="33" t="s">
        <v>207</v>
      </c>
      <c r="R15" s="33">
        <v>2023</v>
      </c>
    </row>
    <row r="16" spans="1:18" ht="96.6" hidden="1" x14ac:dyDescent="0.25">
      <c r="A16" s="33" t="s">
        <v>123</v>
      </c>
      <c r="B16" s="33" t="s">
        <v>68</v>
      </c>
      <c r="C16" s="33" t="s">
        <v>202</v>
      </c>
      <c r="D16" s="33" t="s">
        <v>5</v>
      </c>
      <c r="E16" s="33" t="s">
        <v>203</v>
      </c>
      <c r="F16" s="33" t="s">
        <v>11</v>
      </c>
      <c r="G16" s="33" t="s">
        <v>204</v>
      </c>
      <c r="H16" s="33" t="s">
        <v>205</v>
      </c>
      <c r="I16" s="33" t="s">
        <v>206</v>
      </c>
      <c r="J16" s="33">
        <v>2478.87</v>
      </c>
      <c r="K16" s="33">
        <v>0.30991999999999997</v>
      </c>
      <c r="L16" s="33">
        <v>33.895679999999999</v>
      </c>
      <c r="Q16" s="33" t="s">
        <v>207</v>
      </c>
      <c r="R16" s="33">
        <v>2023</v>
      </c>
    </row>
    <row r="17" spans="1:18" ht="96.6" hidden="1" x14ac:dyDescent="0.25">
      <c r="A17" s="33" t="s">
        <v>123</v>
      </c>
      <c r="B17" s="33" t="s">
        <v>77</v>
      </c>
      <c r="C17" s="33" t="s">
        <v>202</v>
      </c>
      <c r="D17" s="33" t="s">
        <v>5</v>
      </c>
      <c r="E17" s="33" t="s">
        <v>203</v>
      </c>
      <c r="F17" s="33" t="s">
        <v>11</v>
      </c>
      <c r="G17" s="33" t="s">
        <v>204</v>
      </c>
      <c r="H17" s="33" t="s">
        <v>205</v>
      </c>
      <c r="I17" s="33" t="s">
        <v>206</v>
      </c>
      <c r="J17" s="33">
        <v>2478.87</v>
      </c>
      <c r="K17" s="33">
        <v>0.30991999999999997</v>
      </c>
      <c r="L17" s="33">
        <v>33.895679999999999</v>
      </c>
      <c r="Q17" s="33" t="s">
        <v>207</v>
      </c>
      <c r="R17" s="33">
        <v>2023</v>
      </c>
    </row>
    <row r="18" spans="1:18" ht="96.6" hidden="1" x14ac:dyDescent="0.25">
      <c r="A18" s="33" t="s">
        <v>113</v>
      </c>
      <c r="B18" s="33" t="s">
        <v>56</v>
      </c>
      <c r="C18" s="33" t="s">
        <v>202</v>
      </c>
      <c r="D18" s="33" t="s">
        <v>5</v>
      </c>
      <c r="E18" s="33" t="s">
        <v>203</v>
      </c>
      <c r="F18" s="33" t="s">
        <v>11</v>
      </c>
      <c r="G18" s="33" t="s">
        <v>204</v>
      </c>
      <c r="H18" s="33" t="s">
        <v>205</v>
      </c>
      <c r="I18" s="33" t="s">
        <v>206</v>
      </c>
      <c r="J18" s="33">
        <v>2478.87</v>
      </c>
      <c r="K18" s="33">
        <v>0.30991999999999997</v>
      </c>
      <c r="L18" s="33">
        <v>33.895679999999999</v>
      </c>
      <c r="Q18" s="33" t="s">
        <v>207</v>
      </c>
      <c r="R18" s="33">
        <v>2023</v>
      </c>
    </row>
    <row r="19" spans="1:18" ht="96.6" hidden="1" x14ac:dyDescent="0.25">
      <c r="A19" s="33" t="s">
        <v>113</v>
      </c>
      <c r="B19" s="33" t="s">
        <v>62</v>
      </c>
      <c r="C19" s="33" t="s">
        <v>202</v>
      </c>
      <c r="D19" s="33" t="s">
        <v>5</v>
      </c>
      <c r="E19" s="33" t="s">
        <v>203</v>
      </c>
      <c r="F19" s="33" t="s">
        <v>11</v>
      </c>
      <c r="G19" s="33" t="s">
        <v>204</v>
      </c>
      <c r="H19" s="33" t="s">
        <v>205</v>
      </c>
      <c r="I19" s="33" t="s">
        <v>206</v>
      </c>
      <c r="J19" s="33">
        <v>2478.87</v>
      </c>
      <c r="K19" s="33">
        <v>0.30991999999999997</v>
      </c>
      <c r="L19" s="33">
        <v>33.895679999999999</v>
      </c>
      <c r="Q19" s="33" t="s">
        <v>207</v>
      </c>
      <c r="R19" s="33">
        <v>2023</v>
      </c>
    </row>
    <row r="20" spans="1:18" ht="96.6" hidden="1" x14ac:dyDescent="0.25">
      <c r="A20" s="33" t="s">
        <v>113</v>
      </c>
      <c r="B20" s="33" t="s">
        <v>65</v>
      </c>
      <c r="C20" s="33" t="s">
        <v>202</v>
      </c>
      <c r="D20" s="33" t="s">
        <v>5</v>
      </c>
      <c r="E20" s="33" t="s">
        <v>203</v>
      </c>
      <c r="F20" s="33" t="s">
        <v>11</v>
      </c>
      <c r="G20" s="33" t="s">
        <v>204</v>
      </c>
      <c r="H20" s="33" t="s">
        <v>205</v>
      </c>
      <c r="I20" s="33" t="s">
        <v>206</v>
      </c>
      <c r="J20" s="33">
        <v>2478.87</v>
      </c>
      <c r="K20" s="33">
        <v>0.30991999999999997</v>
      </c>
      <c r="L20" s="33">
        <v>33.895679999999999</v>
      </c>
      <c r="Q20" s="33" t="s">
        <v>207</v>
      </c>
      <c r="R20" s="33">
        <v>2023</v>
      </c>
    </row>
    <row r="21" spans="1:18" ht="96.6" hidden="1" x14ac:dyDescent="0.25">
      <c r="A21" s="33" t="s">
        <v>172</v>
      </c>
      <c r="B21" s="33" t="s">
        <v>78</v>
      </c>
      <c r="C21" s="33" t="s">
        <v>202</v>
      </c>
      <c r="D21" s="33" t="s">
        <v>5</v>
      </c>
      <c r="E21" s="33" t="s">
        <v>203</v>
      </c>
      <c r="F21" s="33" t="s">
        <v>11</v>
      </c>
      <c r="G21" s="33" t="s">
        <v>204</v>
      </c>
      <c r="H21" s="33" t="s">
        <v>205</v>
      </c>
      <c r="I21" s="33" t="s">
        <v>206</v>
      </c>
      <c r="J21" s="33">
        <v>2478.87</v>
      </c>
      <c r="K21" s="33">
        <v>0.30991999999999997</v>
      </c>
      <c r="L21" s="33">
        <v>33.895679999999999</v>
      </c>
      <c r="Q21" s="33" t="s">
        <v>207</v>
      </c>
      <c r="R21" s="33">
        <v>2023</v>
      </c>
    </row>
    <row r="22" spans="1:18" ht="96.6" hidden="1" x14ac:dyDescent="0.25">
      <c r="A22" s="33" t="s">
        <v>118</v>
      </c>
      <c r="B22" s="33" t="s">
        <v>57</v>
      </c>
      <c r="C22" s="33" t="s">
        <v>202</v>
      </c>
      <c r="D22" s="33" t="s">
        <v>5</v>
      </c>
      <c r="E22" s="33" t="s">
        <v>203</v>
      </c>
      <c r="F22" s="33" t="s">
        <v>11</v>
      </c>
      <c r="G22" s="33" t="s">
        <v>204</v>
      </c>
      <c r="H22" s="33" t="s">
        <v>205</v>
      </c>
      <c r="I22" s="33" t="s">
        <v>206</v>
      </c>
      <c r="J22" s="33">
        <v>2478.87</v>
      </c>
      <c r="K22" s="33">
        <v>0.30991999999999997</v>
      </c>
      <c r="L22" s="33">
        <v>33.895679999999999</v>
      </c>
      <c r="Q22" s="33" t="s">
        <v>207</v>
      </c>
      <c r="R22" s="33">
        <v>2023</v>
      </c>
    </row>
    <row r="23" spans="1:18" ht="96.6" hidden="1" x14ac:dyDescent="0.25">
      <c r="A23" s="33" t="s">
        <v>118</v>
      </c>
      <c r="B23" s="33" t="s">
        <v>58</v>
      </c>
      <c r="C23" s="33" t="s">
        <v>202</v>
      </c>
      <c r="D23" s="33" t="s">
        <v>5</v>
      </c>
      <c r="E23" s="33" t="s">
        <v>203</v>
      </c>
      <c r="F23" s="33" t="s">
        <v>11</v>
      </c>
      <c r="G23" s="33" t="s">
        <v>204</v>
      </c>
      <c r="H23" s="33" t="s">
        <v>205</v>
      </c>
      <c r="I23" s="33" t="s">
        <v>206</v>
      </c>
      <c r="J23" s="33">
        <v>2478.87</v>
      </c>
      <c r="K23" s="33">
        <v>0.30991999999999997</v>
      </c>
      <c r="L23" s="33">
        <v>33.895679999999999</v>
      </c>
      <c r="Q23" s="33" t="s">
        <v>207</v>
      </c>
      <c r="R23" s="33">
        <v>2023</v>
      </c>
    </row>
    <row r="24" spans="1:18" ht="96.6" hidden="1" x14ac:dyDescent="0.25">
      <c r="A24" s="33" t="s">
        <v>118</v>
      </c>
      <c r="B24" s="33" t="s">
        <v>69</v>
      </c>
      <c r="C24" s="33" t="s">
        <v>202</v>
      </c>
      <c r="D24" s="33" t="s">
        <v>5</v>
      </c>
      <c r="E24" s="33" t="s">
        <v>203</v>
      </c>
      <c r="F24" s="33" t="s">
        <v>11</v>
      </c>
      <c r="G24" s="33" t="s">
        <v>204</v>
      </c>
      <c r="H24" s="33" t="s">
        <v>205</v>
      </c>
      <c r="I24" s="33" t="s">
        <v>206</v>
      </c>
      <c r="J24" s="33">
        <v>2478.87</v>
      </c>
      <c r="K24" s="33">
        <v>0.30991999999999997</v>
      </c>
      <c r="L24" s="33">
        <v>33.895679999999999</v>
      </c>
      <c r="Q24" s="33" t="s">
        <v>207</v>
      </c>
      <c r="R24" s="33">
        <v>2023</v>
      </c>
    </row>
    <row r="25" spans="1:18" ht="96.6" hidden="1" x14ac:dyDescent="0.25">
      <c r="A25" s="33" t="s">
        <v>118</v>
      </c>
      <c r="B25" s="33" t="s">
        <v>70</v>
      </c>
      <c r="C25" s="33" t="s">
        <v>202</v>
      </c>
      <c r="D25" s="33" t="s">
        <v>5</v>
      </c>
      <c r="E25" s="33" t="s">
        <v>203</v>
      </c>
      <c r="F25" s="33" t="s">
        <v>11</v>
      </c>
      <c r="G25" s="33" t="s">
        <v>204</v>
      </c>
      <c r="H25" s="33" t="s">
        <v>205</v>
      </c>
      <c r="I25" s="33" t="s">
        <v>206</v>
      </c>
      <c r="J25" s="33">
        <v>2478.87</v>
      </c>
      <c r="K25" s="33">
        <v>0.30991999999999997</v>
      </c>
      <c r="L25" s="33">
        <v>33.895679999999999</v>
      </c>
      <c r="Q25" s="33" t="s">
        <v>207</v>
      </c>
      <c r="R25" s="33">
        <v>2023</v>
      </c>
    </row>
    <row r="26" spans="1:18" ht="96.6" hidden="1" x14ac:dyDescent="0.25">
      <c r="A26" s="33" t="s">
        <v>118</v>
      </c>
      <c r="B26" s="33" t="s">
        <v>71</v>
      </c>
      <c r="C26" s="33" t="s">
        <v>202</v>
      </c>
      <c r="D26" s="33" t="s">
        <v>5</v>
      </c>
      <c r="E26" s="33" t="s">
        <v>203</v>
      </c>
      <c r="F26" s="33" t="s">
        <v>11</v>
      </c>
      <c r="G26" s="33" t="s">
        <v>204</v>
      </c>
      <c r="H26" s="33" t="s">
        <v>205</v>
      </c>
      <c r="I26" s="33" t="s">
        <v>206</v>
      </c>
      <c r="J26" s="33">
        <v>2478.87</v>
      </c>
      <c r="K26" s="33">
        <v>0.30991999999999997</v>
      </c>
      <c r="L26" s="33">
        <v>33.895679999999999</v>
      </c>
      <c r="Q26" s="33" t="s">
        <v>207</v>
      </c>
      <c r="R26" s="33">
        <v>2023</v>
      </c>
    </row>
    <row r="27" spans="1:18" ht="96.6" hidden="1" x14ac:dyDescent="0.25">
      <c r="A27" s="33" t="s">
        <v>118</v>
      </c>
      <c r="B27" s="33" t="s">
        <v>73</v>
      </c>
      <c r="C27" s="33" t="s">
        <v>202</v>
      </c>
      <c r="D27" s="33" t="s">
        <v>5</v>
      </c>
      <c r="E27" s="33" t="s">
        <v>203</v>
      </c>
      <c r="F27" s="33" t="s">
        <v>11</v>
      </c>
      <c r="G27" s="33" t="s">
        <v>204</v>
      </c>
      <c r="H27" s="33" t="s">
        <v>205</v>
      </c>
      <c r="I27" s="33" t="s">
        <v>206</v>
      </c>
      <c r="J27" s="33">
        <v>2478.87</v>
      </c>
      <c r="K27" s="33">
        <v>0.30991999999999997</v>
      </c>
      <c r="L27" s="33">
        <v>33.895679999999999</v>
      </c>
      <c r="Q27" s="33" t="s">
        <v>207</v>
      </c>
      <c r="R27" s="33">
        <v>2023</v>
      </c>
    </row>
    <row r="28" spans="1:18" ht="96.6" hidden="1" x14ac:dyDescent="0.25">
      <c r="A28" s="33" t="s">
        <v>118</v>
      </c>
      <c r="B28" s="33" t="s">
        <v>74</v>
      </c>
      <c r="C28" s="33" t="s">
        <v>202</v>
      </c>
      <c r="D28" s="33" t="s">
        <v>5</v>
      </c>
      <c r="E28" s="33" t="s">
        <v>203</v>
      </c>
      <c r="F28" s="33" t="s">
        <v>11</v>
      </c>
      <c r="G28" s="33" t="s">
        <v>204</v>
      </c>
      <c r="H28" s="33" t="s">
        <v>205</v>
      </c>
      <c r="I28" s="33" t="s">
        <v>206</v>
      </c>
      <c r="J28" s="33">
        <v>2478.87</v>
      </c>
      <c r="K28" s="33">
        <v>0.30991999999999997</v>
      </c>
      <c r="L28" s="33">
        <v>33.895679999999999</v>
      </c>
      <c r="Q28" s="33" t="s">
        <v>207</v>
      </c>
      <c r="R28" s="33">
        <v>2023</v>
      </c>
    </row>
    <row r="29" spans="1:18" ht="96.6" hidden="1" x14ac:dyDescent="0.25">
      <c r="A29" s="33" t="s">
        <v>118</v>
      </c>
      <c r="B29" s="33" t="s">
        <v>75</v>
      </c>
      <c r="C29" s="33" t="s">
        <v>202</v>
      </c>
      <c r="D29" s="33" t="s">
        <v>5</v>
      </c>
      <c r="E29" s="33" t="s">
        <v>203</v>
      </c>
      <c r="F29" s="33" t="s">
        <v>11</v>
      </c>
      <c r="G29" s="33" t="s">
        <v>204</v>
      </c>
      <c r="H29" s="33" t="s">
        <v>205</v>
      </c>
      <c r="I29" s="33" t="s">
        <v>206</v>
      </c>
      <c r="J29" s="33">
        <v>2478.87</v>
      </c>
      <c r="K29" s="33">
        <v>0.30991999999999997</v>
      </c>
      <c r="L29" s="33">
        <v>33.895679999999999</v>
      </c>
      <c r="Q29" s="33" t="s">
        <v>207</v>
      </c>
      <c r="R29" s="33">
        <v>2023</v>
      </c>
    </row>
    <row r="30" spans="1:18" ht="96.6" hidden="1" x14ac:dyDescent="0.25">
      <c r="A30" s="33" t="s">
        <v>118</v>
      </c>
      <c r="B30" s="33" t="s">
        <v>76</v>
      </c>
      <c r="C30" s="33" t="s">
        <v>202</v>
      </c>
      <c r="D30" s="33" t="s">
        <v>5</v>
      </c>
      <c r="E30" s="33" t="s">
        <v>203</v>
      </c>
      <c r="F30" s="33" t="s">
        <v>11</v>
      </c>
      <c r="G30" s="33" t="s">
        <v>204</v>
      </c>
      <c r="H30" s="33" t="s">
        <v>205</v>
      </c>
      <c r="I30" s="33" t="s">
        <v>206</v>
      </c>
      <c r="J30" s="33">
        <v>2478.87</v>
      </c>
      <c r="K30" s="33">
        <v>0.30991999999999997</v>
      </c>
      <c r="L30" s="33">
        <v>33.895679999999999</v>
      </c>
      <c r="Q30" s="33" t="s">
        <v>207</v>
      </c>
      <c r="R30" s="33">
        <v>2023</v>
      </c>
    </row>
    <row r="31" spans="1:18" ht="27.6" hidden="1" x14ac:dyDescent="0.25">
      <c r="A31" s="33" t="s">
        <v>108</v>
      </c>
      <c r="B31" s="33" t="s">
        <v>55</v>
      </c>
      <c r="C31" s="33" t="s">
        <v>208</v>
      </c>
      <c r="D31" s="33" t="s">
        <v>5</v>
      </c>
      <c r="E31" s="33" t="s">
        <v>203</v>
      </c>
      <c r="F31" s="33" t="s">
        <v>12</v>
      </c>
      <c r="G31" s="33" t="s">
        <v>204</v>
      </c>
      <c r="H31" s="33" t="s">
        <v>209</v>
      </c>
      <c r="I31" s="33" t="s">
        <v>209</v>
      </c>
      <c r="J31" s="33">
        <v>2478.87</v>
      </c>
      <c r="K31" s="33">
        <v>0.30991999999999997</v>
      </c>
      <c r="L31" s="33">
        <v>33.895679999999999</v>
      </c>
      <c r="Q31" s="33" t="s">
        <v>210</v>
      </c>
      <c r="R31" s="33" t="s">
        <v>208</v>
      </c>
    </row>
    <row r="32" spans="1:18" ht="27.6" hidden="1" x14ac:dyDescent="0.25">
      <c r="A32" s="33" t="s">
        <v>108</v>
      </c>
      <c r="B32" s="33" t="s">
        <v>61</v>
      </c>
      <c r="C32" s="33" t="s">
        <v>208</v>
      </c>
      <c r="D32" s="33" t="s">
        <v>5</v>
      </c>
      <c r="E32" s="33" t="s">
        <v>203</v>
      </c>
      <c r="F32" s="33" t="s">
        <v>12</v>
      </c>
      <c r="G32" s="33" t="s">
        <v>204</v>
      </c>
      <c r="H32" s="33" t="s">
        <v>209</v>
      </c>
      <c r="I32" s="33" t="s">
        <v>209</v>
      </c>
      <c r="J32" s="33">
        <v>2478.87</v>
      </c>
      <c r="K32" s="33">
        <v>0.30991999999999997</v>
      </c>
      <c r="L32" s="33">
        <v>33.895679999999999</v>
      </c>
      <c r="Q32" s="33" t="s">
        <v>210</v>
      </c>
      <c r="R32" s="33" t="s">
        <v>208</v>
      </c>
    </row>
    <row r="33" spans="1:18" ht="27.6" hidden="1" x14ac:dyDescent="0.25">
      <c r="A33" s="33" t="s">
        <v>157</v>
      </c>
      <c r="B33" s="33" t="s">
        <v>72</v>
      </c>
      <c r="C33" s="33" t="s">
        <v>208</v>
      </c>
      <c r="D33" s="33" t="s">
        <v>5</v>
      </c>
      <c r="E33" s="33" t="s">
        <v>203</v>
      </c>
      <c r="F33" s="33" t="s">
        <v>12</v>
      </c>
      <c r="G33" s="33" t="s">
        <v>204</v>
      </c>
      <c r="H33" s="33" t="s">
        <v>209</v>
      </c>
      <c r="I33" s="33" t="s">
        <v>209</v>
      </c>
      <c r="J33" s="33">
        <v>2478.87</v>
      </c>
      <c r="K33" s="33">
        <v>0.30991999999999997</v>
      </c>
      <c r="L33" s="33">
        <v>33.895679999999999</v>
      </c>
      <c r="Q33" s="33" t="s">
        <v>210</v>
      </c>
      <c r="R33" s="33" t="s">
        <v>208</v>
      </c>
    </row>
    <row r="34" spans="1:18" ht="27.6" hidden="1" x14ac:dyDescent="0.25">
      <c r="A34" s="33" t="s">
        <v>123</v>
      </c>
      <c r="B34" s="33" t="s">
        <v>59</v>
      </c>
      <c r="C34" s="33" t="s">
        <v>208</v>
      </c>
      <c r="D34" s="33" t="s">
        <v>5</v>
      </c>
      <c r="E34" s="33" t="s">
        <v>203</v>
      </c>
      <c r="F34" s="33" t="s">
        <v>12</v>
      </c>
      <c r="G34" s="33" t="s">
        <v>204</v>
      </c>
      <c r="H34" s="33" t="s">
        <v>209</v>
      </c>
      <c r="I34" s="33" t="s">
        <v>209</v>
      </c>
      <c r="J34" s="33">
        <v>2478.87</v>
      </c>
      <c r="K34" s="33">
        <v>0.30991999999999997</v>
      </c>
      <c r="L34" s="33">
        <v>33.895679999999999</v>
      </c>
      <c r="Q34" s="33" t="s">
        <v>210</v>
      </c>
      <c r="R34" s="33" t="s">
        <v>208</v>
      </c>
    </row>
    <row r="35" spans="1:18" ht="27.6" hidden="1" x14ac:dyDescent="0.25">
      <c r="A35" s="33" t="s">
        <v>123</v>
      </c>
      <c r="B35" s="33" t="s">
        <v>60</v>
      </c>
      <c r="C35" s="33" t="s">
        <v>208</v>
      </c>
      <c r="D35" s="33" t="s">
        <v>5</v>
      </c>
      <c r="E35" s="33" t="s">
        <v>203</v>
      </c>
      <c r="F35" s="33" t="s">
        <v>12</v>
      </c>
      <c r="G35" s="33" t="s">
        <v>204</v>
      </c>
      <c r="H35" s="33" t="s">
        <v>209</v>
      </c>
      <c r="I35" s="33" t="s">
        <v>209</v>
      </c>
      <c r="J35" s="33">
        <v>2478.87</v>
      </c>
      <c r="K35" s="33">
        <v>0.30991999999999997</v>
      </c>
      <c r="L35" s="33">
        <v>33.895679999999999</v>
      </c>
      <c r="Q35" s="33" t="s">
        <v>210</v>
      </c>
      <c r="R35" s="33" t="s">
        <v>208</v>
      </c>
    </row>
    <row r="36" spans="1:18" ht="27.6" hidden="1" x14ac:dyDescent="0.25">
      <c r="A36" s="33" t="s">
        <v>123</v>
      </c>
      <c r="B36" s="33" t="s">
        <v>63</v>
      </c>
      <c r="C36" s="33" t="s">
        <v>208</v>
      </c>
      <c r="D36" s="33" t="s">
        <v>5</v>
      </c>
      <c r="E36" s="33" t="s">
        <v>203</v>
      </c>
      <c r="F36" s="33" t="s">
        <v>12</v>
      </c>
      <c r="G36" s="33" t="s">
        <v>204</v>
      </c>
      <c r="H36" s="33" t="s">
        <v>209</v>
      </c>
      <c r="I36" s="33" t="s">
        <v>209</v>
      </c>
      <c r="J36" s="33">
        <v>2478.87</v>
      </c>
      <c r="K36" s="33">
        <v>0.30991999999999997</v>
      </c>
      <c r="L36" s="33">
        <v>33.895679999999999</v>
      </c>
      <c r="Q36" s="33" t="s">
        <v>210</v>
      </c>
      <c r="R36" s="33" t="s">
        <v>208</v>
      </c>
    </row>
    <row r="37" spans="1:18" ht="27.6" hidden="1" x14ac:dyDescent="0.25">
      <c r="A37" s="33" t="s">
        <v>123</v>
      </c>
      <c r="B37" s="33" t="s">
        <v>64</v>
      </c>
      <c r="C37" s="33" t="s">
        <v>208</v>
      </c>
      <c r="D37" s="33" t="s">
        <v>5</v>
      </c>
      <c r="E37" s="33" t="s">
        <v>203</v>
      </c>
      <c r="F37" s="33" t="s">
        <v>12</v>
      </c>
      <c r="G37" s="33" t="s">
        <v>204</v>
      </c>
      <c r="H37" s="33" t="s">
        <v>209</v>
      </c>
      <c r="I37" s="33" t="s">
        <v>209</v>
      </c>
      <c r="J37" s="33">
        <v>2478.87</v>
      </c>
      <c r="K37" s="33">
        <v>0.30991999999999997</v>
      </c>
      <c r="L37" s="33">
        <v>33.895679999999999</v>
      </c>
      <c r="Q37" s="33" t="s">
        <v>210</v>
      </c>
      <c r="R37" s="33" t="s">
        <v>208</v>
      </c>
    </row>
    <row r="38" spans="1:18" ht="27.6" hidden="1" x14ac:dyDescent="0.25">
      <c r="A38" s="33" t="s">
        <v>123</v>
      </c>
      <c r="B38" s="33" t="s">
        <v>66</v>
      </c>
      <c r="C38" s="33" t="s">
        <v>208</v>
      </c>
      <c r="D38" s="33" t="s">
        <v>5</v>
      </c>
      <c r="E38" s="33" t="s">
        <v>203</v>
      </c>
      <c r="F38" s="33" t="s">
        <v>12</v>
      </c>
      <c r="G38" s="33" t="s">
        <v>204</v>
      </c>
      <c r="H38" s="33" t="s">
        <v>209</v>
      </c>
      <c r="I38" s="33" t="s">
        <v>209</v>
      </c>
      <c r="J38" s="33">
        <v>2478.87</v>
      </c>
      <c r="K38" s="33">
        <v>0.30991999999999997</v>
      </c>
      <c r="L38" s="33">
        <v>33.895679999999999</v>
      </c>
      <c r="Q38" s="33" t="s">
        <v>210</v>
      </c>
      <c r="R38" s="33" t="s">
        <v>208</v>
      </c>
    </row>
    <row r="39" spans="1:18" ht="27.6" hidden="1" x14ac:dyDescent="0.25">
      <c r="A39" s="33" t="s">
        <v>123</v>
      </c>
      <c r="B39" s="33" t="s">
        <v>67</v>
      </c>
      <c r="C39" s="33" t="s">
        <v>208</v>
      </c>
      <c r="D39" s="33" t="s">
        <v>5</v>
      </c>
      <c r="E39" s="33" t="s">
        <v>203</v>
      </c>
      <c r="F39" s="33" t="s">
        <v>12</v>
      </c>
      <c r="G39" s="33" t="s">
        <v>204</v>
      </c>
      <c r="H39" s="33" t="s">
        <v>209</v>
      </c>
      <c r="I39" s="33" t="s">
        <v>209</v>
      </c>
      <c r="J39" s="33">
        <v>2478.87</v>
      </c>
      <c r="K39" s="33">
        <v>0.30991999999999997</v>
      </c>
      <c r="L39" s="33">
        <v>33.895679999999999</v>
      </c>
      <c r="Q39" s="33" t="s">
        <v>210</v>
      </c>
      <c r="R39" s="33" t="s">
        <v>208</v>
      </c>
    </row>
    <row r="40" spans="1:18" ht="27.6" hidden="1" x14ac:dyDescent="0.25">
      <c r="A40" s="33" t="s">
        <v>123</v>
      </c>
      <c r="B40" s="33" t="s">
        <v>68</v>
      </c>
      <c r="C40" s="33" t="s">
        <v>208</v>
      </c>
      <c r="D40" s="33" t="s">
        <v>5</v>
      </c>
      <c r="E40" s="33" t="s">
        <v>203</v>
      </c>
      <c r="F40" s="33" t="s">
        <v>12</v>
      </c>
      <c r="G40" s="33" t="s">
        <v>204</v>
      </c>
      <c r="H40" s="33" t="s">
        <v>209</v>
      </c>
      <c r="I40" s="33" t="s">
        <v>209</v>
      </c>
      <c r="J40" s="33">
        <v>2478.87</v>
      </c>
      <c r="K40" s="33">
        <v>0.30991999999999997</v>
      </c>
      <c r="L40" s="33">
        <v>33.895679999999999</v>
      </c>
      <c r="Q40" s="33" t="s">
        <v>210</v>
      </c>
      <c r="R40" s="33" t="s">
        <v>208</v>
      </c>
    </row>
    <row r="41" spans="1:18" ht="27.6" hidden="1" x14ac:dyDescent="0.25">
      <c r="A41" s="33" t="s">
        <v>123</v>
      </c>
      <c r="B41" s="33" t="s">
        <v>77</v>
      </c>
      <c r="C41" s="33" t="s">
        <v>208</v>
      </c>
      <c r="D41" s="33" t="s">
        <v>5</v>
      </c>
      <c r="E41" s="33" t="s">
        <v>203</v>
      </c>
      <c r="F41" s="33" t="s">
        <v>12</v>
      </c>
      <c r="G41" s="33" t="s">
        <v>204</v>
      </c>
      <c r="H41" s="33" t="s">
        <v>209</v>
      </c>
      <c r="I41" s="33" t="s">
        <v>209</v>
      </c>
      <c r="J41" s="33">
        <v>2478.87</v>
      </c>
      <c r="K41" s="33">
        <v>0.30991999999999997</v>
      </c>
      <c r="L41" s="33">
        <v>33.895679999999999</v>
      </c>
      <c r="Q41" s="33" t="s">
        <v>210</v>
      </c>
      <c r="R41" s="33" t="s">
        <v>208</v>
      </c>
    </row>
    <row r="42" spans="1:18" ht="27.6" hidden="1" x14ac:dyDescent="0.25">
      <c r="A42" s="33" t="s">
        <v>113</v>
      </c>
      <c r="B42" s="33" t="s">
        <v>56</v>
      </c>
      <c r="C42" s="33" t="s">
        <v>208</v>
      </c>
      <c r="D42" s="33" t="s">
        <v>5</v>
      </c>
      <c r="E42" s="33" t="s">
        <v>203</v>
      </c>
      <c r="F42" s="33" t="s">
        <v>12</v>
      </c>
      <c r="G42" s="33" t="s">
        <v>204</v>
      </c>
      <c r="H42" s="33" t="s">
        <v>209</v>
      </c>
      <c r="I42" s="33" t="s">
        <v>209</v>
      </c>
      <c r="J42" s="33">
        <v>2478.87</v>
      </c>
      <c r="K42" s="33">
        <v>0.30991999999999997</v>
      </c>
      <c r="L42" s="33">
        <v>33.895679999999999</v>
      </c>
      <c r="Q42" s="33" t="s">
        <v>210</v>
      </c>
      <c r="R42" s="33" t="s">
        <v>208</v>
      </c>
    </row>
    <row r="43" spans="1:18" ht="27.6" hidden="1" x14ac:dyDescent="0.25">
      <c r="A43" s="33" t="s">
        <v>113</v>
      </c>
      <c r="B43" s="33" t="s">
        <v>62</v>
      </c>
      <c r="C43" s="33" t="s">
        <v>208</v>
      </c>
      <c r="D43" s="33" t="s">
        <v>5</v>
      </c>
      <c r="E43" s="33" t="s">
        <v>203</v>
      </c>
      <c r="F43" s="33" t="s">
        <v>12</v>
      </c>
      <c r="G43" s="33" t="s">
        <v>204</v>
      </c>
      <c r="H43" s="33" t="s">
        <v>209</v>
      </c>
      <c r="I43" s="33" t="s">
        <v>209</v>
      </c>
      <c r="J43" s="33">
        <v>2478.87</v>
      </c>
      <c r="K43" s="33">
        <v>0.30991999999999997</v>
      </c>
      <c r="L43" s="33">
        <v>33.895679999999999</v>
      </c>
      <c r="Q43" s="33" t="s">
        <v>210</v>
      </c>
      <c r="R43" s="33" t="s">
        <v>208</v>
      </c>
    </row>
    <row r="44" spans="1:18" ht="27.6" hidden="1" x14ac:dyDescent="0.25">
      <c r="A44" s="33" t="s">
        <v>113</v>
      </c>
      <c r="B44" s="33" t="s">
        <v>65</v>
      </c>
      <c r="C44" s="33" t="s">
        <v>208</v>
      </c>
      <c r="D44" s="33" t="s">
        <v>5</v>
      </c>
      <c r="E44" s="33" t="s">
        <v>203</v>
      </c>
      <c r="F44" s="33" t="s">
        <v>12</v>
      </c>
      <c r="G44" s="33" t="s">
        <v>204</v>
      </c>
      <c r="H44" s="33" t="s">
        <v>209</v>
      </c>
      <c r="I44" s="33" t="s">
        <v>209</v>
      </c>
      <c r="J44" s="33">
        <v>2478.87</v>
      </c>
      <c r="K44" s="33">
        <v>0.30991999999999997</v>
      </c>
      <c r="L44" s="33">
        <v>33.895679999999999</v>
      </c>
      <c r="Q44" s="33" t="s">
        <v>210</v>
      </c>
      <c r="R44" s="33" t="s">
        <v>208</v>
      </c>
    </row>
    <row r="45" spans="1:18" ht="27.6" hidden="1" x14ac:dyDescent="0.25">
      <c r="A45" s="33" t="s">
        <v>172</v>
      </c>
      <c r="B45" s="33" t="s">
        <v>78</v>
      </c>
      <c r="C45" s="33" t="s">
        <v>208</v>
      </c>
      <c r="D45" s="33" t="s">
        <v>5</v>
      </c>
      <c r="E45" s="33" t="s">
        <v>203</v>
      </c>
      <c r="F45" s="33" t="s">
        <v>12</v>
      </c>
      <c r="G45" s="33" t="s">
        <v>204</v>
      </c>
      <c r="H45" s="33" t="s">
        <v>209</v>
      </c>
      <c r="I45" s="33" t="s">
        <v>209</v>
      </c>
      <c r="J45" s="33">
        <v>2478.87</v>
      </c>
      <c r="K45" s="33">
        <v>0.30991999999999997</v>
      </c>
      <c r="L45" s="33">
        <v>33.895679999999999</v>
      </c>
      <c r="Q45" s="33" t="s">
        <v>210</v>
      </c>
      <c r="R45" s="33" t="s">
        <v>208</v>
      </c>
    </row>
    <row r="46" spans="1:18" ht="27.6" hidden="1" x14ac:dyDescent="0.25">
      <c r="A46" s="33" t="s">
        <v>118</v>
      </c>
      <c r="B46" s="33" t="s">
        <v>57</v>
      </c>
      <c r="C46" s="33" t="s">
        <v>208</v>
      </c>
      <c r="D46" s="33" t="s">
        <v>5</v>
      </c>
      <c r="E46" s="33" t="s">
        <v>203</v>
      </c>
      <c r="F46" s="33" t="s">
        <v>12</v>
      </c>
      <c r="G46" s="33" t="s">
        <v>204</v>
      </c>
      <c r="H46" s="33" t="s">
        <v>209</v>
      </c>
      <c r="I46" s="33" t="s">
        <v>209</v>
      </c>
      <c r="J46" s="33">
        <v>2478.87</v>
      </c>
      <c r="K46" s="33">
        <v>0.30991999999999997</v>
      </c>
      <c r="L46" s="33">
        <v>33.895679999999999</v>
      </c>
      <c r="Q46" s="33" t="s">
        <v>210</v>
      </c>
      <c r="R46" s="33" t="s">
        <v>208</v>
      </c>
    </row>
    <row r="47" spans="1:18" ht="27.6" hidden="1" x14ac:dyDescent="0.25">
      <c r="A47" s="33" t="s">
        <v>118</v>
      </c>
      <c r="B47" s="33" t="s">
        <v>58</v>
      </c>
      <c r="C47" s="33" t="s">
        <v>208</v>
      </c>
      <c r="D47" s="33" t="s">
        <v>5</v>
      </c>
      <c r="E47" s="33" t="s">
        <v>203</v>
      </c>
      <c r="F47" s="33" t="s">
        <v>12</v>
      </c>
      <c r="G47" s="33" t="s">
        <v>204</v>
      </c>
      <c r="H47" s="33" t="s">
        <v>209</v>
      </c>
      <c r="I47" s="33" t="s">
        <v>209</v>
      </c>
      <c r="J47" s="33">
        <v>2478.87</v>
      </c>
      <c r="K47" s="33">
        <v>0.30991999999999997</v>
      </c>
      <c r="L47" s="33">
        <v>33.895679999999999</v>
      </c>
      <c r="Q47" s="33" t="s">
        <v>210</v>
      </c>
      <c r="R47" s="33" t="s">
        <v>208</v>
      </c>
    </row>
    <row r="48" spans="1:18" ht="27.6" hidden="1" x14ac:dyDescent="0.25">
      <c r="A48" s="33" t="s">
        <v>118</v>
      </c>
      <c r="B48" s="33" t="s">
        <v>69</v>
      </c>
      <c r="C48" s="33" t="s">
        <v>208</v>
      </c>
      <c r="D48" s="33" t="s">
        <v>5</v>
      </c>
      <c r="E48" s="33" t="s">
        <v>203</v>
      </c>
      <c r="F48" s="33" t="s">
        <v>12</v>
      </c>
      <c r="G48" s="33" t="s">
        <v>204</v>
      </c>
      <c r="H48" s="33" t="s">
        <v>209</v>
      </c>
      <c r="I48" s="33" t="s">
        <v>209</v>
      </c>
      <c r="J48" s="33">
        <v>2478.87</v>
      </c>
      <c r="K48" s="33">
        <v>0.30991999999999997</v>
      </c>
      <c r="L48" s="33">
        <v>33.895679999999999</v>
      </c>
      <c r="Q48" s="33" t="s">
        <v>210</v>
      </c>
      <c r="R48" s="33" t="s">
        <v>208</v>
      </c>
    </row>
    <row r="49" spans="1:18" ht="27.6" hidden="1" x14ac:dyDescent="0.25">
      <c r="A49" s="33" t="s">
        <v>118</v>
      </c>
      <c r="B49" s="33" t="s">
        <v>70</v>
      </c>
      <c r="C49" s="33" t="s">
        <v>208</v>
      </c>
      <c r="D49" s="33" t="s">
        <v>5</v>
      </c>
      <c r="E49" s="33" t="s">
        <v>203</v>
      </c>
      <c r="F49" s="33" t="s">
        <v>12</v>
      </c>
      <c r="G49" s="33" t="s">
        <v>204</v>
      </c>
      <c r="H49" s="33" t="s">
        <v>209</v>
      </c>
      <c r="I49" s="33" t="s">
        <v>209</v>
      </c>
      <c r="J49" s="33">
        <v>2478.87</v>
      </c>
      <c r="K49" s="33">
        <v>0.30991999999999997</v>
      </c>
      <c r="L49" s="33">
        <v>33.895679999999999</v>
      </c>
      <c r="Q49" s="33" t="s">
        <v>210</v>
      </c>
      <c r="R49" s="33" t="s">
        <v>208</v>
      </c>
    </row>
    <row r="50" spans="1:18" ht="27.6" hidden="1" x14ac:dyDescent="0.25">
      <c r="A50" s="33" t="s">
        <v>118</v>
      </c>
      <c r="B50" s="33" t="s">
        <v>71</v>
      </c>
      <c r="C50" s="33" t="s">
        <v>208</v>
      </c>
      <c r="D50" s="33" t="s">
        <v>5</v>
      </c>
      <c r="E50" s="33" t="s">
        <v>203</v>
      </c>
      <c r="F50" s="33" t="s">
        <v>12</v>
      </c>
      <c r="G50" s="33" t="s">
        <v>204</v>
      </c>
      <c r="H50" s="33" t="s">
        <v>209</v>
      </c>
      <c r="I50" s="33" t="s">
        <v>209</v>
      </c>
      <c r="J50" s="33">
        <v>2478.87</v>
      </c>
      <c r="K50" s="33">
        <v>0.30991999999999997</v>
      </c>
      <c r="L50" s="33">
        <v>33.895679999999999</v>
      </c>
      <c r="Q50" s="33" t="s">
        <v>210</v>
      </c>
      <c r="R50" s="33" t="s">
        <v>208</v>
      </c>
    </row>
    <row r="51" spans="1:18" ht="27.6" hidden="1" x14ac:dyDescent="0.25">
      <c r="A51" s="33" t="s">
        <v>118</v>
      </c>
      <c r="B51" s="33" t="s">
        <v>73</v>
      </c>
      <c r="C51" s="33" t="s">
        <v>208</v>
      </c>
      <c r="D51" s="33" t="s">
        <v>5</v>
      </c>
      <c r="E51" s="33" t="s">
        <v>203</v>
      </c>
      <c r="F51" s="33" t="s">
        <v>12</v>
      </c>
      <c r="G51" s="33" t="s">
        <v>204</v>
      </c>
      <c r="H51" s="33" t="s">
        <v>209</v>
      </c>
      <c r="I51" s="33" t="s">
        <v>209</v>
      </c>
      <c r="J51" s="33">
        <v>2478.87</v>
      </c>
      <c r="K51" s="33">
        <v>0.30991999999999997</v>
      </c>
      <c r="L51" s="33">
        <v>33.895679999999999</v>
      </c>
      <c r="Q51" s="33" t="s">
        <v>210</v>
      </c>
      <c r="R51" s="33" t="s">
        <v>208</v>
      </c>
    </row>
    <row r="52" spans="1:18" ht="27.6" hidden="1" x14ac:dyDescent="0.25">
      <c r="A52" s="33" t="s">
        <v>118</v>
      </c>
      <c r="B52" s="33" t="s">
        <v>74</v>
      </c>
      <c r="C52" s="33" t="s">
        <v>208</v>
      </c>
      <c r="D52" s="33" t="s">
        <v>5</v>
      </c>
      <c r="E52" s="33" t="s">
        <v>203</v>
      </c>
      <c r="F52" s="33" t="s">
        <v>12</v>
      </c>
      <c r="G52" s="33" t="s">
        <v>204</v>
      </c>
      <c r="H52" s="33" t="s">
        <v>209</v>
      </c>
      <c r="I52" s="33" t="s">
        <v>209</v>
      </c>
      <c r="J52" s="33">
        <v>2478.87</v>
      </c>
      <c r="K52" s="33">
        <v>0.30991999999999997</v>
      </c>
      <c r="L52" s="33">
        <v>33.895679999999999</v>
      </c>
      <c r="Q52" s="33" t="s">
        <v>210</v>
      </c>
      <c r="R52" s="33" t="s">
        <v>208</v>
      </c>
    </row>
    <row r="53" spans="1:18" ht="27.6" hidden="1" x14ac:dyDescent="0.25">
      <c r="A53" s="33" t="s">
        <v>118</v>
      </c>
      <c r="B53" s="33" t="s">
        <v>75</v>
      </c>
      <c r="C53" s="33" t="s">
        <v>208</v>
      </c>
      <c r="D53" s="33" t="s">
        <v>5</v>
      </c>
      <c r="E53" s="33" t="s">
        <v>203</v>
      </c>
      <c r="F53" s="33" t="s">
        <v>12</v>
      </c>
      <c r="G53" s="33" t="s">
        <v>204</v>
      </c>
      <c r="H53" s="33" t="s">
        <v>209</v>
      </c>
      <c r="I53" s="33" t="s">
        <v>209</v>
      </c>
      <c r="J53" s="33">
        <v>2478.87</v>
      </c>
      <c r="K53" s="33">
        <v>0.30991999999999997</v>
      </c>
      <c r="L53" s="33">
        <v>33.895679999999999</v>
      </c>
      <c r="Q53" s="33" t="s">
        <v>210</v>
      </c>
      <c r="R53" s="33" t="s">
        <v>208</v>
      </c>
    </row>
    <row r="54" spans="1:18" ht="27.6" hidden="1" x14ac:dyDescent="0.25">
      <c r="A54" s="33" t="s">
        <v>118</v>
      </c>
      <c r="B54" s="33" t="s">
        <v>76</v>
      </c>
      <c r="C54" s="33" t="s">
        <v>208</v>
      </c>
      <c r="D54" s="33" t="s">
        <v>5</v>
      </c>
      <c r="E54" s="33" t="s">
        <v>203</v>
      </c>
      <c r="F54" s="33" t="s">
        <v>12</v>
      </c>
      <c r="G54" s="33" t="s">
        <v>204</v>
      </c>
      <c r="H54" s="33" t="s">
        <v>209</v>
      </c>
      <c r="I54" s="33" t="s">
        <v>209</v>
      </c>
      <c r="J54" s="33">
        <v>2478.87</v>
      </c>
      <c r="K54" s="33">
        <v>0.30991999999999997</v>
      </c>
      <c r="L54" s="33">
        <v>33.895679999999999</v>
      </c>
      <c r="Q54" s="33" t="s">
        <v>210</v>
      </c>
      <c r="R54" s="33" t="s">
        <v>208</v>
      </c>
    </row>
    <row r="55" spans="1:18" ht="96.6" hidden="1" x14ac:dyDescent="0.25">
      <c r="A55" s="33" t="s">
        <v>108</v>
      </c>
      <c r="B55" s="33" t="s">
        <v>55</v>
      </c>
      <c r="C55" s="33" t="s">
        <v>202</v>
      </c>
      <c r="D55" s="33" t="s">
        <v>5</v>
      </c>
      <c r="E55" s="33" t="s">
        <v>203</v>
      </c>
      <c r="F55" s="33" t="s">
        <v>211</v>
      </c>
      <c r="G55" s="33" t="s">
        <v>204</v>
      </c>
      <c r="H55" s="33" t="s">
        <v>205</v>
      </c>
      <c r="I55" s="33" t="s">
        <v>206</v>
      </c>
      <c r="J55" s="33">
        <v>2478.87</v>
      </c>
      <c r="K55" s="33">
        <v>0.30991999999999997</v>
      </c>
      <c r="L55" s="33">
        <v>33.895679999999999</v>
      </c>
      <c r="Q55" s="33" t="s">
        <v>207</v>
      </c>
      <c r="R55" s="33">
        <v>2023</v>
      </c>
    </row>
    <row r="56" spans="1:18" ht="96.6" hidden="1" x14ac:dyDescent="0.25">
      <c r="A56" s="33" t="s">
        <v>108</v>
      </c>
      <c r="B56" s="33" t="s">
        <v>61</v>
      </c>
      <c r="C56" s="33" t="s">
        <v>202</v>
      </c>
      <c r="D56" s="33" t="s">
        <v>5</v>
      </c>
      <c r="E56" s="33" t="s">
        <v>203</v>
      </c>
      <c r="F56" s="33" t="s">
        <v>211</v>
      </c>
      <c r="G56" s="33" t="s">
        <v>204</v>
      </c>
      <c r="H56" s="33" t="s">
        <v>205</v>
      </c>
      <c r="I56" s="33" t="s">
        <v>206</v>
      </c>
      <c r="J56" s="33">
        <v>2478.87</v>
      </c>
      <c r="K56" s="33">
        <v>0.30991999999999997</v>
      </c>
      <c r="L56" s="33">
        <v>33.895679999999999</v>
      </c>
      <c r="Q56" s="33" t="s">
        <v>207</v>
      </c>
      <c r="R56" s="33">
        <v>2023</v>
      </c>
    </row>
    <row r="57" spans="1:18" ht="96.6" hidden="1" x14ac:dyDescent="0.25">
      <c r="A57" s="33" t="s">
        <v>157</v>
      </c>
      <c r="B57" s="33" t="s">
        <v>72</v>
      </c>
      <c r="C57" s="33" t="s">
        <v>202</v>
      </c>
      <c r="D57" s="33" t="s">
        <v>5</v>
      </c>
      <c r="E57" s="33" t="s">
        <v>203</v>
      </c>
      <c r="F57" s="33" t="s">
        <v>211</v>
      </c>
      <c r="G57" s="33" t="s">
        <v>204</v>
      </c>
      <c r="H57" s="33" t="s">
        <v>205</v>
      </c>
      <c r="I57" s="33" t="s">
        <v>206</v>
      </c>
      <c r="J57" s="33">
        <v>2478.87</v>
      </c>
      <c r="K57" s="33">
        <v>0.30991999999999997</v>
      </c>
      <c r="L57" s="33">
        <v>33.895679999999999</v>
      </c>
      <c r="Q57" s="33" t="s">
        <v>207</v>
      </c>
      <c r="R57" s="33">
        <v>2023</v>
      </c>
    </row>
    <row r="58" spans="1:18" ht="96.6" hidden="1" x14ac:dyDescent="0.25">
      <c r="A58" s="33" t="s">
        <v>123</v>
      </c>
      <c r="B58" s="33" t="s">
        <v>59</v>
      </c>
      <c r="C58" s="33" t="s">
        <v>202</v>
      </c>
      <c r="D58" s="33" t="s">
        <v>5</v>
      </c>
      <c r="E58" s="33" t="s">
        <v>203</v>
      </c>
      <c r="F58" s="33" t="s">
        <v>211</v>
      </c>
      <c r="G58" s="33" t="s">
        <v>204</v>
      </c>
      <c r="H58" s="33" t="s">
        <v>205</v>
      </c>
      <c r="I58" s="33" t="s">
        <v>206</v>
      </c>
      <c r="J58" s="33">
        <v>2478.87</v>
      </c>
      <c r="K58" s="33">
        <v>0.30991999999999997</v>
      </c>
      <c r="L58" s="33">
        <v>33.895679999999999</v>
      </c>
      <c r="Q58" s="33" t="s">
        <v>207</v>
      </c>
      <c r="R58" s="33">
        <v>2023</v>
      </c>
    </row>
    <row r="59" spans="1:18" ht="96.6" hidden="1" x14ac:dyDescent="0.25">
      <c r="A59" s="33" t="s">
        <v>123</v>
      </c>
      <c r="B59" s="33" t="s">
        <v>60</v>
      </c>
      <c r="C59" s="33" t="s">
        <v>202</v>
      </c>
      <c r="D59" s="33" t="s">
        <v>5</v>
      </c>
      <c r="E59" s="33" t="s">
        <v>203</v>
      </c>
      <c r="F59" s="33" t="s">
        <v>211</v>
      </c>
      <c r="G59" s="33" t="s">
        <v>204</v>
      </c>
      <c r="H59" s="33" t="s">
        <v>205</v>
      </c>
      <c r="I59" s="33" t="s">
        <v>206</v>
      </c>
      <c r="J59" s="33">
        <v>2478.87</v>
      </c>
      <c r="K59" s="33">
        <v>0.30991999999999997</v>
      </c>
      <c r="L59" s="33">
        <v>33.895679999999999</v>
      </c>
      <c r="Q59" s="33" t="s">
        <v>207</v>
      </c>
      <c r="R59" s="33">
        <v>2023</v>
      </c>
    </row>
    <row r="60" spans="1:18" ht="96.6" hidden="1" x14ac:dyDescent="0.25">
      <c r="A60" s="33" t="s">
        <v>123</v>
      </c>
      <c r="B60" s="33" t="s">
        <v>63</v>
      </c>
      <c r="C60" s="33" t="s">
        <v>202</v>
      </c>
      <c r="D60" s="33" t="s">
        <v>5</v>
      </c>
      <c r="E60" s="33" t="s">
        <v>203</v>
      </c>
      <c r="F60" s="33" t="s">
        <v>211</v>
      </c>
      <c r="G60" s="33" t="s">
        <v>204</v>
      </c>
      <c r="H60" s="33" t="s">
        <v>205</v>
      </c>
      <c r="I60" s="33" t="s">
        <v>206</v>
      </c>
      <c r="J60" s="33">
        <v>2478.87</v>
      </c>
      <c r="K60" s="33">
        <v>0.30991999999999997</v>
      </c>
      <c r="L60" s="33">
        <v>33.895679999999999</v>
      </c>
      <c r="Q60" s="33" t="s">
        <v>207</v>
      </c>
      <c r="R60" s="33">
        <v>2023</v>
      </c>
    </row>
    <row r="61" spans="1:18" ht="96.6" hidden="1" x14ac:dyDescent="0.25">
      <c r="A61" s="33" t="s">
        <v>123</v>
      </c>
      <c r="B61" s="33" t="s">
        <v>64</v>
      </c>
      <c r="C61" s="33" t="s">
        <v>202</v>
      </c>
      <c r="D61" s="33" t="s">
        <v>5</v>
      </c>
      <c r="E61" s="33" t="s">
        <v>203</v>
      </c>
      <c r="F61" s="33" t="s">
        <v>211</v>
      </c>
      <c r="G61" s="33" t="s">
        <v>204</v>
      </c>
      <c r="H61" s="33" t="s">
        <v>205</v>
      </c>
      <c r="I61" s="33" t="s">
        <v>206</v>
      </c>
      <c r="J61" s="33">
        <v>2478.87</v>
      </c>
      <c r="K61" s="33">
        <v>0.30991999999999997</v>
      </c>
      <c r="L61" s="33">
        <v>33.895679999999999</v>
      </c>
      <c r="Q61" s="33" t="s">
        <v>207</v>
      </c>
      <c r="R61" s="33">
        <v>2023</v>
      </c>
    </row>
    <row r="62" spans="1:18" ht="96.6" hidden="1" x14ac:dyDescent="0.25">
      <c r="A62" s="33" t="s">
        <v>123</v>
      </c>
      <c r="B62" s="33" t="s">
        <v>66</v>
      </c>
      <c r="C62" s="33" t="s">
        <v>202</v>
      </c>
      <c r="D62" s="33" t="s">
        <v>5</v>
      </c>
      <c r="E62" s="33" t="s">
        <v>203</v>
      </c>
      <c r="F62" s="33" t="s">
        <v>211</v>
      </c>
      <c r="G62" s="33" t="s">
        <v>204</v>
      </c>
      <c r="H62" s="33" t="s">
        <v>205</v>
      </c>
      <c r="I62" s="33" t="s">
        <v>206</v>
      </c>
      <c r="J62" s="33">
        <v>2478.87</v>
      </c>
      <c r="K62" s="33">
        <v>0.30991999999999997</v>
      </c>
      <c r="L62" s="33">
        <v>33.895679999999999</v>
      </c>
      <c r="Q62" s="33" t="s">
        <v>207</v>
      </c>
      <c r="R62" s="33">
        <v>2023</v>
      </c>
    </row>
    <row r="63" spans="1:18" ht="96.6" hidden="1" x14ac:dyDescent="0.25">
      <c r="A63" s="33" t="s">
        <v>123</v>
      </c>
      <c r="B63" s="33" t="s">
        <v>67</v>
      </c>
      <c r="C63" s="33" t="s">
        <v>202</v>
      </c>
      <c r="D63" s="33" t="s">
        <v>5</v>
      </c>
      <c r="E63" s="33" t="s">
        <v>203</v>
      </c>
      <c r="F63" s="33" t="s">
        <v>211</v>
      </c>
      <c r="G63" s="33" t="s">
        <v>204</v>
      </c>
      <c r="H63" s="33" t="s">
        <v>205</v>
      </c>
      <c r="I63" s="33" t="s">
        <v>206</v>
      </c>
      <c r="J63" s="33">
        <v>2478.87</v>
      </c>
      <c r="K63" s="33">
        <v>0.30991999999999997</v>
      </c>
      <c r="L63" s="33">
        <v>33.895679999999999</v>
      </c>
      <c r="Q63" s="33" t="s">
        <v>207</v>
      </c>
      <c r="R63" s="33">
        <v>2023</v>
      </c>
    </row>
    <row r="64" spans="1:18" ht="96.6" hidden="1" x14ac:dyDescent="0.25">
      <c r="A64" s="33" t="s">
        <v>123</v>
      </c>
      <c r="B64" s="33" t="s">
        <v>68</v>
      </c>
      <c r="C64" s="33" t="s">
        <v>202</v>
      </c>
      <c r="D64" s="33" t="s">
        <v>5</v>
      </c>
      <c r="E64" s="33" t="s">
        <v>203</v>
      </c>
      <c r="F64" s="33" t="s">
        <v>211</v>
      </c>
      <c r="G64" s="33" t="s">
        <v>204</v>
      </c>
      <c r="H64" s="33" t="s">
        <v>205</v>
      </c>
      <c r="I64" s="33" t="s">
        <v>206</v>
      </c>
      <c r="J64" s="33">
        <v>2478.87</v>
      </c>
      <c r="K64" s="33">
        <v>0.30991999999999997</v>
      </c>
      <c r="L64" s="33">
        <v>33.895679999999999</v>
      </c>
      <c r="Q64" s="33" t="s">
        <v>207</v>
      </c>
      <c r="R64" s="33">
        <v>2023</v>
      </c>
    </row>
    <row r="65" spans="1:18" ht="96.6" hidden="1" x14ac:dyDescent="0.25">
      <c r="A65" s="33" t="s">
        <v>123</v>
      </c>
      <c r="B65" s="33" t="s">
        <v>77</v>
      </c>
      <c r="C65" s="33" t="s">
        <v>202</v>
      </c>
      <c r="D65" s="33" t="s">
        <v>5</v>
      </c>
      <c r="E65" s="33" t="s">
        <v>203</v>
      </c>
      <c r="F65" s="33" t="s">
        <v>211</v>
      </c>
      <c r="G65" s="33" t="s">
        <v>204</v>
      </c>
      <c r="H65" s="33" t="s">
        <v>205</v>
      </c>
      <c r="I65" s="33" t="s">
        <v>206</v>
      </c>
      <c r="J65" s="33">
        <v>2478.87</v>
      </c>
      <c r="K65" s="33">
        <v>0.30991999999999997</v>
      </c>
      <c r="L65" s="33">
        <v>33.895679999999999</v>
      </c>
      <c r="Q65" s="33" t="s">
        <v>207</v>
      </c>
      <c r="R65" s="33">
        <v>2023</v>
      </c>
    </row>
    <row r="66" spans="1:18" ht="96.6" hidden="1" x14ac:dyDescent="0.25">
      <c r="A66" s="33" t="s">
        <v>113</v>
      </c>
      <c r="B66" s="33" t="s">
        <v>56</v>
      </c>
      <c r="C66" s="33" t="s">
        <v>202</v>
      </c>
      <c r="D66" s="33" t="s">
        <v>5</v>
      </c>
      <c r="E66" s="33" t="s">
        <v>203</v>
      </c>
      <c r="F66" s="33" t="s">
        <v>211</v>
      </c>
      <c r="G66" s="33" t="s">
        <v>204</v>
      </c>
      <c r="H66" s="33" t="s">
        <v>205</v>
      </c>
      <c r="I66" s="33" t="s">
        <v>206</v>
      </c>
      <c r="J66" s="33">
        <v>2478.87</v>
      </c>
      <c r="K66" s="33">
        <v>0.30991999999999997</v>
      </c>
      <c r="L66" s="33">
        <v>33.895679999999999</v>
      </c>
      <c r="Q66" s="33" t="s">
        <v>207</v>
      </c>
      <c r="R66" s="33">
        <v>2023</v>
      </c>
    </row>
    <row r="67" spans="1:18" ht="96.6" hidden="1" x14ac:dyDescent="0.25">
      <c r="A67" s="33" t="s">
        <v>113</v>
      </c>
      <c r="B67" s="33" t="s">
        <v>62</v>
      </c>
      <c r="C67" s="33" t="s">
        <v>202</v>
      </c>
      <c r="D67" s="33" t="s">
        <v>5</v>
      </c>
      <c r="E67" s="33" t="s">
        <v>203</v>
      </c>
      <c r="F67" s="33" t="s">
        <v>211</v>
      </c>
      <c r="G67" s="33" t="s">
        <v>204</v>
      </c>
      <c r="H67" s="33" t="s">
        <v>205</v>
      </c>
      <c r="I67" s="33" t="s">
        <v>206</v>
      </c>
      <c r="J67" s="33">
        <v>2478.87</v>
      </c>
      <c r="K67" s="33">
        <v>0.30991999999999997</v>
      </c>
      <c r="L67" s="33">
        <v>33.895679999999999</v>
      </c>
      <c r="Q67" s="33" t="s">
        <v>207</v>
      </c>
      <c r="R67" s="33">
        <v>2023</v>
      </c>
    </row>
    <row r="68" spans="1:18" ht="96.6" hidden="1" x14ac:dyDescent="0.25">
      <c r="A68" s="33" t="s">
        <v>113</v>
      </c>
      <c r="B68" s="33" t="s">
        <v>65</v>
      </c>
      <c r="C68" s="33" t="s">
        <v>202</v>
      </c>
      <c r="D68" s="33" t="s">
        <v>5</v>
      </c>
      <c r="E68" s="33" t="s">
        <v>203</v>
      </c>
      <c r="F68" s="33" t="s">
        <v>211</v>
      </c>
      <c r="G68" s="33" t="s">
        <v>204</v>
      </c>
      <c r="H68" s="33" t="s">
        <v>205</v>
      </c>
      <c r="I68" s="33" t="s">
        <v>206</v>
      </c>
      <c r="J68" s="33">
        <v>2478.87</v>
      </c>
      <c r="K68" s="33">
        <v>0.30991999999999997</v>
      </c>
      <c r="L68" s="33">
        <v>33.895679999999999</v>
      </c>
      <c r="Q68" s="33" t="s">
        <v>207</v>
      </c>
      <c r="R68" s="33">
        <v>2023</v>
      </c>
    </row>
    <row r="69" spans="1:18" ht="96.6" hidden="1" x14ac:dyDescent="0.25">
      <c r="A69" s="33" t="s">
        <v>172</v>
      </c>
      <c r="B69" s="33" t="s">
        <v>78</v>
      </c>
      <c r="C69" s="33" t="s">
        <v>202</v>
      </c>
      <c r="D69" s="33" t="s">
        <v>5</v>
      </c>
      <c r="E69" s="33" t="s">
        <v>203</v>
      </c>
      <c r="F69" s="33" t="s">
        <v>211</v>
      </c>
      <c r="G69" s="33" t="s">
        <v>204</v>
      </c>
      <c r="H69" s="33" t="s">
        <v>205</v>
      </c>
      <c r="I69" s="33" t="s">
        <v>206</v>
      </c>
      <c r="J69" s="33">
        <v>2478.87</v>
      </c>
      <c r="K69" s="33">
        <v>0.30991999999999997</v>
      </c>
      <c r="L69" s="33">
        <v>33.895679999999999</v>
      </c>
      <c r="Q69" s="33" t="s">
        <v>207</v>
      </c>
      <c r="R69" s="33">
        <v>2023</v>
      </c>
    </row>
    <row r="70" spans="1:18" ht="96.6" hidden="1" x14ac:dyDescent="0.25">
      <c r="A70" s="33" t="s">
        <v>118</v>
      </c>
      <c r="B70" s="33" t="s">
        <v>57</v>
      </c>
      <c r="C70" s="33" t="s">
        <v>202</v>
      </c>
      <c r="D70" s="33" t="s">
        <v>5</v>
      </c>
      <c r="E70" s="33" t="s">
        <v>203</v>
      </c>
      <c r="F70" s="33" t="s">
        <v>211</v>
      </c>
      <c r="G70" s="33" t="s">
        <v>204</v>
      </c>
      <c r="H70" s="33" t="s">
        <v>205</v>
      </c>
      <c r="I70" s="33" t="s">
        <v>206</v>
      </c>
      <c r="J70" s="33">
        <v>2478.87</v>
      </c>
      <c r="K70" s="33">
        <v>0.30991999999999997</v>
      </c>
      <c r="L70" s="33">
        <v>33.895679999999999</v>
      </c>
      <c r="Q70" s="33" t="s">
        <v>207</v>
      </c>
      <c r="R70" s="33">
        <v>2023</v>
      </c>
    </row>
    <row r="71" spans="1:18" ht="96.6" hidden="1" x14ac:dyDescent="0.25">
      <c r="A71" s="33" t="s">
        <v>118</v>
      </c>
      <c r="B71" s="33" t="s">
        <v>58</v>
      </c>
      <c r="C71" s="33" t="s">
        <v>202</v>
      </c>
      <c r="D71" s="33" t="s">
        <v>5</v>
      </c>
      <c r="E71" s="33" t="s">
        <v>203</v>
      </c>
      <c r="F71" s="33" t="s">
        <v>211</v>
      </c>
      <c r="G71" s="33" t="s">
        <v>204</v>
      </c>
      <c r="H71" s="33" t="s">
        <v>205</v>
      </c>
      <c r="I71" s="33" t="s">
        <v>206</v>
      </c>
      <c r="J71" s="33">
        <v>2478.87</v>
      </c>
      <c r="K71" s="33">
        <v>0.30991999999999997</v>
      </c>
      <c r="L71" s="33">
        <v>33.895679999999999</v>
      </c>
      <c r="Q71" s="33" t="s">
        <v>207</v>
      </c>
      <c r="R71" s="33">
        <v>2023</v>
      </c>
    </row>
    <row r="72" spans="1:18" ht="96.6" hidden="1" x14ac:dyDescent="0.25">
      <c r="A72" s="33" t="s">
        <v>118</v>
      </c>
      <c r="B72" s="33" t="s">
        <v>69</v>
      </c>
      <c r="C72" s="33" t="s">
        <v>202</v>
      </c>
      <c r="D72" s="33" t="s">
        <v>5</v>
      </c>
      <c r="E72" s="33" t="s">
        <v>203</v>
      </c>
      <c r="F72" s="33" t="s">
        <v>211</v>
      </c>
      <c r="G72" s="33" t="s">
        <v>204</v>
      </c>
      <c r="H72" s="33" t="s">
        <v>205</v>
      </c>
      <c r="I72" s="33" t="s">
        <v>206</v>
      </c>
      <c r="J72" s="33">
        <v>2478.87</v>
      </c>
      <c r="K72" s="33">
        <v>0.30991999999999997</v>
      </c>
      <c r="L72" s="33">
        <v>33.895679999999999</v>
      </c>
      <c r="Q72" s="33" t="s">
        <v>207</v>
      </c>
      <c r="R72" s="33">
        <v>2023</v>
      </c>
    </row>
    <row r="73" spans="1:18" ht="96.6" hidden="1" x14ac:dyDescent="0.25">
      <c r="A73" s="33" t="s">
        <v>118</v>
      </c>
      <c r="B73" s="33" t="s">
        <v>70</v>
      </c>
      <c r="C73" s="33" t="s">
        <v>202</v>
      </c>
      <c r="D73" s="33" t="s">
        <v>5</v>
      </c>
      <c r="E73" s="33" t="s">
        <v>203</v>
      </c>
      <c r="F73" s="33" t="s">
        <v>211</v>
      </c>
      <c r="G73" s="33" t="s">
        <v>204</v>
      </c>
      <c r="H73" s="33" t="s">
        <v>205</v>
      </c>
      <c r="I73" s="33" t="s">
        <v>206</v>
      </c>
      <c r="J73" s="33">
        <v>2478.87</v>
      </c>
      <c r="K73" s="33">
        <v>0.30991999999999997</v>
      </c>
      <c r="L73" s="33">
        <v>33.895679999999999</v>
      </c>
      <c r="Q73" s="33" t="s">
        <v>207</v>
      </c>
      <c r="R73" s="33">
        <v>2023</v>
      </c>
    </row>
    <row r="74" spans="1:18" ht="96.6" hidden="1" x14ac:dyDescent="0.25">
      <c r="A74" s="33" t="s">
        <v>118</v>
      </c>
      <c r="B74" s="33" t="s">
        <v>71</v>
      </c>
      <c r="C74" s="33" t="s">
        <v>202</v>
      </c>
      <c r="D74" s="33" t="s">
        <v>5</v>
      </c>
      <c r="E74" s="33" t="s">
        <v>203</v>
      </c>
      <c r="F74" s="33" t="s">
        <v>211</v>
      </c>
      <c r="G74" s="33" t="s">
        <v>204</v>
      </c>
      <c r="H74" s="33" t="s">
        <v>205</v>
      </c>
      <c r="I74" s="33" t="s">
        <v>206</v>
      </c>
      <c r="J74" s="33">
        <v>2478.87</v>
      </c>
      <c r="K74" s="33">
        <v>0.30991999999999997</v>
      </c>
      <c r="L74" s="33">
        <v>33.895679999999999</v>
      </c>
      <c r="Q74" s="33" t="s">
        <v>207</v>
      </c>
      <c r="R74" s="33">
        <v>2023</v>
      </c>
    </row>
    <row r="75" spans="1:18" ht="96.6" hidden="1" x14ac:dyDescent="0.25">
      <c r="A75" s="33" t="s">
        <v>118</v>
      </c>
      <c r="B75" s="33" t="s">
        <v>73</v>
      </c>
      <c r="C75" s="33" t="s">
        <v>202</v>
      </c>
      <c r="D75" s="33" t="s">
        <v>5</v>
      </c>
      <c r="E75" s="33" t="s">
        <v>203</v>
      </c>
      <c r="F75" s="33" t="s">
        <v>211</v>
      </c>
      <c r="G75" s="33" t="s">
        <v>204</v>
      </c>
      <c r="H75" s="33" t="s">
        <v>205</v>
      </c>
      <c r="I75" s="33" t="s">
        <v>206</v>
      </c>
      <c r="J75" s="33">
        <v>2478.87</v>
      </c>
      <c r="K75" s="33">
        <v>0.30991999999999997</v>
      </c>
      <c r="L75" s="33">
        <v>33.895679999999999</v>
      </c>
      <c r="Q75" s="33" t="s">
        <v>207</v>
      </c>
      <c r="R75" s="33">
        <v>2023</v>
      </c>
    </row>
    <row r="76" spans="1:18" ht="96.6" hidden="1" x14ac:dyDescent="0.25">
      <c r="A76" s="33" t="s">
        <v>118</v>
      </c>
      <c r="B76" s="33" t="s">
        <v>74</v>
      </c>
      <c r="C76" s="33" t="s">
        <v>202</v>
      </c>
      <c r="D76" s="33" t="s">
        <v>5</v>
      </c>
      <c r="E76" s="33" t="s">
        <v>203</v>
      </c>
      <c r="F76" s="33" t="s">
        <v>211</v>
      </c>
      <c r="G76" s="33" t="s">
        <v>204</v>
      </c>
      <c r="H76" s="33" t="s">
        <v>205</v>
      </c>
      <c r="I76" s="33" t="s">
        <v>206</v>
      </c>
      <c r="J76" s="33">
        <v>2478.87</v>
      </c>
      <c r="K76" s="33">
        <v>0.30991999999999997</v>
      </c>
      <c r="L76" s="33">
        <v>33.895679999999999</v>
      </c>
      <c r="Q76" s="33" t="s">
        <v>207</v>
      </c>
      <c r="R76" s="33">
        <v>2023</v>
      </c>
    </row>
    <row r="77" spans="1:18" ht="96.6" hidden="1" x14ac:dyDescent="0.25">
      <c r="A77" s="33" t="s">
        <v>118</v>
      </c>
      <c r="B77" s="33" t="s">
        <v>75</v>
      </c>
      <c r="C77" s="33" t="s">
        <v>202</v>
      </c>
      <c r="D77" s="33" t="s">
        <v>5</v>
      </c>
      <c r="E77" s="33" t="s">
        <v>203</v>
      </c>
      <c r="F77" s="33" t="s">
        <v>211</v>
      </c>
      <c r="G77" s="33" t="s">
        <v>204</v>
      </c>
      <c r="H77" s="33" t="s">
        <v>205</v>
      </c>
      <c r="I77" s="33" t="s">
        <v>206</v>
      </c>
      <c r="J77" s="33">
        <v>2478.87</v>
      </c>
      <c r="K77" s="33">
        <v>0.30991999999999997</v>
      </c>
      <c r="L77" s="33">
        <v>33.895679999999999</v>
      </c>
      <c r="Q77" s="33" t="s">
        <v>207</v>
      </c>
      <c r="R77" s="33">
        <v>2023</v>
      </c>
    </row>
    <row r="78" spans="1:18" ht="96.6" hidden="1" x14ac:dyDescent="0.25">
      <c r="A78" s="33" t="s">
        <v>118</v>
      </c>
      <c r="B78" s="33" t="s">
        <v>76</v>
      </c>
      <c r="C78" s="33" t="s">
        <v>202</v>
      </c>
      <c r="D78" s="33" t="s">
        <v>5</v>
      </c>
      <c r="E78" s="33" t="s">
        <v>203</v>
      </c>
      <c r="F78" s="33" t="s">
        <v>211</v>
      </c>
      <c r="G78" s="33" t="s">
        <v>204</v>
      </c>
      <c r="H78" s="33" t="s">
        <v>205</v>
      </c>
      <c r="I78" s="33" t="s">
        <v>206</v>
      </c>
      <c r="J78" s="33">
        <v>2478.87</v>
      </c>
      <c r="K78" s="33">
        <v>0.30991999999999997</v>
      </c>
      <c r="L78" s="33">
        <v>33.895679999999999</v>
      </c>
      <c r="Q78" s="33" t="s">
        <v>207</v>
      </c>
      <c r="R78" s="33">
        <v>2023</v>
      </c>
    </row>
    <row r="79" spans="1:18" ht="124.2" hidden="1" x14ac:dyDescent="0.25">
      <c r="A79" s="33" t="s">
        <v>108</v>
      </c>
      <c r="B79" s="33" t="s">
        <v>55</v>
      </c>
      <c r="C79" s="33" t="s">
        <v>202</v>
      </c>
      <c r="D79" s="33" t="s">
        <v>5</v>
      </c>
      <c r="E79" s="33" t="s">
        <v>203</v>
      </c>
      <c r="F79" s="33" t="s">
        <v>13</v>
      </c>
      <c r="G79" s="33" t="s">
        <v>212</v>
      </c>
      <c r="H79" s="33" t="s">
        <v>213</v>
      </c>
      <c r="I79" s="33" t="s">
        <v>214</v>
      </c>
      <c r="J79" s="33">
        <v>1</v>
      </c>
      <c r="Q79" s="33" t="s">
        <v>215</v>
      </c>
      <c r="R79" s="33" t="s">
        <v>208</v>
      </c>
    </row>
    <row r="80" spans="1:18" ht="124.2" hidden="1" x14ac:dyDescent="0.25">
      <c r="A80" s="33" t="s">
        <v>108</v>
      </c>
      <c r="B80" s="33" t="s">
        <v>61</v>
      </c>
      <c r="C80" s="33" t="s">
        <v>202</v>
      </c>
      <c r="D80" s="33" t="s">
        <v>5</v>
      </c>
      <c r="E80" s="33" t="s">
        <v>203</v>
      </c>
      <c r="F80" s="33" t="s">
        <v>13</v>
      </c>
      <c r="G80" s="33" t="s">
        <v>212</v>
      </c>
      <c r="H80" s="33" t="s">
        <v>213</v>
      </c>
      <c r="I80" s="33" t="s">
        <v>214</v>
      </c>
      <c r="J80" s="33">
        <v>1</v>
      </c>
      <c r="Q80" s="33" t="s">
        <v>215</v>
      </c>
      <c r="R80" s="33" t="s">
        <v>208</v>
      </c>
    </row>
    <row r="81" spans="1:18" ht="124.2" hidden="1" x14ac:dyDescent="0.25">
      <c r="A81" s="33" t="s">
        <v>157</v>
      </c>
      <c r="B81" s="33" t="s">
        <v>72</v>
      </c>
      <c r="C81" s="33" t="s">
        <v>202</v>
      </c>
      <c r="D81" s="33" t="s">
        <v>5</v>
      </c>
      <c r="E81" s="33" t="s">
        <v>203</v>
      </c>
      <c r="F81" s="33" t="s">
        <v>13</v>
      </c>
      <c r="G81" s="33" t="s">
        <v>212</v>
      </c>
      <c r="H81" s="33" t="s">
        <v>213</v>
      </c>
      <c r="I81" s="33" t="s">
        <v>214</v>
      </c>
      <c r="J81" s="33">
        <v>1</v>
      </c>
      <c r="Q81" s="33" t="s">
        <v>215</v>
      </c>
      <c r="R81" s="33" t="s">
        <v>208</v>
      </c>
    </row>
    <row r="82" spans="1:18" ht="124.2" hidden="1" x14ac:dyDescent="0.25">
      <c r="A82" s="33" t="s">
        <v>123</v>
      </c>
      <c r="B82" s="33" t="s">
        <v>59</v>
      </c>
      <c r="C82" s="33" t="s">
        <v>202</v>
      </c>
      <c r="D82" s="33" t="s">
        <v>5</v>
      </c>
      <c r="E82" s="33" t="s">
        <v>203</v>
      </c>
      <c r="F82" s="33" t="s">
        <v>13</v>
      </c>
      <c r="G82" s="33" t="s">
        <v>212</v>
      </c>
      <c r="H82" s="33" t="s">
        <v>213</v>
      </c>
      <c r="I82" s="33" t="s">
        <v>214</v>
      </c>
      <c r="J82" s="33">
        <v>1</v>
      </c>
      <c r="Q82" s="33" t="s">
        <v>215</v>
      </c>
      <c r="R82" s="33" t="s">
        <v>208</v>
      </c>
    </row>
    <row r="83" spans="1:18" ht="124.2" hidden="1" x14ac:dyDescent="0.25">
      <c r="A83" s="33" t="s">
        <v>123</v>
      </c>
      <c r="B83" s="33" t="s">
        <v>60</v>
      </c>
      <c r="C83" s="33" t="s">
        <v>202</v>
      </c>
      <c r="D83" s="33" t="s">
        <v>5</v>
      </c>
      <c r="E83" s="33" t="s">
        <v>203</v>
      </c>
      <c r="F83" s="33" t="s">
        <v>13</v>
      </c>
      <c r="G83" s="33" t="s">
        <v>212</v>
      </c>
      <c r="H83" s="33" t="s">
        <v>213</v>
      </c>
      <c r="I83" s="33" t="s">
        <v>214</v>
      </c>
      <c r="J83" s="33">
        <v>1</v>
      </c>
      <c r="Q83" s="33" t="s">
        <v>215</v>
      </c>
      <c r="R83" s="33" t="s">
        <v>208</v>
      </c>
    </row>
    <row r="84" spans="1:18" ht="124.2" hidden="1" x14ac:dyDescent="0.25">
      <c r="A84" s="33" t="s">
        <v>123</v>
      </c>
      <c r="B84" s="33" t="s">
        <v>63</v>
      </c>
      <c r="C84" s="33" t="s">
        <v>202</v>
      </c>
      <c r="D84" s="33" t="s">
        <v>5</v>
      </c>
      <c r="E84" s="33" t="s">
        <v>203</v>
      </c>
      <c r="F84" s="33" t="s">
        <v>13</v>
      </c>
      <c r="G84" s="33" t="s">
        <v>212</v>
      </c>
      <c r="H84" s="33" t="s">
        <v>213</v>
      </c>
      <c r="I84" s="33" t="s">
        <v>214</v>
      </c>
      <c r="J84" s="33">
        <v>1</v>
      </c>
      <c r="Q84" s="33" t="s">
        <v>215</v>
      </c>
      <c r="R84" s="33" t="s">
        <v>208</v>
      </c>
    </row>
    <row r="85" spans="1:18" ht="124.2" hidden="1" x14ac:dyDescent="0.25">
      <c r="A85" s="33" t="s">
        <v>123</v>
      </c>
      <c r="B85" s="33" t="s">
        <v>64</v>
      </c>
      <c r="C85" s="33" t="s">
        <v>202</v>
      </c>
      <c r="D85" s="33" t="s">
        <v>5</v>
      </c>
      <c r="E85" s="33" t="s">
        <v>203</v>
      </c>
      <c r="F85" s="33" t="s">
        <v>13</v>
      </c>
      <c r="G85" s="33" t="s">
        <v>212</v>
      </c>
      <c r="H85" s="33" t="s">
        <v>213</v>
      </c>
      <c r="I85" s="33" t="s">
        <v>214</v>
      </c>
      <c r="J85" s="33">
        <v>1</v>
      </c>
      <c r="Q85" s="33" t="s">
        <v>215</v>
      </c>
      <c r="R85" s="33" t="s">
        <v>208</v>
      </c>
    </row>
    <row r="86" spans="1:18" ht="124.2" hidden="1" x14ac:dyDescent="0.25">
      <c r="A86" s="33" t="s">
        <v>123</v>
      </c>
      <c r="B86" s="33" t="s">
        <v>66</v>
      </c>
      <c r="C86" s="33" t="s">
        <v>202</v>
      </c>
      <c r="D86" s="33" t="s">
        <v>5</v>
      </c>
      <c r="E86" s="33" t="s">
        <v>203</v>
      </c>
      <c r="F86" s="33" t="s">
        <v>13</v>
      </c>
      <c r="G86" s="33" t="s">
        <v>212</v>
      </c>
      <c r="H86" s="33" t="s">
        <v>213</v>
      </c>
      <c r="I86" s="33" t="s">
        <v>214</v>
      </c>
      <c r="J86" s="33">
        <v>1</v>
      </c>
      <c r="Q86" s="33" t="s">
        <v>215</v>
      </c>
      <c r="R86" s="33" t="s">
        <v>208</v>
      </c>
    </row>
    <row r="87" spans="1:18" ht="124.2" hidden="1" x14ac:dyDescent="0.25">
      <c r="A87" s="33" t="s">
        <v>123</v>
      </c>
      <c r="B87" s="33" t="s">
        <v>67</v>
      </c>
      <c r="C87" s="33" t="s">
        <v>202</v>
      </c>
      <c r="D87" s="33" t="s">
        <v>5</v>
      </c>
      <c r="E87" s="33" t="s">
        <v>203</v>
      </c>
      <c r="F87" s="33" t="s">
        <v>13</v>
      </c>
      <c r="G87" s="33" t="s">
        <v>212</v>
      </c>
      <c r="H87" s="33" t="s">
        <v>213</v>
      </c>
      <c r="I87" s="33" t="s">
        <v>214</v>
      </c>
      <c r="J87" s="33">
        <v>1</v>
      </c>
      <c r="Q87" s="33" t="s">
        <v>215</v>
      </c>
      <c r="R87" s="33" t="s">
        <v>208</v>
      </c>
    </row>
    <row r="88" spans="1:18" ht="124.2" hidden="1" x14ac:dyDescent="0.25">
      <c r="A88" s="33" t="s">
        <v>123</v>
      </c>
      <c r="B88" s="33" t="s">
        <v>68</v>
      </c>
      <c r="C88" s="33" t="s">
        <v>202</v>
      </c>
      <c r="D88" s="33" t="s">
        <v>5</v>
      </c>
      <c r="E88" s="33" t="s">
        <v>203</v>
      </c>
      <c r="F88" s="33" t="s">
        <v>13</v>
      </c>
      <c r="G88" s="33" t="s">
        <v>212</v>
      </c>
      <c r="H88" s="33" t="s">
        <v>213</v>
      </c>
      <c r="I88" s="33" t="s">
        <v>214</v>
      </c>
      <c r="J88" s="33">
        <v>1</v>
      </c>
      <c r="Q88" s="33" t="s">
        <v>215</v>
      </c>
      <c r="R88" s="33" t="s">
        <v>208</v>
      </c>
    </row>
    <row r="89" spans="1:18" ht="124.2" hidden="1" x14ac:dyDescent="0.25">
      <c r="A89" s="33" t="s">
        <v>123</v>
      </c>
      <c r="B89" s="33" t="s">
        <v>77</v>
      </c>
      <c r="C89" s="33" t="s">
        <v>202</v>
      </c>
      <c r="D89" s="33" t="s">
        <v>5</v>
      </c>
      <c r="E89" s="33" t="s">
        <v>203</v>
      </c>
      <c r="F89" s="33" t="s">
        <v>13</v>
      </c>
      <c r="G89" s="33" t="s">
        <v>212</v>
      </c>
      <c r="H89" s="33" t="s">
        <v>213</v>
      </c>
      <c r="I89" s="33" t="s">
        <v>214</v>
      </c>
      <c r="J89" s="33">
        <v>1</v>
      </c>
      <c r="Q89" s="33" t="s">
        <v>215</v>
      </c>
      <c r="R89" s="33" t="s">
        <v>208</v>
      </c>
    </row>
    <row r="90" spans="1:18" ht="124.2" hidden="1" x14ac:dyDescent="0.25">
      <c r="A90" s="33" t="s">
        <v>113</v>
      </c>
      <c r="B90" s="33" t="s">
        <v>56</v>
      </c>
      <c r="C90" s="33" t="s">
        <v>202</v>
      </c>
      <c r="D90" s="33" t="s">
        <v>5</v>
      </c>
      <c r="E90" s="33" t="s">
        <v>203</v>
      </c>
      <c r="F90" s="33" t="s">
        <v>13</v>
      </c>
      <c r="G90" s="33" t="s">
        <v>212</v>
      </c>
      <c r="H90" s="33" t="s">
        <v>213</v>
      </c>
      <c r="I90" s="33" t="s">
        <v>214</v>
      </c>
      <c r="J90" s="33">
        <v>1</v>
      </c>
      <c r="Q90" s="33" t="s">
        <v>215</v>
      </c>
      <c r="R90" s="33" t="s">
        <v>208</v>
      </c>
    </row>
    <row r="91" spans="1:18" ht="124.2" hidden="1" x14ac:dyDescent="0.25">
      <c r="A91" s="33" t="s">
        <v>113</v>
      </c>
      <c r="B91" s="33" t="s">
        <v>62</v>
      </c>
      <c r="C91" s="33" t="s">
        <v>202</v>
      </c>
      <c r="D91" s="33" t="s">
        <v>5</v>
      </c>
      <c r="E91" s="33" t="s">
        <v>203</v>
      </c>
      <c r="F91" s="33" t="s">
        <v>13</v>
      </c>
      <c r="G91" s="33" t="s">
        <v>212</v>
      </c>
      <c r="H91" s="33" t="s">
        <v>213</v>
      </c>
      <c r="I91" s="33" t="s">
        <v>214</v>
      </c>
      <c r="J91" s="33">
        <v>1</v>
      </c>
      <c r="Q91" s="33" t="s">
        <v>215</v>
      </c>
      <c r="R91" s="33" t="s">
        <v>208</v>
      </c>
    </row>
    <row r="92" spans="1:18" ht="124.2" hidden="1" x14ac:dyDescent="0.25">
      <c r="A92" s="33" t="s">
        <v>113</v>
      </c>
      <c r="B92" s="33" t="s">
        <v>65</v>
      </c>
      <c r="C92" s="33" t="s">
        <v>202</v>
      </c>
      <c r="D92" s="33" t="s">
        <v>5</v>
      </c>
      <c r="E92" s="33" t="s">
        <v>203</v>
      </c>
      <c r="F92" s="33" t="s">
        <v>13</v>
      </c>
      <c r="G92" s="33" t="s">
        <v>212</v>
      </c>
      <c r="H92" s="33" t="s">
        <v>213</v>
      </c>
      <c r="I92" s="33" t="s">
        <v>214</v>
      </c>
      <c r="J92" s="33">
        <v>1</v>
      </c>
      <c r="Q92" s="33" t="s">
        <v>215</v>
      </c>
      <c r="R92" s="33" t="s">
        <v>208</v>
      </c>
    </row>
    <row r="93" spans="1:18" ht="124.2" hidden="1" x14ac:dyDescent="0.25">
      <c r="A93" s="33" t="s">
        <v>172</v>
      </c>
      <c r="B93" s="33" t="s">
        <v>78</v>
      </c>
      <c r="C93" s="33" t="s">
        <v>202</v>
      </c>
      <c r="D93" s="33" t="s">
        <v>5</v>
      </c>
      <c r="E93" s="33" t="s">
        <v>203</v>
      </c>
      <c r="F93" s="33" t="s">
        <v>13</v>
      </c>
      <c r="G93" s="33" t="s">
        <v>212</v>
      </c>
      <c r="H93" s="33" t="s">
        <v>213</v>
      </c>
      <c r="I93" s="33" t="s">
        <v>214</v>
      </c>
      <c r="J93" s="33">
        <v>1</v>
      </c>
      <c r="Q93" s="33" t="s">
        <v>215</v>
      </c>
      <c r="R93" s="33" t="s">
        <v>208</v>
      </c>
    </row>
    <row r="94" spans="1:18" ht="124.2" hidden="1" x14ac:dyDescent="0.25">
      <c r="A94" s="33" t="s">
        <v>118</v>
      </c>
      <c r="B94" s="33" t="s">
        <v>57</v>
      </c>
      <c r="C94" s="33" t="s">
        <v>202</v>
      </c>
      <c r="D94" s="33" t="s">
        <v>5</v>
      </c>
      <c r="E94" s="33" t="s">
        <v>203</v>
      </c>
      <c r="F94" s="33" t="s">
        <v>13</v>
      </c>
      <c r="G94" s="33" t="s">
        <v>212</v>
      </c>
      <c r="H94" s="33" t="s">
        <v>213</v>
      </c>
      <c r="I94" s="33" t="s">
        <v>214</v>
      </c>
      <c r="J94" s="33">
        <v>1</v>
      </c>
      <c r="Q94" s="33" t="s">
        <v>215</v>
      </c>
      <c r="R94" s="33" t="s">
        <v>208</v>
      </c>
    </row>
    <row r="95" spans="1:18" ht="124.2" hidden="1" x14ac:dyDescent="0.25">
      <c r="A95" s="33" t="s">
        <v>118</v>
      </c>
      <c r="B95" s="33" t="s">
        <v>58</v>
      </c>
      <c r="C95" s="33" t="s">
        <v>202</v>
      </c>
      <c r="D95" s="33" t="s">
        <v>5</v>
      </c>
      <c r="E95" s="33" t="s">
        <v>203</v>
      </c>
      <c r="F95" s="33" t="s">
        <v>13</v>
      </c>
      <c r="G95" s="33" t="s">
        <v>212</v>
      </c>
      <c r="H95" s="33" t="s">
        <v>213</v>
      </c>
      <c r="I95" s="33" t="s">
        <v>214</v>
      </c>
      <c r="J95" s="33">
        <v>1</v>
      </c>
      <c r="Q95" s="33" t="s">
        <v>215</v>
      </c>
      <c r="R95" s="33" t="s">
        <v>208</v>
      </c>
    </row>
    <row r="96" spans="1:18" ht="124.2" hidden="1" x14ac:dyDescent="0.25">
      <c r="A96" s="33" t="s">
        <v>118</v>
      </c>
      <c r="B96" s="33" t="s">
        <v>69</v>
      </c>
      <c r="C96" s="33" t="s">
        <v>202</v>
      </c>
      <c r="D96" s="33" t="s">
        <v>5</v>
      </c>
      <c r="E96" s="33" t="s">
        <v>203</v>
      </c>
      <c r="F96" s="33" t="s">
        <v>13</v>
      </c>
      <c r="G96" s="33" t="s">
        <v>212</v>
      </c>
      <c r="H96" s="33" t="s">
        <v>213</v>
      </c>
      <c r="I96" s="33" t="s">
        <v>214</v>
      </c>
      <c r="J96" s="33">
        <v>1</v>
      </c>
      <c r="Q96" s="33" t="s">
        <v>215</v>
      </c>
      <c r="R96" s="33" t="s">
        <v>208</v>
      </c>
    </row>
    <row r="97" spans="1:18" ht="124.2" hidden="1" x14ac:dyDescent="0.25">
      <c r="A97" s="33" t="s">
        <v>118</v>
      </c>
      <c r="B97" s="33" t="s">
        <v>70</v>
      </c>
      <c r="C97" s="33" t="s">
        <v>202</v>
      </c>
      <c r="D97" s="33" t="s">
        <v>5</v>
      </c>
      <c r="E97" s="33" t="s">
        <v>203</v>
      </c>
      <c r="F97" s="33" t="s">
        <v>13</v>
      </c>
      <c r="G97" s="33" t="s">
        <v>212</v>
      </c>
      <c r="H97" s="33" t="s">
        <v>213</v>
      </c>
      <c r="I97" s="33" t="s">
        <v>214</v>
      </c>
      <c r="J97" s="33">
        <v>1</v>
      </c>
      <c r="Q97" s="33" t="s">
        <v>215</v>
      </c>
      <c r="R97" s="33" t="s">
        <v>208</v>
      </c>
    </row>
    <row r="98" spans="1:18" ht="124.2" hidden="1" x14ac:dyDescent="0.25">
      <c r="A98" s="33" t="s">
        <v>118</v>
      </c>
      <c r="B98" s="33" t="s">
        <v>71</v>
      </c>
      <c r="C98" s="33" t="s">
        <v>202</v>
      </c>
      <c r="D98" s="33" t="s">
        <v>5</v>
      </c>
      <c r="E98" s="33" t="s">
        <v>203</v>
      </c>
      <c r="F98" s="33" t="s">
        <v>13</v>
      </c>
      <c r="G98" s="33" t="s">
        <v>212</v>
      </c>
      <c r="H98" s="33" t="s">
        <v>213</v>
      </c>
      <c r="I98" s="33" t="s">
        <v>214</v>
      </c>
      <c r="J98" s="33">
        <v>1</v>
      </c>
      <c r="Q98" s="33" t="s">
        <v>215</v>
      </c>
      <c r="R98" s="33" t="s">
        <v>208</v>
      </c>
    </row>
    <row r="99" spans="1:18" ht="124.2" hidden="1" x14ac:dyDescent="0.25">
      <c r="A99" s="33" t="s">
        <v>118</v>
      </c>
      <c r="B99" s="33" t="s">
        <v>73</v>
      </c>
      <c r="C99" s="33" t="s">
        <v>202</v>
      </c>
      <c r="D99" s="33" t="s">
        <v>5</v>
      </c>
      <c r="E99" s="33" t="s">
        <v>203</v>
      </c>
      <c r="F99" s="33" t="s">
        <v>13</v>
      </c>
      <c r="G99" s="33" t="s">
        <v>212</v>
      </c>
      <c r="H99" s="33" t="s">
        <v>213</v>
      </c>
      <c r="I99" s="33" t="s">
        <v>214</v>
      </c>
      <c r="J99" s="33">
        <v>1</v>
      </c>
      <c r="Q99" s="33" t="s">
        <v>215</v>
      </c>
      <c r="R99" s="33" t="s">
        <v>208</v>
      </c>
    </row>
    <row r="100" spans="1:18" ht="124.2" hidden="1" x14ac:dyDescent="0.25">
      <c r="A100" s="33" t="s">
        <v>118</v>
      </c>
      <c r="B100" s="33" t="s">
        <v>74</v>
      </c>
      <c r="C100" s="33" t="s">
        <v>202</v>
      </c>
      <c r="D100" s="33" t="s">
        <v>5</v>
      </c>
      <c r="E100" s="33" t="s">
        <v>203</v>
      </c>
      <c r="F100" s="33" t="s">
        <v>13</v>
      </c>
      <c r="G100" s="33" t="s">
        <v>212</v>
      </c>
      <c r="H100" s="33" t="s">
        <v>213</v>
      </c>
      <c r="I100" s="33" t="s">
        <v>214</v>
      </c>
      <c r="J100" s="33">
        <v>1</v>
      </c>
      <c r="Q100" s="33" t="s">
        <v>215</v>
      </c>
      <c r="R100" s="33" t="s">
        <v>208</v>
      </c>
    </row>
    <row r="101" spans="1:18" ht="124.2" hidden="1" x14ac:dyDescent="0.25">
      <c r="A101" s="33" t="s">
        <v>118</v>
      </c>
      <c r="B101" s="33" t="s">
        <v>75</v>
      </c>
      <c r="C101" s="33" t="s">
        <v>202</v>
      </c>
      <c r="D101" s="33" t="s">
        <v>5</v>
      </c>
      <c r="E101" s="33" t="s">
        <v>203</v>
      </c>
      <c r="F101" s="33" t="s">
        <v>13</v>
      </c>
      <c r="G101" s="33" t="s">
        <v>212</v>
      </c>
      <c r="H101" s="33" t="s">
        <v>213</v>
      </c>
      <c r="I101" s="33" t="s">
        <v>214</v>
      </c>
      <c r="J101" s="33">
        <v>1</v>
      </c>
      <c r="Q101" s="33" t="s">
        <v>215</v>
      </c>
      <c r="R101" s="33" t="s">
        <v>208</v>
      </c>
    </row>
    <row r="102" spans="1:18" ht="124.2" hidden="1" x14ac:dyDescent="0.25">
      <c r="A102" s="33" t="s">
        <v>118</v>
      </c>
      <c r="B102" s="33" t="s">
        <v>76</v>
      </c>
      <c r="C102" s="33" t="s">
        <v>202</v>
      </c>
      <c r="D102" s="33" t="s">
        <v>5</v>
      </c>
      <c r="E102" s="33" t="s">
        <v>203</v>
      </c>
      <c r="F102" s="33" t="s">
        <v>13</v>
      </c>
      <c r="G102" s="33" t="s">
        <v>212</v>
      </c>
      <c r="H102" s="33" t="s">
        <v>213</v>
      </c>
      <c r="I102" s="33" t="s">
        <v>214</v>
      </c>
      <c r="J102" s="33">
        <v>1</v>
      </c>
      <c r="Q102" s="33" t="s">
        <v>215</v>
      </c>
      <c r="R102" s="33" t="s">
        <v>208</v>
      </c>
    </row>
    <row r="103" spans="1:18" ht="27.6" hidden="1" x14ac:dyDescent="0.25">
      <c r="A103" s="33" t="s">
        <v>108</v>
      </c>
      <c r="B103" s="33" t="s">
        <v>55</v>
      </c>
      <c r="C103" s="33" t="s">
        <v>208</v>
      </c>
      <c r="D103" s="33" t="s">
        <v>5</v>
      </c>
      <c r="E103" s="33" t="s">
        <v>203</v>
      </c>
      <c r="F103" s="33" t="s">
        <v>21</v>
      </c>
      <c r="G103" s="33" t="s">
        <v>212</v>
      </c>
      <c r="H103" s="33" t="s">
        <v>209</v>
      </c>
      <c r="I103" s="33" t="s">
        <v>209</v>
      </c>
      <c r="J103" s="33">
        <v>1</v>
      </c>
      <c r="R103" s="33" t="s">
        <v>208</v>
      </c>
    </row>
    <row r="104" spans="1:18" ht="27.6" hidden="1" x14ac:dyDescent="0.25">
      <c r="A104" s="33" t="s">
        <v>108</v>
      </c>
      <c r="B104" s="33" t="s">
        <v>61</v>
      </c>
      <c r="C104" s="33" t="s">
        <v>208</v>
      </c>
      <c r="D104" s="33" t="s">
        <v>5</v>
      </c>
      <c r="E104" s="33" t="s">
        <v>203</v>
      </c>
      <c r="F104" s="33" t="s">
        <v>21</v>
      </c>
      <c r="G104" s="33" t="s">
        <v>212</v>
      </c>
      <c r="H104" s="33" t="s">
        <v>209</v>
      </c>
      <c r="I104" s="33" t="s">
        <v>209</v>
      </c>
      <c r="J104" s="33">
        <v>1</v>
      </c>
      <c r="R104" s="33" t="s">
        <v>208</v>
      </c>
    </row>
    <row r="105" spans="1:18" ht="27.6" hidden="1" x14ac:dyDescent="0.25">
      <c r="A105" s="33" t="s">
        <v>157</v>
      </c>
      <c r="B105" s="33" t="s">
        <v>72</v>
      </c>
      <c r="C105" s="33" t="s">
        <v>208</v>
      </c>
      <c r="D105" s="33" t="s">
        <v>5</v>
      </c>
      <c r="E105" s="33" t="s">
        <v>203</v>
      </c>
      <c r="F105" s="33" t="s">
        <v>21</v>
      </c>
      <c r="G105" s="33" t="s">
        <v>212</v>
      </c>
      <c r="H105" s="33" t="s">
        <v>209</v>
      </c>
      <c r="I105" s="33" t="s">
        <v>209</v>
      </c>
      <c r="J105" s="33">
        <v>1</v>
      </c>
      <c r="R105" s="33" t="s">
        <v>208</v>
      </c>
    </row>
    <row r="106" spans="1:18" ht="27.6" hidden="1" x14ac:dyDescent="0.25">
      <c r="A106" s="33" t="s">
        <v>123</v>
      </c>
      <c r="B106" s="33" t="s">
        <v>59</v>
      </c>
      <c r="C106" s="33" t="s">
        <v>208</v>
      </c>
      <c r="D106" s="33" t="s">
        <v>5</v>
      </c>
      <c r="E106" s="33" t="s">
        <v>203</v>
      </c>
      <c r="F106" s="33" t="s">
        <v>21</v>
      </c>
      <c r="G106" s="33" t="s">
        <v>212</v>
      </c>
      <c r="H106" s="33" t="s">
        <v>209</v>
      </c>
      <c r="I106" s="33" t="s">
        <v>209</v>
      </c>
      <c r="J106" s="33">
        <v>1</v>
      </c>
      <c r="R106" s="33" t="s">
        <v>208</v>
      </c>
    </row>
    <row r="107" spans="1:18" ht="27.6" hidden="1" x14ac:dyDescent="0.25">
      <c r="A107" s="33" t="s">
        <v>123</v>
      </c>
      <c r="B107" s="33" t="s">
        <v>60</v>
      </c>
      <c r="C107" s="33" t="s">
        <v>208</v>
      </c>
      <c r="D107" s="33" t="s">
        <v>5</v>
      </c>
      <c r="E107" s="33" t="s">
        <v>203</v>
      </c>
      <c r="F107" s="33" t="s">
        <v>21</v>
      </c>
      <c r="G107" s="33" t="s">
        <v>212</v>
      </c>
      <c r="H107" s="33" t="s">
        <v>209</v>
      </c>
      <c r="I107" s="33" t="s">
        <v>209</v>
      </c>
      <c r="J107" s="33">
        <v>1</v>
      </c>
      <c r="R107" s="33" t="s">
        <v>208</v>
      </c>
    </row>
    <row r="108" spans="1:18" ht="27.6" hidden="1" x14ac:dyDescent="0.25">
      <c r="A108" s="33" t="s">
        <v>123</v>
      </c>
      <c r="B108" s="33" t="s">
        <v>63</v>
      </c>
      <c r="C108" s="33" t="s">
        <v>208</v>
      </c>
      <c r="D108" s="33" t="s">
        <v>5</v>
      </c>
      <c r="E108" s="33" t="s">
        <v>203</v>
      </c>
      <c r="F108" s="33" t="s">
        <v>21</v>
      </c>
      <c r="G108" s="33" t="s">
        <v>212</v>
      </c>
      <c r="H108" s="33" t="s">
        <v>209</v>
      </c>
      <c r="I108" s="33" t="s">
        <v>209</v>
      </c>
      <c r="J108" s="33">
        <v>1</v>
      </c>
      <c r="R108" s="33" t="s">
        <v>208</v>
      </c>
    </row>
    <row r="109" spans="1:18" ht="27.6" hidden="1" x14ac:dyDescent="0.25">
      <c r="A109" s="33" t="s">
        <v>123</v>
      </c>
      <c r="B109" s="33" t="s">
        <v>64</v>
      </c>
      <c r="C109" s="33" t="s">
        <v>208</v>
      </c>
      <c r="D109" s="33" t="s">
        <v>5</v>
      </c>
      <c r="E109" s="33" t="s">
        <v>203</v>
      </c>
      <c r="F109" s="33" t="s">
        <v>21</v>
      </c>
      <c r="G109" s="33" t="s">
        <v>212</v>
      </c>
      <c r="H109" s="33" t="s">
        <v>209</v>
      </c>
      <c r="I109" s="33" t="s">
        <v>209</v>
      </c>
      <c r="J109" s="33">
        <v>1</v>
      </c>
      <c r="R109" s="33" t="s">
        <v>208</v>
      </c>
    </row>
    <row r="110" spans="1:18" ht="27.6" hidden="1" x14ac:dyDescent="0.25">
      <c r="A110" s="33" t="s">
        <v>123</v>
      </c>
      <c r="B110" s="33" t="s">
        <v>66</v>
      </c>
      <c r="C110" s="33" t="s">
        <v>208</v>
      </c>
      <c r="D110" s="33" t="s">
        <v>5</v>
      </c>
      <c r="E110" s="33" t="s">
        <v>203</v>
      </c>
      <c r="F110" s="33" t="s">
        <v>21</v>
      </c>
      <c r="G110" s="33" t="s">
        <v>212</v>
      </c>
      <c r="H110" s="33" t="s">
        <v>209</v>
      </c>
      <c r="I110" s="33" t="s">
        <v>209</v>
      </c>
      <c r="J110" s="33">
        <v>1</v>
      </c>
      <c r="R110" s="33" t="s">
        <v>208</v>
      </c>
    </row>
    <row r="111" spans="1:18" ht="27.6" hidden="1" x14ac:dyDescent="0.25">
      <c r="A111" s="33" t="s">
        <v>123</v>
      </c>
      <c r="B111" s="33" t="s">
        <v>67</v>
      </c>
      <c r="C111" s="33" t="s">
        <v>208</v>
      </c>
      <c r="D111" s="33" t="s">
        <v>5</v>
      </c>
      <c r="E111" s="33" t="s">
        <v>203</v>
      </c>
      <c r="F111" s="33" t="s">
        <v>21</v>
      </c>
      <c r="G111" s="33" t="s">
        <v>212</v>
      </c>
      <c r="H111" s="33" t="s">
        <v>209</v>
      </c>
      <c r="I111" s="33" t="s">
        <v>209</v>
      </c>
      <c r="J111" s="33">
        <v>1</v>
      </c>
      <c r="R111" s="33" t="s">
        <v>208</v>
      </c>
    </row>
    <row r="112" spans="1:18" ht="27.6" hidden="1" x14ac:dyDescent="0.25">
      <c r="A112" s="33" t="s">
        <v>123</v>
      </c>
      <c r="B112" s="33" t="s">
        <v>68</v>
      </c>
      <c r="C112" s="33" t="s">
        <v>208</v>
      </c>
      <c r="D112" s="33" t="s">
        <v>5</v>
      </c>
      <c r="E112" s="33" t="s">
        <v>203</v>
      </c>
      <c r="F112" s="33" t="s">
        <v>21</v>
      </c>
      <c r="G112" s="33" t="s">
        <v>212</v>
      </c>
      <c r="H112" s="33" t="s">
        <v>209</v>
      </c>
      <c r="I112" s="33" t="s">
        <v>209</v>
      </c>
      <c r="J112" s="33">
        <v>1</v>
      </c>
      <c r="R112" s="33" t="s">
        <v>208</v>
      </c>
    </row>
    <row r="113" spans="1:18" ht="27.6" hidden="1" x14ac:dyDescent="0.25">
      <c r="A113" s="33" t="s">
        <v>123</v>
      </c>
      <c r="B113" s="33" t="s">
        <v>77</v>
      </c>
      <c r="C113" s="33" t="s">
        <v>208</v>
      </c>
      <c r="D113" s="33" t="s">
        <v>5</v>
      </c>
      <c r="E113" s="33" t="s">
        <v>203</v>
      </c>
      <c r="F113" s="33" t="s">
        <v>21</v>
      </c>
      <c r="G113" s="33" t="s">
        <v>212</v>
      </c>
      <c r="H113" s="33" t="s">
        <v>209</v>
      </c>
      <c r="I113" s="33" t="s">
        <v>209</v>
      </c>
      <c r="J113" s="33">
        <v>1</v>
      </c>
      <c r="R113" s="33" t="s">
        <v>208</v>
      </c>
    </row>
    <row r="114" spans="1:18" ht="27.6" hidden="1" x14ac:dyDescent="0.25">
      <c r="A114" s="33" t="s">
        <v>113</v>
      </c>
      <c r="B114" s="33" t="s">
        <v>56</v>
      </c>
      <c r="C114" s="33" t="s">
        <v>208</v>
      </c>
      <c r="D114" s="33" t="s">
        <v>5</v>
      </c>
      <c r="E114" s="33" t="s">
        <v>203</v>
      </c>
      <c r="F114" s="33" t="s">
        <v>21</v>
      </c>
      <c r="G114" s="33" t="s">
        <v>212</v>
      </c>
      <c r="H114" s="33" t="s">
        <v>209</v>
      </c>
      <c r="I114" s="33" t="s">
        <v>209</v>
      </c>
      <c r="J114" s="33">
        <v>1</v>
      </c>
      <c r="R114" s="33" t="s">
        <v>208</v>
      </c>
    </row>
    <row r="115" spans="1:18" ht="27.6" hidden="1" x14ac:dyDescent="0.25">
      <c r="A115" s="33" t="s">
        <v>113</v>
      </c>
      <c r="B115" s="33" t="s">
        <v>62</v>
      </c>
      <c r="C115" s="33" t="s">
        <v>208</v>
      </c>
      <c r="D115" s="33" t="s">
        <v>5</v>
      </c>
      <c r="E115" s="33" t="s">
        <v>203</v>
      </c>
      <c r="F115" s="33" t="s">
        <v>21</v>
      </c>
      <c r="G115" s="33" t="s">
        <v>212</v>
      </c>
      <c r="H115" s="33" t="s">
        <v>209</v>
      </c>
      <c r="I115" s="33" t="s">
        <v>209</v>
      </c>
      <c r="J115" s="33">
        <v>1</v>
      </c>
      <c r="R115" s="33" t="s">
        <v>208</v>
      </c>
    </row>
    <row r="116" spans="1:18" ht="27.6" hidden="1" x14ac:dyDescent="0.25">
      <c r="A116" s="33" t="s">
        <v>113</v>
      </c>
      <c r="B116" s="33" t="s">
        <v>65</v>
      </c>
      <c r="C116" s="33" t="s">
        <v>208</v>
      </c>
      <c r="D116" s="33" t="s">
        <v>5</v>
      </c>
      <c r="E116" s="33" t="s">
        <v>203</v>
      </c>
      <c r="F116" s="33" t="s">
        <v>21</v>
      </c>
      <c r="G116" s="33" t="s">
        <v>212</v>
      </c>
      <c r="H116" s="33" t="s">
        <v>209</v>
      </c>
      <c r="I116" s="33" t="s">
        <v>209</v>
      </c>
      <c r="J116" s="33">
        <v>1</v>
      </c>
      <c r="R116" s="33" t="s">
        <v>208</v>
      </c>
    </row>
    <row r="117" spans="1:18" ht="27.6" hidden="1" x14ac:dyDescent="0.25">
      <c r="A117" s="33" t="s">
        <v>172</v>
      </c>
      <c r="B117" s="33" t="s">
        <v>78</v>
      </c>
      <c r="C117" s="33" t="s">
        <v>208</v>
      </c>
      <c r="D117" s="33" t="s">
        <v>5</v>
      </c>
      <c r="E117" s="33" t="s">
        <v>203</v>
      </c>
      <c r="F117" s="33" t="s">
        <v>21</v>
      </c>
      <c r="G117" s="33" t="s">
        <v>212</v>
      </c>
      <c r="H117" s="33" t="s">
        <v>209</v>
      </c>
      <c r="I117" s="33" t="s">
        <v>209</v>
      </c>
      <c r="J117" s="33">
        <v>1</v>
      </c>
      <c r="R117" s="33" t="s">
        <v>208</v>
      </c>
    </row>
    <row r="118" spans="1:18" ht="27.6" hidden="1" x14ac:dyDescent="0.25">
      <c r="A118" s="33" t="s">
        <v>118</v>
      </c>
      <c r="B118" s="33" t="s">
        <v>57</v>
      </c>
      <c r="C118" s="33" t="s">
        <v>208</v>
      </c>
      <c r="D118" s="33" t="s">
        <v>5</v>
      </c>
      <c r="E118" s="33" t="s">
        <v>203</v>
      </c>
      <c r="F118" s="33" t="s">
        <v>21</v>
      </c>
      <c r="G118" s="33" t="s">
        <v>212</v>
      </c>
      <c r="H118" s="33" t="s">
        <v>209</v>
      </c>
      <c r="I118" s="33" t="s">
        <v>209</v>
      </c>
      <c r="J118" s="33">
        <v>1</v>
      </c>
      <c r="R118" s="33" t="s">
        <v>208</v>
      </c>
    </row>
    <row r="119" spans="1:18" ht="27.6" hidden="1" x14ac:dyDescent="0.25">
      <c r="A119" s="33" t="s">
        <v>118</v>
      </c>
      <c r="B119" s="33" t="s">
        <v>58</v>
      </c>
      <c r="C119" s="33" t="s">
        <v>208</v>
      </c>
      <c r="D119" s="33" t="s">
        <v>5</v>
      </c>
      <c r="E119" s="33" t="s">
        <v>203</v>
      </c>
      <c r="F119" s="33" t="s">
        <v>21</v>
      </c>
      <c r="G119" s="33" t="s">
        <v>212</v>
      </c>
      <c r="H119" s="33" t="s">
        <v>209</v>
      </c>
      <c r="I119" s="33" t="s">
        <v>209</v>
      </c>
      <c r="J119" s="33">
        <v>1</v>
      </c>
      <c r="R119" s="33" t="s">
        <v>208</v>
      </c>
    </row>
    <row r="120" spans="1:18" ht="27.6" hidden="1" x14ac:dyDescent="0.25">
      <c r="A120" s="33" t="s">
        <v>118</v>
      </c>
      <c r="B120" s="33" t="s">
        <v>69</v>
      </c>
      <c r="C120" s="33" t="s">
        <v>208</v>
      </c>
      <c r="D120" s="33" t="s">
        <v>5</v>
      </c>
      <c r="E120" s="33" t="s">
        <v>203</v>
      </c>
      <c r="F120" s="33" t="s">
        <v>21</v>
      </c>
      <c r="G120" s="33" t="s">
        <v>212</v>
      </c>
      <c r="H120" s="33" t="s">
        <v>209</v>
      </c>
      <c r="I120" s="33" t="s">
        <v>209</v>
      </c>
      <c r="J120" s="33">
        <v>1</v>
      </c>
      <c r="R120" s="33" t="s">
        <v>208</v>
      </c>
    </row>
    <row r="121" spans="1:18" ht="27.6" hidden="1" x14ac:dyDescent="0.25">
      <c r="A121" s="33" t="s">
        <v>118</v>
      </c>
      <c r="B121" s="33" t="s">
        <v>70</v>
      </c>
      <c r="C121" s="33" t="s">
        <v>208</v>
      </c>
      <c r="D121" s="33" t="s">
        <v>5</v>
      </c>
      <c r="E121" s="33" t="s">
        <v>203</v>
      </c>
      <c r="F121" s="33" t="s">
        <v>21</v>
      </c>
      <c r="G121" s="33" t="s">
        <v>212</v>
      </c>
      <c r="H121" s="33" t="s">
        <v>209</v>
      </c>
      <c r="I121" s="33" t="s">
        <v>209</v>
      </c>
      <c r="J121" s="33">
        <v>1</v>
      </c>
      <c r="R121" s="33" t="s">
        <v>208</v>
      </c>
    </row>
    <row r="122" spans="1:18" ht="27.6" hidden="1" x14ac:dyDescent="0.25">
      <c r="A122" s="33" t="s">
        <v>118</v>
      </c>
      <c r="B122" s="33" t="s">
        <v>71</v>
      </c>
      <c r="C122" s="33" t="s">
        <v>208</v>
      </c>
      <c r="D122" s="33" t="s">
        <v>5</v>
      </c>
      <c r="E122" s="33" t="s">
        <v>203</v>
      </c>
      <c r="F122" s="33" t="s">
        <v>21</v>
      </c>
      <c r="G122" s="33" t="s">
        <v>212</v>
      </c>
      <c r="H122" s="33" t="s">
        <v>209</v>
      </c>
      <c r="I122" s="33" t="s">
        <v>209</v>
      </c>
      <c r="J122" s="33">
        <v>1</v>
      </c>
      <c r="R122" s="33" t="s">
        <v>208</v>
      </c>
    </row>
    <row r="123" spans="1:18" ht="27.6" hidden="1" x14ac:dyDescent="0.25">
      <c r="A123" s="33" t="s">
        <v>118</v>
      </c>
      <c r="B123" s="33" t="s">
        <v>73</v>
      </c>
      <c r="C123" s="33" t="s">
        <v>208</v>
      </c>
      <c r="D123" s="33" t="s">
        <v>5</v>
      </c>
      <c r="E123" s="33" t="s">
        <v>203</v>
      </c>
      <c r="F123" s="33" t="s">
        <v>21</v>
      </c>
      <c r="G123" s="33" t="s">
        <v>212</v>
      </c>
      <c r="H123" s="33" t="s">
        <v>209</v>
      </c>
      <c r="I123" s="33" t="s">
        <v>209</v>
      </c>
      <c r="J123" s="33">
        <v>1</v>
      </c>
      <c r="R123" s="33" t="s">
        <v>208</v>
      </c>
    </row>
    <row r="124" spans="1:18" ht="27.6" hidden="1" x14ac:dyDescent="0.25">
      <c r="A124" s="33" t="s">
        <v>118</v>
      </c>
      <c r="B124" s="33" t="s">
        <v>74</v>
      </c>
      <c r="C124" s="33" t="s">
        <v>208</v>
      </c>
      <c r="D124" s="33" t="s">
        <v>5</v>
      </c>
      <c r="E124" s="33" t="s">
        <v>203</v>
      </c>
      <c r="F124" s="33" t="s">
        <v>21</v>
      </c>
      <c r="G124" s="33" t="s">
        <v>212</v>
      </c>
      <c r="H124" s="33" t="s">
        <v>209</v>
      </c>
      <c r="I124" s="33" t="s">
        <v>209</v>
      </c>
      <c r="J124" s="33">
        <v>1</v>
      </c>
      <c r="R124" s="33" t="s">
        <v>208</v>
      </c>
    </row>
    <row r="125" spans="1:18" ht="27.6" hidden="1" x14ac:dyDescent="0.25">
      <c r="A125" s="33" t="s">
        <v>118</v>
      </c>
      <c r="B125" s="33" t="s">
        <v>75</v>
      </c>
      <c r="C125" s="33" t="s">
        <v>208</v>
      </c>
      <c r="D125" s="33" t="s">
        <v>5</v>
      </c>
      <c r="E125" s="33" t="s">
        <v>203</v>
      </c>
      <c r="F125" s="33" t="s">
        <v>21</v>
      </c>
      <c r="G125" s="33" t="s">
        <v>212</v>
      </c>
      <c r="H125" s="33" t="s">
        <v>209</v>
      </c>
      <c r="I125" s="33" t="s">
        <v>209</v>
      </c>
      <c r="J125" s="33">
        <v>1</v>
      </c>
      <c r="R125" s="33" t="s">
        <v>208</v>
      </c>
    </row>
    <row r="126" spans="1:18" ht="27.6" hidden="1" x14ac:dyDescent="0.25">
      <c r="A126" s="33" t="s">
        <v>118</v>
      </c>
      <c r="B126" s="33" t="s">
        <v>76</v>
      </c>
      <c r="C126" s="33" t="s">
        <v>208</v>
      </c>
      <c r="D126" s="33" t="s">
        <v>5</v>
      </c>
      <c r="E126" s="33" t="s">
        <v>203</v>
      </c>
      <c r="F126" s="33" t="s">
        <v>21</v>
      </c>
      <c r="G126" s="33" t="s">
        <v>212</v>
      </c>
      <c r="H126" s="33" t="s">
        <v>209</v>
      </c>
      <c r="I126" s="33" t="s">
        <v>209</v>
      </c>
      <c r="J126" s="33">
        <v>1</v>
      </c>
      <c r="R126" s="33" t="s">
        <v>208</v>
      </c>
    </row>
    <row r="127" spans="1:18" ht="96.6" hidden="1" x14ac:dyDescent="0.25">
      <c r="A127" s="33" t="s">
        <v>108</v>
      </c>
      <c r="B127" s="33" t="s">
        <v>55</v>
      </c>
      <c r="C127" s="33" t="s">
        <v>202</v>
      </c>
      <c r="D127" s="33" t="s">
        <v>5</v>
      </c>
      <c r="E127" s="33" t="s">
        <v>203</v>
      </c>
      <c r="F127" s="33" t="s">
        <v>14</v>
      </c>
      <c r="G127" s="33" t="s">
        <v>204</v>
      </c>
      <c r="H127" s="33" t="s">
        <v>205</v>
      </c>
      <c r="I127" s="33" t="s">
        <v>206</v>
      </c>
      <c r="J127" s="33">
        <v>2724.17</v>
      </c>
      <c r="K127" s="33">
        <v>3.3495200000000001</v>
      </c>
      <c r="L127" s="33">
        <v>28.940729999999999</v>
      </c>
      <c r="Q127" s="33" t="s">
        <v>207</v>
      </c>
      <c r="R127" s="33">
        <v>2023</v>
      </c>
    </row>
    <row r="128" spans="1:18" ht="96.6" hidden="1" x14ac:dyDescent="0.25">
      <c r="A128" s="33" t="s">
        <v>108</v>
      </c>
      <c r="B128" s="33" t="s">
        <v>61</v>
      </c>
      <c r="C128" s="33" t="s">
        <v>202</v>
      </c>
      <c r="D128" s="33" t="s">
        <v>5</v>
      </c>
      <c r="E128" s="33" t="s">
        <v>203</v>
      </c>
      <c r="F128" s="33" t="s">
        <v>14</v>
      </c>
      <c r="G128" s="33" t="s">
        <v>204</v>
      </c>
      <c r="H128" s="33" t="s">
        <v>205</v>
      </c>
      <c r="I128" s="33" t="s">
        <v>206</v>
      </c>
      <c r="J128" s="33">
        <v>2724.17</v>
      </c>
      <c r="K128" s="33">
        <v>3.3495200000000001</v>
      </c>
      <c r="L128" s="33">
        <v>28.940729999999999</v>
      </c>
      <c r="Q128" s="33" t="s">
        <v>207</v>
      </c>
      <c r="R128" s="33">
        <v>2023</v>
      </c>
    </row>
    <row r="129" spans="1:18" ht="96.6" hidden="1" x14ac:dyDescent="0.25">
      <c r="A129" s="33" t="s">
        <v>157</v>
      </c>
      <c r="B129" s="33" t="s">
        <v>72</v>
      </c>
      <c r="C129" s="33" t="s">
        <v>202</v>
      </c>
      <c r="D129" s="33" t="s">
        <v>5</v>
      </c>
      <c r="E129" s="33" t="s">
        <v>203</v>
      </c>
      <c r="F129" s="33" t="s">
        <v>14</v>
      </c>
      <c r="G129" s="33" t="s">
        <v>204</v>
      </c>
      <c r="H129" s="33" t="s">
        <v>205</v>
      </c>
      <c r="I129" s="33" t="s">
        <v>206</v>
      </c>
      <c r="J129" s="33">
        <v>2724.17</v>
      </c>
      <c r="K129" s="33">
        <v>3.3495200000000001</v>
      </c>
      <c r="L129" s="33">
        <v>28.940729999999999</v>
      </c>
      <c r="Q129" s="33" t="s">
        <v>207</v>
      </c>
      <c r="R129" s="33">
        <v>2023</v>
      </c>
    </row>
    <row r="130" spans="1:18" ht="96.6" hidden="1" x14ac:dyDescent="0.25">
      <c r="A130" s="33" t="s">
        <v>123</v>
      </c>
      <c r="B130" s="33" t="s">
        <v>59</v>
      </c>
      <c r="C130" s="33" t="s">
        <v>202</v>
      </c>
      <c r="D130" s="33" t="s">
        <v>5</v>
      </c>
      <c r="E130" s="33" t="s">
        <v>203</v>
      </c>
      <c r="F130" s="33" t="s">
        <v>14</v>
      </c>
      <c r="G130" s="33" t="s">
        <v>204</v>
      </c>
      <c r="H130" s="33" t="s">
        <v>205</v>
      </c>
      <c r="I130" s="33" t="s">
        <v>206</v>
      </c>
      <c r="J130" s="33">
        <v>2724.17</v>
      </c>
      <c r="K130" s="33">
        <v>3.3495200000000001</v>
      </c>
      <c r="L130" s="33">
        <v>28.940729999999999</v>
      </c>
      <c r="Q130" s="33" t="s">
        <v>207</v>
      </c>
      <c r="R130" s="33">
        <v>2023</v>
      </c>
    </row>
    <row r="131" spans="1:18" ht="96.6" hidden="1" x14ac:dyDescent="0.25">
      <c r="A131" s="33" t="s">
        <v>123</v>
      </c>
      <c r="B131" s="33" t="s">
        <v>60</v>
      </c>
      <c r="C131" s="33" t="s">
        <v>202</v>
      </c>
      <c r="D131" s="33" t="s">
        <v>5</v>
      </c>
      <c r="E131" s="33" t="s">
        <v>203</v>
      </c>
      <c r="F131" s="33" t="s">
        <v>14</v>
      </c>
      <c r="G131" s="33" t="s">
        <v>204</v>
      </c>
      <c r="H131" s="33" t="s">
        <v>205</v>
      </c>
      <c r="I131" s="33" t="s">
        <v>206</v>
      </c>
      <c r="J131" s="33">
        <v>2724.17</v>
      </c>
      <c r="K131" s="33">
        <v>3.3495200000000001</v>
      </c>
      <c r="L131" s="33">
        <v>28.940729999999999</v>
      </c>
      <c r="Q131" s="33" t="s">
        <v>207</v>
      </c>
      <c r="R131" s="33">
        <v>2023</v>
      </c>
    </row>
    <row r="132" spans="1:18" ht="96.6" hidden="1" x14ac:dyDescent="0.25">
      <c r="A132" s="33" t="s">
        <v>123</v>
      </c>
      <c r="B132" s="33" t="s">
        <v>63</v>
      </c>
      <c r="C132" s="33" t="s">
        <v>202</v>
      </c>
      <c r="D132" s="33" t="s">
        <v>5</v>
      </c>
      <c r="E132" s="33" t="s">
        <v>203</v>
      </c>
      <c r="F132" s="33" t="s">
        <v>14</v>
      </c>
      <c r="G132" s="33" t="s">
        <v>204</v>
      </c>
      <c r="H132" s="33" t="s">
        <v>205</v>
      </c>
      <c r="I132" s="33" t="s">
        <v>206</v>
      </c>
      <c r="J132" s="33">
        <v>2724.17</v>
      </c>
      <c r="K132" s="33">
        <v>3.3495200000000001</v>
      </c>
      <c r="L132" s="33">
        <v>28.940729999999999</v>
      </c>
      <c r="Q132" s="33" t="s">
        <v>207</v>
      </c>
      <c r="R132" s="33">
        <v>2023</v>
      </c>
    </row>
    <row r="133" spans="1:18" ht="96.6" hidden="1" x14ac:dyDescent="0.25">
      <c r="A133" s="33" t="s">
        <v>123</v>
      </c>
      <c r="B133" s="33" t="s">
        <v>64</v>
      </c>
      <c r="C133" s="33" t="s">
        <v>202</v>
      </c>
      <c r="D133" s="33" t="s">
        <v>5</v>
      </c>
      <c r="E133" s="33" t="s">
        <v>203</v>
      </c>
      <c r="F133" s="33" t="s">
        <v>14</v>
      </c>
      <c r="G133" s="33" t="s">
        <v>204</v>
      </c>
      <c r="H133" s="33" t="s">
        <v>205</v>
      </c>
      <c r="I133" s="33" t="s">
        <v>206</v>
      </c>
      <c r="J133" s="33">
        <v>2724.17</v>
      </c>
      <c r="K133" s="33">
        <v>3.3495200000000001</v>
      </c>
      <c r="L133" s="33">
        <v>28.940729999999999</v>
      </c>
      <c r="Q133" s="33" t="s">
        <v>207</v>
      </c>
      <c r="R133" s="33">
        <v>2023</v>
      </c>
    </row>
    <row r="134" spans="1:18" ht="96.6" hidden="1" x14ac:dyDescent="0.25">
      <c r="A134" s="33" t="s">
        <v>123</v>
      </c>
      <c r="B134" s="33" t="s">
        <v>66</v>
      </c>
      <c r="C134" s="33" t="s">
        <v>202</v>
      </c>
      <c r="D134" s="33" t="s">
        <v>5</v>
      </c>
      <c r="E134" s="33" t="s">
        <v>203</v>
      </c>
      <c r="F134" s="33" t="s">
        <v>14</v>
      </c>
      <c r="G134" s="33" t="s">
        <v>204</v>
      </c>
      <c r="H134" s="33" t="s">
        <v>205</v>
      </c>
      <c r="I134" s="33" t="s">
        <v>206</v>
      </c>
      <c r="J134" s="33">
        <v>2724.17</v>
      </c>
      <c r="K134" s="33">
        <v>3.3495200000000001</v>
      </c>
      <c r="L134" s="33">
        <v>28.940729999999999</v>
      </c>
      <c r="Q134" s="33" t="s">
        <v>207</v>
      </c>
      <c r="R134" s="33">
        <v>2023</v>
      </c>
    </row>
    <row r="135" spans="1:18" ht="96.6" hidden="1" x14ac:dyDescent="0.25">
      <c r="A135" s="33" t="s">
        <v>123</v>
      </c>
      <c r="B135" s="33" t="s">
        <v>67</v>
      </c>
      <c r="C135" s="33" t="s">
        <v>202</v>
      </c>
      <c r="D135" s="33" t="s">
        <v>5</v>
      </c>
      <c r="E135" s="33" t="s">
        <v>203</v>
      </c>
      <c r="F135" s="33" t="s">
        <v>14</v>
      </c>
      <c r="G135" s="33" t="s">
        <v>204</v>
      </c>
      <c r="H135" s="33" t="s">
        <v>205</v>
      </c>
      <c r="I135" s="33" t="s">
        <v>206</v>
      </c>
      <c r="J135" s="33">
        <v>2724.17</v>
      </c>
      <c r="K135" s="33">
        <v>3.3495200000000001</v>
      </c>
      <c r="L135" s="33">
        <v>28.940729999999999</v>
      </c>
      <c r="Q135" s="33" t="s">
        <v>207</v>
      </c>
      <c r="R135" s="33">
        <v>2023</v>
      </c>
    </row>
    <row r="136" spans="1:18" ht="96.6" hidden="1" x14ac:dyDescent="0.25">
      <c r="A136" s="33" t="s">
        <v>123</v>
      </c>
      <c r="B136" s="33" t="s">
        <v>68</v>
      </c>
      <c r="C136" s="33" t="s">
        <v>202</v>
      </c>
      <c r="D136" s="33" t="s">
        <v>5</v>
      </c>
      <c r="E136" s="33" t="s">
        <v>203</v>
      </c>
      <c r="F136" s="33" t="s">
        <v>14</v>
      </c>
      <c r="G136" s="33" t="s">
        <v>204</v>
      </c>
      <c r="H136" s="33" t="s">
        <v>205</v>
      </c>
      <c r="I136" s="33" t="s">
        <v>206</v>
      </c>
      <c r="J136" s="33">
        <v>2724.17</v>
      </c>
      <c r="K136" s="33">
        <v>3.3495200000000001</v>
      </c>
      <c r="L136" s="33">
        <v>28.940729999999999</v>
      </c>
      <c r="Q136" s="33" t="s">
        <v>207</v>
      </c>
      <c r="R136" s="33">
        <v>2023</v>
      </c>
    </row>
    <row r="137" spans="1:18" ht="96.6" hidden="1" x14ac:dyDescent="0.25">
      <c r="A137" s="33" t="s">
        <v>123</v>
      </c>
      <c r="B137" s="33" t="s">
        <v>77</v>
      </c>
      <c r="C137" s="33" t="s">
        <v>202</v>
      </c>
      <c r="D137" s="33" t="s">
        <v>5</v>
      </c>
      <c r="E137" s="33" t="s">
        <v>203</v>
      </c>
      <c r="F137" s="33" t="s">
        <v>14</v>
      </c>
      <c r="G137" s="33" t="s">
        <v>204</v>
      </c>
      <c r="H137" s="33" t="s">
        <v>205</v>
      </c>
      <c r="I137" s="33" t="s">
        <v>206</v>
      </c>
      <c r="J137" s="33">
        <v>2724.17</v>
      </c>
      <c r="K137" s="33">
        <v>3.3495200000000001</v>
      </c>
      <c r="L137" s="33">
        <v>28.940729999999999</v>
      </c>
      <c r="Q137" s="33" t="s">
        <v>207</v>
      </c>
      <c r="R137" s="33">
        <v>2023</v>
      </c>
    </row>
    <row r="138" spans="1:18" ht="96.6" hidden="1" x14ac:dyDescent="0.25">
      <c r="A138" s="33" t="s">
        <v>113</v>
      </c>
      <c r="B138" s="33" t="s">
        <v>56</v>
      </c>
      <c r="C138" s="33" t="s">
        <v>202</v>
      </c>
      <c r="D138" s="33" t="s">
        <v>5</v>
      </c>
      <c r="E138" s="33" t="s">
        <v>203</v>
      </c>
      <c r="F138" s="33" t="s">
        <v>14</v>
      </c>
      <c r="G138" s="33" t="s">
        <v>204</v>
      </c>
      <c r="H138" s="33" t="s">
        <v>205</v>
      </c>
      <c r="I138" s="33" t="s">
        <v>206</v>
      </c>
      <c r="J138" s="33">
        <v>2724.17</v>
      </c>
      <c r="K138" s="33">
        <v>3.3495200000000001</v>
      </c>
      <c r="L138" s="33">
        <v>28.940729999999999</v>
      </c>
      <c r="Q138" s="33" t="s">
        <v>207</v>
      </c>
      <c r="R138" s="33">
        <v>2023</v>
      </c>
    </row>
    <row r="139" spans="1:18" ht="96.6" hidden="1" x14ac:dyDescent="0.25">
      <c r="A139" s="33" t="s">
        <v>113</v>
      </c>
      <c r="B139" s="33" t="s">
        <v>62</v>
      </c>
      <c r="C139" s="33" t="s">
        <v>202</v>
      </c>
      <c r="D139" s="33" t="s">
        <v>5</v>
      </c>
      <c r="E139" s="33" t="s">
        <v>203</v>
      </c>
      <c r="F139" s="33" t="s">
        <v>14</v>
      </c>
      <c r="G139" s="33" t="s">
        <v>204</v>
      </c>
      <c r="H139" s="33" t="s">
        <v>205</v>
      </c>
      <c r="I139" s="33" t="s">
        <v>206</v>
      </c>
      <c r="J139" s="33">
        <v>2724.17</v>
      </c>
      <c r="K139" s="33">
        <v>3.3495200000000001</v>
      </c>
      <c r="L139" s="33">
        <v>28.940729999999999</v>
      </c>
      <c r="Q139" s="33" t="s">
        <v>207</v>
      </c>
      <c r="R139" s="33">
        <v>2023</v>
      </c>
    </row>
    <row r="140" spans="1:18" ht="96.6" hidden="1" x14ac:dyDescent="0.25">
      <c r="A140" s="33" t="s">
        <v>113</v>
      </c>
      <c r="B140" s="33" t="s">
        <v>65</v>
      </c>
      <c r="C140" s="33" t="s">
        <v>202</v>
      </c>
      <c r="D140" s="33" t="s">
        <v>5</v>
      </c>
      <c r="E140" s="33" t="s">
        <v>203</v>
      </c>
      <c r="F140" s="33" t="s">
        <v>14</v>
      </c>
      <c r="G140" s="33" t="s">
        <v>204</v>
      </c>
      <c r="H140" s="33" t="s">
        <v>205</v>
      </c>
      <c r="I140" s="33" t="s">
        <v>206</v>
      </c>
      <c r="J140" s="33">
        <v>2724.17</v>
      </c>
      <c r="K140" s="33">
        <v>3.3495200000000001</v>
      </c>
      <c r="L140" s="33">
        <v>28.940729999999999</v>
      </c>
      <c r="Q140" s="33" t="s">
        <v>207</v>
      </c>
      <c r="R140" s="33">
        <v>2023</v>
      </c>
    </row>
    <row r="141" spans="1:18" ht="96.6" hidden="1" x14ac:dyDescent="0.25">
      <c r="A141" s="33" t="s">
        <v>172</v>
      </c>
      <c r="B141" s="33" t="s">
        <v>78</v>
      </c>
      <c r="C141" s="33" t="s">
        <v>202</v>
      </c>
      <c r="D141" s="33" t="s">
        <v>5</v>
      </c>
      <c r="E141" s="33" t="s">
        <v>203</v>
      </c>
      <c r="F141" s="33" t="s">
        <v>14</v>
      </c>
      <c r="G141" s="33" t="s">
        <v>204</v>
      </c>
      <c r="H141" s="33" t="s">
        <v>205</v>
      </c>
      <c r="I141" s="33" t="s">
        <v>206</v>
      </c>
      <c r="J141" s="33">
        <v>2724.17</v>
      </c>
      <c r="K141" s="33">
        <v>3.3495200000000001</v>
      </c>
      <c r="L141" s="33">
        <v>28.940729999999999</v>
      </c>
      <c r="Q141" s="33" t="s">
        <v>207</v>
      </c>
      <c r="R141" s="33">
        <v>2023</v>
      </c>
    </row>
    <row r="142" spans="1:18" ht="96.6" hidden="1" x14ac:dyDescent="0.25">
      <c r="A142" s="33" t="s">
        <v>118</v>
      </c>
      <c r="B142" s="33" t="s">
        <v>57</v>
      </c>
      <c r="C142" s="33" t="s">
        <v>202</v>
      </c>
      <c r="D142" s="33" t="s">
        <v>5</v>
      </c>
      <c r="E142" s="33" t="s">
        <v>203</v>
      </c>
      <c r="F142" s="33" t="s">
        <v>14</v>
      </c>
      <c r="G142" s="33" t="s">
        <v>204</v>
      </c>
      <c r="H142" s="33" t="s">
        <v>205</v>
      </c>
      <c r="I142" s="33" t="s">
        <v>206</v>
      </c>
      <c r="J142" s="33">
        <v>2724.17</v>
      </c>
      <c r="K142" s="33">
        <v>3.3495200000000001</v>
      </c>
      <c r="L142" s="33">
        <v>28.940729999999999</v>
      </c>
      <c r="Q142" s="33" t="s">
        <v>207</v>
      </c>
      <c r="R142" s="33">
        <v>2023</v>
      </c>
    </row>
    <row r="143" spans="1:18" ht="96.6" hidden="1" x14ac:dyDescent="0.25">
      <c r="A143" s="33" t="s">
        <v>118</v>
      </c>
      <c r="B143" s="33" t="s">
        <v>58</v>
      </c>
      <c r="C143" s="33" t="s">
        <v>202</v>
      </c>
      <c r="D143" s="33" t="s">
        <v>5</v>
      </c>
      <c r="E143" s="33" t="s">
        <v>203</v>
      </c>
      <c r="F143" s="33" t="s">
        <v>14</v>
      </c>
      <c r="G143" s="33" t="s">
        <v>204</v>
      </c>
      <c r="H143" s="33" t="s">
        <v>205</v>
      </c>
      <c r="I143" s="33" t="s">
        <v>206</v>
      </c>
      <c r="J143" s="33">
        <v>2724.17</v>
      </c>
      <c r="K143" s="33">
        <v>3.3495200000000001</v>
      </c>
      <c r="L143" s="33">
        <v>28.940729999999999</v>
      </c>
      <c r="Q143" s="33" t="s">
        <v>207</v>
      </c>
      <c r="R143" s="33">
        <v>2023</v>
      </c>
    </row>
    <row r="144" spans="1:18" ht="96.6" hidden="1" x14ac:dyDescent="0.25">
      <c r="A144" s="33" t="s">
        <v>118</v>
      </c>
      <c r="B144" s="33" t="s">
        <v>69</v>
      </c>
      <c r="C144" s="33" t="s">
        <v>202</v>
      </c>
      <c r="D144" s="33" t="s">
        <v>5</v>
      </c>
      <c r="E144" s="33" t="s">
        <v>203</v>
      </c>
      <c r="F144" s="33" t="s">
        <v>14</v>
      </c>
      <c r="G144" s="33" t="s">
        <v>204</v>
      </c>
      <c r="H144" s="33" t="s">
        <v>205</v>
      </c>
      <c r="I144" s="33" t="s">
        <v>206</v>
      </c>
      <c r="J144" s="33">
        <v>2724.17</v>
      </c>
      <c r="K144" s="33">
        <v>3.3495200000000001</v>
      </c>
      <c r="L144" s="33">
        <v>28.940729999999999</v>
      </c>
      <c r="Q144" s="33" t="s">
        <v>207</v>
      </c>
      <c r="R144" s="33">
        <v>2023</v>
      </c>
    </row>
    <row r="145" spans="1:18" ht="96.6" hidden="1" x14ac:dyDescent="0.25">
      <c r="A145" s="33" t="s">
        <v>118</v>
      </c>
      <c r="B145" s="33" t="s">
        <v>70</v>
      </c>
      <c r="C145" s="33" t="s">
        <v>202</v>
      </c>
      <c r="D145" s="33" t="s">
        <v>5</v>
      </c>
      <c r="E145" s="33" t="s">
        <v>203</v>
      </c>
      <c r="F145" s="33" t="s">
        <v>14</v>
      </c>
      <c r="G145" s="33" t="s">
        <v>204</v>
      </c>
      <c r="H145" s="33" t="s">
        <v>205</v>
      </c>
      <c r="I145" s="33" t="s">
        <v>206</v>
      </c>
      <c r="J145" s="33">
        <v>2724.17</v>
      </c>
      <c r="K145" s="33">
        <v>3.3495200000000001</v>
      </c>
      <c r="L145" s="33">
        <v>28.940729999999999</v>
      </c>
      <c r="Q145" s="33" t="s">
        <v>207</v>
      </c>
      <c r="R145" s="33">
        <v>2023</v>
      </c>
    </row>
    <row r="146" spans="1:18" ht="96.6" hidden="1" x14ac:dyDescent="0.25">
      <c r="A146" s="33" t="s">
        <v>118</v>
      </c>
      <c r="B146" s="33" t="s">
        <v>71</v>
      </c>
      <c r="C146" s="33" t="s">
        <v>202</v>
      </c>
      <c r="D146" s="33" t="s">
        <v>5</v>
      </c>
      <c r="E146" s="33" t="s">
        <v>203</v>
      </c>
      <c r="F146" s="33" t="s">
        <v>14</v>
      </c>
      <c r="G146" s="33" t="s">
        <v>204</v>
      </c>
      <c r="H146" s="33" t="s">
        <v>205</v>
      </c>
      <c r="I146" s="33" t="s">
        <v>206</v>
      </c>
      <c r="J146" s="33">
        <v>2724.17</v>
      </c>
      <c r="K146" s="33">
        <v>3.3495200000000001</v>
      </c>
      <c r="L146" s="33">
        <v>28.940729999999999</v>
      </c>
      <c r="Q146" s="33" t="s">
        <v>207</v>
      </c>
      <c r="R146" s="33">
        <v>2023</v>
      </c>
    </row>
    <row r="147" spans="1:18" ht="96.6" hidden="1" x14ac:dyDescent="0.25">
      <c r="A147" s="33" t="s">
        <v>118</v>
      </c>
      <c r="B147" s="33" t="s">
        <v>73</v>
      </c>
      <c r="C147" s="33" t="s">
        <v>202</v>
      </c>
      <c r="D147" s="33" t="s">
        <v>5</v>
      </c>
      <c r="E147" s="33" t="s">
        <v>203</v>
      </c>
      <c r="F147" s="33" t="s">
        <v>14</v>
      </c>
      <c r="G147" s="33" t="s">
        <v>204</v>
      </c>
      <c r="H147" s="33" t="s">
        <v>205</v>
      </c>
      <c r="I147" s="33" t="s">
        <v>206</v>
      </c>
      <c r="J147" s="33">
        <v>2724.17</v>
      </c>
      <c r="K147" s="33">
        <v>3.3495200000000001</v>
      </c>
      <c r="L147" s="33">
        <v>28.940729999999999</v>
      </c>
      <c r="Q147" s="33" t="s">
        <v>207</v>
      </c>
      <c r="R147" s="33">
        <v>2023</v>
      </c>
    </row>
    <row r="148" spans="1:18" ht="96.6" hidden="1" x14ac:dyDescent="0.25">
      <c r="A148" s="33" t="s">
        <v>118</v>
      </c>
      <c r="B148" s="33" t="s">
        <v>74</v>
      </c>
      <c r="C148" s="33" t="s">
        <v>202</v>
      </c>
      <c r="D148" s="33" t="s">
        <v>5</v>
      </c>
      <c r="E148" s="33" t="s">
        <v>203</v>
      </c>
      <c r="F148" s="33" t="s">
        <v>14</v>
      </c>
      <c r="G148" s="33" t="s">
        <v>204</v>
      </c>
      <c r="H148" s="33" t="s">
        <v>205</v>
      </c>
      <c r="I148" s="33" t="s">
        <v>206</v>
      </c>
      <c r="J148" s="33">
        <v>2724.17</v>
      </c>
      <c r="K148" s="33">
        <v>3.3495200000000001</v>
      </c>
      <c r="L148" s="33">
        <v>28.940729999999999</v>
      </c>
      <c r="Q148" s="33" t="s">
        <v>207</v>
      </c>
      <c r="R148" s="33">
        <v>2023</v>
      </c>
    </row>
    <row r="149" spans="1:18" ht="96.6" hidden="1" x14ac:dyDescent="0.25">
      <c r="A149" s="33" t="s">
        <v>118</v>
      </c>
      <c r="B149" s="33" t="s">
        <v>75</v>
      </c>
      <c r="C149" s="33" t="s">
        <v>202</v>
      </c>
      <c r="D149" s="33" t="s">
        <v>5</v>
      </c>
      <c r="E149" s="33" t="s">
        <v>203</v>
      </c>
      <c r="F149" s="33" t="s">
        <v>14</v>
      </c>
      <c r="G149" s="33" t="s">
        <v>204</v>
      </c>
      <c r="H149" s="33" t="s">
        <v>205</v>
      </c>
      <c r="I149" s="33" t="s">
        <v>206</v>
      </c>
      <c r="J149" s="33">
        <v>2724.17</v>
      </c>
      <c r="K149" s="33">
        <v>3.3495200000000001</v>
      </c>
      <c r="L149" s="33">
        <v>28.940729999999999</v>
      </c>
      <c r="Q149" s="33" t="s">
        <v>207</v>
      </c>
      <c r="R149" s="33">
        <v>2023</v>
      </c>
    </row>
    <row r="150" spans="1:18" ht="96.6" hidden="1" x14ac:dyDescent="0.25">
      <c r="A150" s="33" t="s">
        <v>118</v>
      </c>
      <c r="B150" s="33" t="s">
        <v>76</v>
      </c>
      <c r="C150" s="33" t="s">
        <v>202</v>
      </c>
      <c r="D150" s="33" t="s">
        <v>5</v>
      </c>
      <c r="E150" s="33" t="s">
        <v>203</v>
      </c>
      <c r="F150" s="33" t="s">
        <v>14</v>
      </c>
      <c r="G150" s="33" t="s">
        <v>204</v>
      </c>
      <c r="H150" s="33" t="s">
        <v>205</v>
      </c>
      <c r="I150" s="33" t="s">
        <v>206</v>
      </c>
      <c r="J150" s="33">
        <v>2724.17</v>
      </c>
      <c r="K150" s="33">
        <v>3.3495200000000001</v>
      </c>
      <c r="L150" s="33">
        <v>28.940729999999999</v>
      </c>
      <c r="Q150" s="33" t="s">
        <v>207</v>
      </c>
      <c r="R150" s="33">
        <v>2023</v>
      </c>
    </row>
    <row r="151" spans="1:18" ht="96.6" hidden="1" x14ac:dyDescent="0.25">
      <c r="A151" s="33" t="s">
        <v>108</v>
      </c>
      <c r="B151" s="33" t="s">
        <v>55</v>
      </c>
      <c r="C151" s="33" t="s">
        <v>202</v>
      </c>
      <c r="D151" s="33" t="s">
        <v>5</v>
      </c>
      <c r="E151" s="33" t="s">
        <v>203</v>
      </c>
      <c r="F151" s="33" t="s">
        <v>15</v>
      </c>
      <c r="G151" s="33" t="s">
        <v>204</v>
      </c>
      <c r="H151" s="33" t="s">
        <v>205</v>
      </c>
      <c r="I151" s="33" t="s">
        <v>206</v>
      </c>
      <c r="J151" s="33">
        <v>2083.54</v>
      </c>
      <c r="K151" s="33">
        <v>8.5823999999999998</v>
      </c>
      <c r="L151" s="33">
        <v>6.0469499999999998</v>
      </c>
      <c r="Q151" s="33" t="s">
        <v>207</v>
      </c>
      <c r="R151" s="33">
        <v>2023</v>
      </c>
    </row>
    <row r="152" spans="1:18" ht="96.6" hidden="1" x14ac:dyDescent="0.25">
      <c r="A152" s="33" t="s">
        <v>108</v>
      </c>
      <c r="B152" s="33" t="s">
        <v>61</v>
      </c>
      <c r="C152" s="33" t="s">
        <v>202</v>
      </c>
      <c r="D152" s="33" t="s">
        <v>5</v>
      </c>
      <c r="E152" s="33" t="s">
        <v>203</v>
      </c>
      <c r="F152" s="33" t="s">
        <v>15</v>
      </c>
      <c r="G152" s="33" t="s">
        <v>204</v>
      </c>
      <c r="H152" s="33" t="s">
        <v>205</v>
      </c>
      <c r="I152" s="33" t="s">
        <v>206</v>
      </c>
      <c r="J152" s="33">
        <v>2083.54</v>
      </c>
      <c r="K152" s="33">
        <v>8.5823999999999998</v>
      </c>
      <c r="L152" s="33">
        <v>6.0469499999999998</v>
      </c>
      <c r="Q152" s="33" t="s">
        <v>207</v>
      </c>
      <c r="R152" s="33">
        <v>2023</v>
      </c>
    </row>
    <row r="153" spans="1:18" ht="96.6" hidden="1" x14ac:dyDescent="0.25">
      <c r="A153" s="33" t="s">
        <v>157</v>
      </c>
      <c r="B153" s="33" t="s">
        <v>72</v>
      </c>
      <c r="C153" s="33" t="s">
        <v>202</v>
      </c>
      <c r="D153" s="33" t="s">
        <v>5</v>
      </c>
      <c r="E153" s="33" t="s">
        <v>203</v>
      </c>
      <c r="F153" s="33" t="s">
        <v>15</v>
      </c>
      <c r="G153" s="33" t="s">
        <v>204</v>
      </c>
      <c r="H153" s="33" t="s">
        <v>205</v>
      </c>
      <c r="I153" s="33" t="s">
        <v>206</v>
      </c>
      <c r="J153" s="33">
        <v>2083.54</v>
      </c>
      <c r="K153" s="33">
        <v>8.5823999999999998</v>
      </c>
      <c r="L153" s="33">
        <v>6.0469499999999998</v>
      </c>
      <c r="Q153" s="33" t="s">
        <v>207</v>
      </c>
      <c r="R153" s="33">
        <v>2023</v>
      </c>
    </row>
    <row r="154" spans="1:18" ht="96.6" hidden="1" x14ac:dyDescent="0.25">
      <c r="A154" s="33" t="s">
        <v>123</v>
      </c>
      <c r="B154" s="33" t="s">
        <v>59</v>
      </c>
      <c r="C154" s="33" t="s">
        <v>202</v>
      </c>
      <c r="D154" s="33" t="s">
        <v>5</v>
      </c>
      <c r="E154" s="33" t="s">
        <v>203</v>
      </c>
      <c r="F154" s="33" t="s">
        <v>15</v>
      </c>
      <c r="G154" s="33" t="s">
        <v>204</v>
      </c>
      <c r="H154" s="33" t="s">
        <v>205</v>
      </c>
      <c r="I154" s="33" t="s">
        <v>206</v>
      </c>
      <c r="J154" s="33">
        <v>2083.54</v>
      </c>
      <c r="K154" s="33">
        <v>8.5823999999999998</v>
      </c>
      <c r="L154" s="33">
        <v>6.0469499999999998</v>
      </c>
      <c r="Q154" s="33" t="s">
        <v>207</v>
      </c>
      <c r="R154" s="33">
        <v>2023</v>
      </c>
    </row>
    <row r="155" spans="1:18" ht="96.6" hidden="1" x14ac:dyDescent="0.25">
      <c r="A155" s="33" t="s">
        <v>123</v>
      </c>
      <c r="B155" s="33" t="s">
        <v>60</v>
      </c>
      <c r="C155" s="33" t="s">
        <v>202</v>
      </c>
      <c r="D155" s="33" t="s">
        <v>5</v>
      </c>
      <c r="E155" s="33" t="s">
        <v>203</v>
      </c>
      <c r="F155" s="33" t="s">
        <v>15</v>
      </c>
      <c r="G155" s="33" t="s">
        <v>204</v>
      </c>
      <c r="H155" s="33" t="s">
        <v>205</v>
      </c>
      <c r="I155" s="33" t="s">
        <v>206</v>
      </c>
      <c r="J155" s="33">
        <v>2083.54</v>
      </c>
      <c r="K155" s="33">
        <v>8.5823999999999998</v>
      </c>
      <c r="L155" s="33">
        <v>6.0469499999999998</v>
      </c>
      <c r="Q155" s="33" t="s">
        <v>207</v>
      </c>
      <c r="R155" s="33">
        <v>2023</v>
      </c>
    </row>
    <row r="156" spans="1:18" ht="96.6" hidden="1" x14ac:dyDescent="0.25">
      <c r="A156" s="33" t="s">
        <v>123</v>
      </c>
      <c r="B156" s="33" t="s">
        <v>63</v>
      </c>
      <c r="C156" s="33" t="s">
        <v>202</v>
      </c>
      <c r="D156" s="33" t="s">
        <v>5</v>
      </c>
      <c r="E156" s="33" t="s">
        <v>203</v>
      </c>
      <c r="F156" s="33" t="s">
        <v>15</v>
      </c>
      <c r="G156" s="33" t="s">
        <v>204</v>
      </c>
      <c r="H156" s="33" t="s">
        <v>205</v>
      </c>
      <c r="I156" s="33" t="s">
        <v>206</v>
      </c>
      <c r="J156" s="33">
        <v>2083.54</v>
      </c>
      <c r="K156" s="33">
        <v>8.5823999999999998</v>
      </c>
      <c r="L156" s="33">
        <v>6.0469499999999998</v>
      </c>
      <c r="Q156" s="33" t="s">
        <v>207</v>
      </c>
      <c r="R156" s="33">
        <v>2023</v>
      </c>
    </row>
    <row r="157" spans="1:18" ht="96.6" hidden="1" x14ac:dyDescent="0.25">
      <c r="A157" s="33" t="s">
        <v>123</v>
      </c>
      <c r="B157" s="33" t="s">
        <v>64</v>
      </c>
      <c r="C157" s="33" t="s">
        <v>202</v>
      </c>
      <c r="D157" s="33" t="s">
        <v>5</v>
      </c>
      <c r="E157" s="33" t="s">
        <v>203</v>
      </c>
      <c r="F157" s="33" t="s">
        <v>15</v>
      </c>
      <c r="G157" s="33" t="s">
        <v>204</v>
      </c>
      <c r="H157" s="33" t="s">
        <v>205</v>
      </c>
      <c r="I157" s="33" t="s">
        <v>206</v>
      </c>
      <c r="J157" s="33">
        <v>2083.54</v>
      </c>
      <c r="K157" s="33">
        <v>8.5823999999999998</v>
      </c>
      <c r="L157" s="33">
        <v>6.0469499999999998</v>
      </c>
      <c r="Q157" s="33" t="s">
        <v>207</v>
      </c>
      <c r="R157" s="33">
        <v>2023</v>
      </c>
    </row>
    <row r="158" spans="1:18" ht="96.6" hidden="1" x14ac:dyDescent="0.25">
      <c r="A158" s="33" t="s">
        <v>123</v>
      </c>
      <c r="B158" s="33" t="s">
        <v>66</v>
      </c>
      <c r="C158" s="33" t="s">
        <v>202</v>
      </c>
      <c r="D158" s="33" t="s">
        <v>5</v>
      </c>
      <c r="E158" s="33" t="s">
        <v>203</v>
      </c>
      <c r="F158" s="33" t="s">
        <v>15</v>
      </c>
      <c r="G158" s="33" t="s">
        <v>204</v>
      </c>
      <c r="H158" s="33" t="s">
        <v>205</v>
      </c>
      <c r="I158" s="33" t="s">
        <v>206</v>
      </c>
      <c r="J158" s="33">
        <v>2083.54</v>
      </c>
      <c r="K158" s="33">
        <v>8.5823999999999998</v>
      </c>
      <c r="L158" s="33">
        <v>6.0469499999999998</v>
      </c>
      <c r="Q158" s="33" t="s">
        <v>207</v>
      </c>
      <c r="R158" s="33">
        <v>2023</v>
      </c>
    </row>
    <row r="159" spans="1:18" ht="96.6" hidden="1" x14ac:dyDescent="0.25">
      <c r="A159" s="33" t="s">
        <v>123</v>
      </c>
      <c r="B159" s="33" t="s">
        <v>67</v>
      </c>
      <c r="C159" s="33" t="s">
        <v>202</v>
      </c>
      <c r="D159" s="33" t="s">
        <v>5</v>
      </c>
      <c r="E159" s="33" t="s">
        <v>203</v>
      </c>
      <c r="F159" s="33" t="s">
        <v>15</v>
      </c>
      <c r="G159" s="33" t="s">
        <v>204</v>
      </c>
      <c r="H159" s="33" t="s">
        <v>205</v>
      </c>
      <c r="I159" s="33" t="s">
        <v>206</v>
      </c>
      <c r="J159" s="33">
        <v>2083.54</v>
      </c>
      <c r="K159" s="33">
        <v>8.5823999999999998</v>
      </c>
      <c r="L159" s="33">
        <v>6.0469499999999998</v>
      </c>
      <c r="Q159" s="33" t="s">
        <v>207</v>
      </c>
      <c r="R159" s="33">
        <v>2023</v>
      </c>
    </row>
    <row r="160" spans="1:18" ht="96.6" hidden="1" x14ac:dyDescent="0.25">
      <c r="A160" s="33" t="s">
        <v>123</v>
      </c>
      <c r="B160" s="33" t="s">
        <v>68</v>
      </c>
      <c r="C160" s="33" t="s">
        <v>202</v>
      </c>
      <c r="D160" s="33" t="s">
        <v>5</v>
      </c>
      <c r="E160" s="33" t="s">
        <v>203</v>
      </c>
      <c r="F160" s="33" t="s">
        <v>15</v>
      </c>
      <c r="G160" s="33" t="s">
        <v>204</v>
      </c>
      <c r="H160" s="33" t="s">
        <v>205</v>
      </c>
      <c r="I160" s="33" t="s">
        <v>206</v>
      </c>
      <c r="J160" s="33">
        <v>2083.54</v>
      </c>
      <c r="K160" s="33">
        <v>8.5823999999999998</v>
      </c>
      <c r="L160" s="33">
        <v>6.0469499999999998</v>
      </c>
      <c r="Q160" s="33" t="s">
        <v>207</v>
      </c>
      <c r="R160" s="33">
        <v>2023</v>
      </c>
    </row>
    <row r="161" spans="1:18" ht="96.6" hidden="1" x14ac:dyDescent="0.25">
      <c r="A161" s="33" t="s">
        <v>123</v>
      </c>
      <c r="B161" s="33" t="s">
        <v>77</v>
      </c>
      <c r="C161" s="33" t="s">
        <v>202</v>
      </c>
      <c r="D161" s="33" t="s">
        <v>5</v>
      </c>
      <c r="E161" s="33" t="s">
        <v>203</v>
      </c>
      <c r="F161" s="33" t="s">
        <v>15</v>
      </c>
      <c r="G161" s="33" t="s">
        <v>204</v>
      </c>
      <c r="H161" s="33" t="s">
        <v>205</v>
      </c>
      <c r="I161" s="33" t="s">
        <v>206</v>
      </c>
      <c r="J161" s="33">
        <v>2083.54</v>
      </c>
      <c r="K161" s="33">
        <v>8.5823999999999998</v>
      </c>
      <c r="L161" s="33">
        <v>6.0469499999999998</v>
      </c>
      <c r="Q161" s="33" t="s">
        <v>207</v>
      </c>
      <c r="R161" s="33">
        <v>2023</v>
      </c>
    </row>
    <row r="162" spans="1:18" ht="96.6" hidden="1" x14ac:dyDescent="0.25">
      <c r="A162" s="33" t="s">
        <v>113</v>
      </c>
      <c r="B162" s="33" t="s">
        <v>56</v>
      </c>
      <c r="C162" s="33" t="s">
        <v>202</v>
      </c>
      <c r="D162" s="33" t="s">
        <v>5</v>
      </c>
      <c r="E162" s="33" t="s">
        <v>203</v>
      </c>
      <c r="F162" s="33" t="s">
        <v>15</v>
      </c>
      <c r="G162" s="33" t="s">
        <v>204</v>
      </c>
      <c r="H162" s="33" t="s">
        <v>205</v>
      </c>
      <c r="I162" s="33" t="s">
        <v>206</v>
      </c>
      <c r="J162" s="33">
        <v>2083.54</v>
      </c>
      <c r="K162" s="33">
        <v>8.5823999999999998</v>
      </c>
      <c r="L162" s="33">
        <v>6.0469499999999998</v>
      </c>
      <c r="Q162" s="33" t="s">
        <v>207</v>
      </c>
      <c r="R162" s="33">
        <v>2023</v>
      </c>
    </row>
    <row r="163" spans="1:18" ht="96.6" hidden="1" x14ac:dyDescent="0.25">
      <c r="A163" s="33" t="s">
        <v>113</v>
      </c>
      <c r="B163" s="33" t="s">
        <v>62</v>
      </c>
      <c r="C163" s="33" t="s">
        <v>202</v>
      </c>
      <c r="D163" s="33" t="s">
        <v>5</v>
      </c>
      <c r="E163" s="33" t="s">
        <v>203</v>
      </c>
      <c r="F163" s="33" t="s">
        <v>15</v>
      </c>
      <c r="G163" s="33" t="s">
        <v>204</v>
      </c>
      <c r="H163" s="33" t="s">
        <v>205</v>
      </c>
      <c r="I163" s="33" t="s">
        <v>206</v>
      </c>
      <c r="J163" s="33">
        <v>2083.54</v>
      </c>
      <c r="K163" s="33">
        <v>8.5823999999999998</v>
      </c>
      <c r="L163" s="33">
        <v>6.0469499999999998</v>
      </c>
      <c r="Q163" s="33" t="s">
        <v>207</v>
      </c>
      <c r="R163" s="33">
        <v>2023</v>
      </c>
    </row>
    <row r="164" spans="1:18" ht="96.6" hidden="1" x14ac:dyDescent="0.25">
      <c r="A164" s="33" t="s">
        <v>113</v>
      </c>
      <c r="B164" s="33" t="s">
        <v>65</v>
      </c>
      <c r="C164" s="33" t="s">
        <v>202</v>
      </c>
      <c r="D164" s="33" t="s">
        <v>5</v>
      </c>
      <c r="E164" s="33" t="s">
        <v>203</v>
      </c>
      <c r="F164" s="33" t="s">
        <v>15</v>
      </c>
      <c r="G164" s="33" t="s">
        <v>204</v>
      </c>
      <c r="H164" s="33" t="s">
        <v>205</v>
      </c>
      <c r="I164" s="33" t="s">
        <v>206</v>
      </c>
      <c r="J164" s="33">
        <v>2083.54</v>
      </c>
      <c r="K164" s="33">
        <v>8.5823999999999998</v>
      </c>
      <c r="L164" s="33">
        <v>6.0469499999999998</v>
      </c>
      <c r="Q164" s="33" t="s">
        <v>207</v>
      </c>
      <c r="R164" s="33">
        <v>2023</v>
      </c>
    </row>
    <row r="165" spans="1:18" ht="96.6" hidden="1" x14ac:dyDescent="0.25">
      <c r="A165" s="33" t="s">
        <v>172</v>
      </c>
      <c r="B165" s="33" t="s">
        <v>78</v>
      </c>
      <c r="C165" s="33" t="s">
        <v>202</v>
      </c>
      <c r="D165" s="33" t="s">
        <v>5</v>
      </c>
      <c r="E165" s="33" t="s">
        <v>203</v>
      </c>
      <c r="F165" s="33" t="s">
        <v>15</v>
      </c>
      <c r="G165" s="33" t="s">
        <v>204</v>
      </c>
      <c r="H165" s="33" t="s">
        <v>205</v>
      </c>
      <c r="I165" s="33" t="s">
        <v>206</v>
      </c>
      <c r="J165" s="33">
        <v>2083.54</v>
      </c>
      <c r="K165" s="33">
        <v>8.5823999999999998</v>
      </c>
      <c r="L165" s="33">
        <v>6.0469499999999998</v>
      </c>
      <c r="Q165" s="33" t="s">
        <v>207</v>
      </c>
      <c r="R165" s="33">
        <v>2023</v>
      </c>
    </row>
    <row r="166" spans="1:18" ht="96.6" hidden="1" x14ac:dyDescent="0.25">
      <c r="A166" s="33" t="s">
        <v>118</v>
      </c>
      <c r="B166" s="33" t="s">
        <v>57</v>
      </c>
      <c r="C166" s="33" t="s">
        <v>202</v>
      </c>
      <c r="D166" s="33" t="s">
        <v>5</v>
      </c>
      <c r="E166" s="33" t="s">
        <v>203</v>
      </c>
      <c r="F166" s="33" t="s">
        <v>15</v>
      </c>
      <c r="G166" s="33" t="s">
        <v>204</v>
      </c>
      <c r="H166" s="33" t="s">
        <v>205</v>
      </c>
      <c r="I166" s="33" t="s">
        <v>206</v>
      </c>
      <c r="J166" s="33">
        <v>2083.54</v>
      </c>
      <c r="K166" s="33">
        <v>8.5823999999999998</v>
      </c>
      <c r="L166" s="33">
        <v>6.0469499999999998</v>
      </c>
      <c r="Q166" s="33" t="s">
        <v>207</v>
      </c>
      <c r="R166" s="33">
        <v>2023</v>
      </c>
    </row>
    <row r="167" spans="1:18" ht="96.6" hidden="1" x14ac:dyDescent="0.25">
      <c r="A167" s="33" t="s">
        <v>118</v>
      </c>
      <c r="B167" s="33" t="s">
        <v>58</v>
      </c>
      <c r="C167" s="33" t="s">
        <v>202</v>
      </c>
      <c r="D167" s="33" t="s">
        <v>5</v>
      </c>
      <c r="E167" s="33" t="s">
        <v>203</v>
      </c>
      <c r="F167" s="33" t="s">
        <v>15</v>
      </c>
      <c r="G167" s="33" t="s">
        <v>204</v>
      </c>
      <c r="H167" s="33" t="s">
        <v>205</v>
      </c>
      <c r="I167" s="33" t="s">
        <v>206</v>
      </c>
      <c r="J167" s="33">
        <v>2083.54</v>
      </c>
      <c r="K167" s="33">
        <v>8.5823999999999998</v>
      </c>
      <c r="L167" s="33">
        <v>6.0469499999999998</v>
      </c>
      <c r="Q167" s="33" t="s">
        <v>207</v>
      </c>
      <c r="R167" s="33">
        <v>2023</v>
      </c>
    </row>
    <row r="168" spans="1:18" ht="96.6" hidden="1" x14ac:dyDescent="0.25">
      <c r="A168" s="33" t="s">
        <v>118</v>
      </c>
      <c r="B168" s="33" t="s">
        <v>69</v>
      </c>
      <c r="C168" s="33" t="s">
        <v>202</v>
      </c>
      <c r="D168" s="33" t="s">
        <v>5</v>
      </c>
      <c r="E168" s="33" t="s">
        <v>203</v>
      </c>
      <c r="F168" s="33" t="s">
        <v>15</v>
      </c>
      <c r="G168" s="33" t="s">
        <v>204</v>
      </c>
      <c r="H168" s="33" t="s">
        <v>205</v>
      </c>
      <c r="I168" s="33" t="s">
        <v>206</v>
      </c>
      <c r="J168" s="33">
        <v>2083.54</v>
      </c>
      <c r="K168" s="33">
        <v>8.5823999999999998</v>
      </c>
      <c r="L168" s="33">
        <v>6.0469499999999998</v>
      </c>
      <c r="Q168" s="33" t="s">
        <v>207</v>
      </c>
      <c r="R168" s="33">
        <v>2023</v>
      </c>
    </row>
    <row r="169" spans="1:18" ht="96.6" hidden="1" x14ac:dyDescent="0.25">
      <c r="A169" s="33" t="s">
        <v>118</v>
      </c>
      <c r="B169" s="33" t="s">
        <v>70</v>
      </c>
      <c r="C169" s="33" t="s">
        <v>202</v>
      </c>
      <c r="D169" s="33" t="s">
        <v>5</v>
      </c>
      <c r="E169" s="33" t="s">
        <v>203</v>
      </c>
      <c r="F169" s="33" t="s">
        <v>15</v>
      </c>
      <c r="G169" s="33" t="s">
        <v>204</v>
      </c>
      <c r="H169" s="33" t="s">
        <v>205</v>
      </c>
      <c r="I169" s="33" t="s">
        <v>206</v>
      </c>
      <c r="J169" s="33">
        <v>2083.54</v>
      </c>
      <c r="K169" s="33">
        <v>8.5823999999999998</v>
      </c>
      <c r="L169" s="33">
        <v>6.0469499999999998</v>
      </c>
      <c r="Q169" s="33" t="s">
        <v>207</v>
      </c>
      <c r="R169" s="33">
        <v>2023</v>
      </c>
    </row>
    <row r="170" spans="1:18" ht="96.6" hidden="1" x14ac:dyDescent="0.25">
      <c r="A170" s="33" t="s">
        <v>118</v>
      </c>
      <c r="B170" s="33" t="s">
        <v>71</v>
      </c>
      <c r="C170" s="33" t="s">
        <v>202</v>
      </c>
      <c r="D170" s="33" t="s">
        <v>5</v>
      </c>
      <c r="E170" s="33" t="s">
        <v>203</v>
      </c>
      <c r="F170" s="33" t="s">
        <v>15</v>
      </c>
      <c r="G170" s="33" t="s">
        <v>204</v>
      </c>
      <c r="H170" s="33" t="s">
        <v>205</v>
      </c>
      <c r="I170" s="33" t="s">
        <v>206</v>
      </c>
      <c r="J170" s="33">
        <v>2083.54</v>
      </c>
      <c r="K170" s="33">
        <v>8.5823999999999998</v>
      </c>
      <c r="L170" s="33">
        <v>6.0469499999999998</v>
      </c>
      <c r="Q170" s="33" t="s">
        <v>207</v>
      </c>
      <c r="R170" s="33">
        <v>2023</v>
      </c>
    </row>
    <row r="171" spans="1:18" ht="96.6" hidden="1" x14ac:dyDescent="0.25">
      <c r="A171" s="33" t="s">
        <v>118</v>
      </c>
      <c r="B171" s="33" t="s">
        <v>73</v>
      </c>
      <c r="C171" s="33" t="s">
        <v>202</v>
      </c>
      <c r="D171" s="33" t="s">
        <v>5</v>
      </c>
      <c r="E171" s="33" t="s">
        <v>203</v>
      </c>
      <c r="F171" s="33" t="s">
        <v>15</v>
      </c>
      <c r="G171" s="33" t="s">
        <v>204</v>
      </c>
      <c r="H171" s="33" t="s">
        <v>205</v>
      </c>
      <c r="I171" s="33" t="s">
        <v>206</v>
      </c>
      <c r="J171" s="33">
        <v>2083.54</v>
      </c>
      <c r="K171" s="33">
        <v>8.5823999999999998</v>
      </c>
      <c r="L171" s="33">
        <v>6.0469499999999998</v>
      </c>
      <c r="Q171" s="33" t="s">
        <v>207</v>
      </c>
      <c r="R171" s="33">
        <v>2023</v>
      </c>
    </row>
    <row r="172" spans="1:18" ht="96.6" hidden="1" x14ac:dyDescent="0.25">
      <c r="A172" s="33" t="s">
        <v>118</v>
      </c>
      <c r="B172" s="33" t="s">
        <v>74</v>
      </c>
      <c r="C172" s="33" t="s">
        <v>202</v>
      </c>
      <c r="D172" s="33" t="s">
        <v>5</v>
      </c>
      <c r="E172" s="33" t="s">
        <v>203</v>
      </c>
      <c r="F172" s="33" t="s">
        <v>15</v>
      </c>
      <c r="G172" s="33" t="s">
        <v>204</v>
      </c>
      <c r="H172" s="33" t="s">
        <v>205</v>
      </c>
      <c r="I172" s="33" t="s">
        <v>206</v>
      </c>
      <c r="J172" s="33">
        <v>2083.54</v>
      </c>
      <c r="K172" s="33">
        <v>8.5823999999999998</v>
      </c>
      <c r="L172" s="33">
        <v>6.0469499999999998</v>
      </c>
      <c r="Q172" s="33" t="s">
        <v>207</v>
      </c>
      <c r="R172" s="33">
        <v>2023</v>
      </c>
    </row>
    <row r="173" spans="1:18" ht="96.6" hidden="1" x14ac:dyDescent="0.25">
      <c r="A173" s="33" t="s">
        <v>118</v>
      </c>
      <c r="B173" s="33" t="s">
        <v>75</v>
      </c>
      <c r="C173" s="33" t="s">
        <v>202</v>
      </c>
      <c r="D173" s="33" t="s">
        <v>5</v>
      </c>
      <c r="E173" s="33" t="s">
        <v>203</v>
      </c>
      <c r="F173" s="33" t="s">
        <v>15</v>
      </c>
      <c r="G173" s="33" t="s">
        <v>204</v>
      </c>
      <c r="H173" s="33" t="s">
        <v>205</v>
      </c>
      <c r="I173" s="33" t="s">
        <v>206</v>
      </c>
      <c r="J173" s="33">
        <v>2083.54</v>
      </c>
      <c r="K173" s="33">
        <v>8.5823999999999998</v>
      </c>
      <c r="L173" s="33">
        <v>6.0469499999999998</v>
      </c>
      <c r="Q173" s="33" t="s">
        <v>207</v>
      </c>
      <c r="R173" s="33">
        <v>2023</v>
      </c>
    </row>
    <row r="174" spans="1:18" ht="96.6" hidden="1" x14ac:dyDescent="0.25">
      <c r="A174" s="33" t="s">
        <v>118</v>
      </c>
      <c r="B174" s="33" t="s">
        <v>76</v>
      </c>
      <c r="C174" s="33" t="s">
        <v>202</v>
      </c>
      <c r="D174" s="33" t="s">
        <v>5</v>
      </c>
      <c r="E174" s="33" t="s">
        <v>203</v>
      </c>
      <c r="F174" s="33" t="s">
        <v>15</v>
      </c>
      <c r="G174" s="33" t="s">
        <v>204</v>
      </c>
      <c r="H174" s="33" t="s">
        <v>205</v>
      </c>
      <c r="I174" s="33" t="s">
        <v>206</v>
      </c>
      <c r="J174" s="33">
        <v>2083.54</v>
      </c>
      <c r="K174" s="33">
        <v>8.5823999999999998</v>
      </c>
      <c r="L174" s="33">
        <v>6.0469499999999998</v>
      </c>
      <c r="Q174" s="33" t="s">
        <v>207</v>
      </c>
      <c r="R174" s="33">
        <v>2023</v>
      </c>
    </row>
    <row r="175" spans="1:18" ht="27.6" hidden="1" x14ac:dyDescent="0.25">
      <c r="A175" s="33" t="s">
        <v>108</v>
      </c>
      <c r="B175" s="33" t="s">
        <v>55</v>
      </c>
      <c r="C175" s="33" t="s">
        <v>208</v>
      </c>
      <c r="D175" s="33" t="s">
        <v>5</v>
      </c>
      <c r="E175" s="33" t="s">
        <v>203</v>
      </c>
      <c r="F175" s="33" t="s">
        <v>216</v>
      </c>
      <c r="G175" s="33" t="s">
        <v>204</v>
      </c>
      <c r="H175" s="33" t="s">
        <v>209</v>
      </c>
      <c r="I175" s="33" t="s">
        <v>209</v>
      </c>
      <c r="J175" s="33">
        <v>2083.54</v>
      </c>
      <c r="K175" s="33">
        <v>8.5823999999999998</v>
      </c>
      <c r="L175" s="33">
        <v>6.0469499999999998</v>
      </c>
      <c r="Q175" s="33" t="s">
        <v>217</v>
      </c>
      <c r="R175" s="33" t="s">
        <v>208</v>
      </c>
    </row>
    <row r="176" spans="1:18" ht="27.6" hidden="1" x14ac:dyDescent="0.25">
      <c r="A176" s="33" t="s">
        <v>108</v>
      </c>
      <c r="B176" s="33" t="s">
        <v>61</v>
      </c>
      <c r="C176" s="33" t="s">
        <v>208</v>
      </c>
      <c r="D176" s="33" t="s">
        <v>5</v>
      </c>
      <c r="E176" s="33" t="s">
        <v>203</v>
      </c>
      <c r="F176" s="33" t="s">
        <v>216</v>
      </c>
      <c r="G176" s="33" t="s">
        <v>204</v>
      </c>
      <c r="H176" s="33" t="s">
        <v>209</v>
      </c>
      <c r="I176" s="33" t="s">
        <v>209</v>
      </c>
      <c r="J176" s="33">
        <v>2083.54</v>
      </c>
      <c r="K176" s="33">
        <v>8.5823999999999998</v>
      </c>
      <c r="L176" s="33">
        <v>6.0469499999999998</v>
      </c>
      <c r="Q176" s="33" t="s">
        <v>217</v>
      </c>
      <c r="R176" s="33" t="s">
        <v>208</v>
      </c>
    </row>
    <row r="177" spans="1:18" ht="27.6" hidden="1" x14ac:dyDescent="0.25">
      <c r="A177" s="33" t="s">
        <v>157</v>
      </c>
      <c r="B177" s="33" t="s">
        <v>72</v>
      </c>
      <c r="C177" s="33" t="s">
        <v>208</v>
      </c>
      <c r="D177" s="33" t="s">
        <v>5</v>
      </c>
      <c r="E177" s="33" t="s">
        <v>203</v>
      </c>
      <c r="F177" s="33" t="s">
        <v>216</v>
      </c>
      <c r="G177" s="33" t="s">
        <v>204</v>
      </c>
      <c r="H177" s="33" t="s">
        <v>209</v>
      </c>
      <c r="I177" s="33" t="s">
        <v>209</v>
      </c>
      <c r="J177" s="33">
        <v>2083.54</v>
      </c>
      <c r="K177" s="33">
        <v>8.5823999999999998</v>
      </c>
      <c r="L177" s="33">
        <v>6.0469499999999998</v>
      </c>
      <c r="Q177" s="33" t="s">
        <v>217</v>
      </c>
      <c r="R177" s="33" t="s">
        <v>208</v>
      </c>
    </row>
    <row r="178" spans="1:18" ht="27.6" hidden="1" x14ac:dyDescent="0.25">
      <c r="A178" s="33" t="s">
        <v>123</v>
      </c>
      <c r="B178" s="33" t="s">
        <v>59</v>
      </c>
      <c r="C178" s="33" t="s">
        <v>208</v>
      </c>
      <c r="D178" s="33" t="s">
        <v>5</v>
      </c>
      <c r="E178" s="33" t="s">
        <v>203</v>
      </c>
      <c r="F178" s="33" t="s">
        <v>216</v>
      </c>
      <c r="G178" s="33" t="s">
        <v>204</v>
      </c>
      <c r="H178" s="33" t="s">
        <v>209</v>
      </c>
      <c r="I178" s="33" t="s">
        <v>209</v>
      </c>
      <c r="J178" s="33">
        <v>2083.54</v>
      </c>
      <c r="K178" s="33">
        <v>8.5823999999999998</v>
      </c>
      <c r="L178" s="33">
        <v>6.0469499999999998</v>
      </c>
      <c r="Q178" s="33" t="s">
        <v>217</v>
      </c>
      <c r="R178" s="33" t="s">
        <v>208</v>
      </c>
    </row>
    <row r="179" spans="1:18" ht="27.6" hidden="1" x14ac:dyDescent="0.25">
      <c r="A179" s="33" t="s">
        <v>123</v>
      </c>
      <c r="B179" s="33" t="s">
        <v>60</v>
      </c>
      <c r="C179" s="33" t="s">
        <v>208</v>
      </c>
      <c r="D179" s="33" t="s">
        <v>5</v>
      </c>
      <c r="E179" s="33" t="s">
        <v>203</v>
      </c>
      <c r="F179" s="33" t="s">
        <v>216</v>
      </c>
      <c r="G179" s="33" t="s">
        <v>204</v>
      </c>
      <c r="H179" s="33" t="s">
        <v>209</v>
      </c>
      <c r="I179" s="33" t="s">
        <v>209</v>
      </c>
      <c r="J179" s="33">
        <v>2083.54</v>
      </c>
      <c r="K179" s="33">
        <v>8.5823999999999998</v>
      </c>
      <c r="L179" s="33">
        <v>6.0469499999999998</v>
      </c>
      <c r="Q179" s="33" t="s">
        <v>217</v>
      </c>
      <c r="R179" s="33" t="s">
        <v>208</v>
      </c>
    </row>
    <row r="180" spans="1:18" ht="27.6" hidden="1" x14ac:dyDescent="0.25">
      <c r="A180" s="33" t="s">
        <v>123</v>
      </c>
      <c r="B180" s="33" t="s">
        <v>63</v>
      </c>
      <c r="C180" s="33" t="s">
        <v>208</v>
      </c>
      <c r="D180" s="33" t="s">
        <v>5</v>
      </c>
      <c r="E180" s="33" t="s">
        <v>203</v>
      </c>
      <c r="F180" s="33" t="s">
        <v>216</v>
      </c>
      <c r="G180" s="33" t="s">
        <v>204</v>
      </c>
      <c r="H180" s="33" t="s">
        <v>209</v>
      </c>
      <c r="I180" s="33" t="s">
        <v>209</v>
      </c>
      <c r="J180" s="33">
        <v>2083.54</v>
      </c>
      <c r="K180" s="33">
        <v>8.5823999999999998</v>
      </c>
      <c r="L180" s="33">
        <v>6.0469499999999998</v>
      </c>
      <c r="Q180" s="33" t="s">
        <v>217</v>
      </c>
      <c r="R180" s="33" t="s">
        <v>208</v>
      </c>
    </row>
    <row r="181" spans="1:18" ht="27.6" hidden="1" x14ac:dyDescent="0.25">
      <c r="A181" s="33" t="s">
        <v>123</v>
      </c>
      <c r="B181" s="33" t="s">
        <v>64</v>
      </c>
      <c r="C181" s="33" t="s">
        <v>208</v>
      </c>
      <c r="D181" s="33" t="s">
        <v>5</v>
      </c>
      <c r="E181" s="33" t="s">
        <v>203</v>
      </c>
      <c r="F181" s="33" t="s">
        <v>216</v>
      </c>
      <c r="G181" s="33" t="s">
        <v>204</v>
      </c>
      <c r="H181" s="33" t="s">
        <v>209</v>
      </c>
      <c r="I181" s="33" t="s">
        <v>209</v>
      </c>
      <c r="J181" s="33">
        <v>2083.54</v>
      </c>
      <c r="K181" s="33">
        <v>8.5823999999999998</v>
      </c>
      <c r="L181" s="33">
        <v>6.0469499999999998</v>
      </c>
      <c r="Q181" s="33" t="s">
        <v>217</v>
      </c>
      <c r="R181" s="33" t="s">
        <v>208</v>
      </c>
    </row>
    <row r="182" spans="1:18" ht="27.6" hidden="1" x14ac:dyDescent="0.25">
      <c r="A182" s="33" t="s">
        <v>123</v>
      </c>
      <c r="B182" s="33" t="s">
        <v>66</v>
      </c>
      <c r="C182" s="33" t="s">
        <v>208</v>
      </c>
      <c r="D182" s="33" t="s">
        <v>5</v>
      </c>
      <c r="E182" s="33" t="s">
        <v>203</v>
      </c>
      <c r="F182" s="33" t="s">
        <v>216</v>
      </c>
      <c r="G182" s="33" t="s">
        <v>204</v>
      </c>
      <c r="H182" s="33" t="s">
        <v>209</v>
      </c>
      <c r="I182" s="33" t="s">
        <v>209</v>
      </c>
      <c r="J182" s="33">
        <v>2083.54</v>
      </c>
      <c r="K182" s="33">
        <v>8.5823999999999998</v>
      </c>
      <c r="L182" s="33">
        <v>6.0469499999999998</v>
      </c>
      <c r="Q182" s="33" t="s">
        <v>217</v>
      </c>
      <c r="R182" s="33" t="s">
        <v>208</v>
      </c>
    </row>
    <row r="183" spans="1:18" ht="27.6" hidden="1" x14ac:dyDescent="0.25">
      <c r="A183" s="33" t="s">
        <v>123</v>
      </c>
      <c r="B183" s="33" t="s">
        <v>67</v>
      </c>
      <c r="C183" s="33" t="s">
        <v>208</v>
      </c>
      <c r="D183" s="33" t="s">
        <v>5</v>
      </c>
      <c r="E183" s="33" t="s">
        <v>203</v>
      </c>
      <c r="F183" s="33" t="s">
        <v>216</v>
      </c>
      <c r="G183" s="33" t="s">
        <v>204</v>
      </c>
      <c r="H183" s="33" t="s">
        <v>209</v>
      </c>
      <c r="I183" s="33" t="s">
        <v>209</v>
      </c>
      <c r="J183" s="33">
        <v>2083.54</v>
      </c>
      <c r="K183" s="33">
        <v>8.5823999999999998</v>
      </c>
      <c r="L183" s="33">
        <v>6.0469499999999998</v>
      </c>
      <c r="Q183" s="33" t="s">
        <v>217</v>
      </c>
      <c r="R183" s="33" t="s">
        <v>208</v>
      </c>
    </row>
    <row r="184" spans="1:18" ht="27.6" hidden="1" x14ac:dyDescent="0.25">
      <c r="A184" s="33" t="s">
        <v>123</v>
      </c>
      <c r="B184" s="33" t="s">
        <v>68</v>
      </c>
      <c r="C184" s="33" t="s">
        <v>208</v>
      </c>
      <c r="D184" s="33" t="s">
        <v>5</v>
      </c>
      <c r="E184" s="33" t="s">
        <v>203</v>
      </c>
      <c r="F184" s="33" t="s">
        <v>216</v>
      </c>
      <c r="G184" s="33" t="s">
        <v>204</v>
      </c>
      <c r="H184" s="33" t="s">
        <v>209</v>
      </c>
      <c r="I184" s="33" t="s">
        <v>209</v>
      </c>
      <c r="J184" s="33">
        <v>2083.54</v>
      </c>
      <c r="K184" s="33">
        <v>8.5823999999999998</v>
      </c>
      <c r="L184" s="33">
        <v>6.0469499999999998</v>
      </c>
      <c r="Q184" s="33" t="s">
        <v>217</v>
      </c>
      <c r="R184" s="33" t="s">
        <v>208</v>
      </c>
    </row>
    <row r="185" spans="1:18" ht="27.6" hidden="1" x14ac:dyDescent="0.25">
      <c r="A185" s="33" t="s">
        <v>123</v>
      </c>
      <c r="B185" s="33" t="s">
        <v>77</v>
      </c>
      <c r="C185" s="33" t="s">
        <v>208</v>
      </c>
      <c r="D185" s="33" t="s">
        <v>5</v>
      </c>
      <c r="E185" s="33" t="s">
        <v>203</v>
      </c>
      <c r="F185" s="33" t="s">
        <v>216</v>
      </c>
      <c r="G185" s="33" t="s">
        <v>204</v>
      </c>
      <c r="H185" s="33" t="s">
        <v>209</v>
      </c>
      <c r="I185" s="33" t="s">
        <v>209</v>
      </c>
      <c r="J185" s="33">
        <v>2083.54</v>
      </c>
      <c r="K185" s="33">
        <v>8.5823999999999998</v>
      </c>
      <c r="L185" s="33">
        <v>6.0469499999999998</v>
      </c>
      <c r="Q185" s="33" t="s">
        <v>217</v>
      </c>
      <c r="R185" s="33" t="s">
        <v>208</v>
      </c>
    </row>
    <row r="186" spans="1:18" ht="27.6" hidden="1" x14ac:dyDescent="0.25">
      <c r="A186" s="33" t="s">
        <v>113</v>
      </c>
      <c r="B186" s="33" t="s">
        <v>56</v>
      </c>
      <c r="C186" s="33" t="s">
        <v>208</v>
      </c>
      <c r="D186" s="33" t="s">
        <v>5</v>
      </c>
      <c r="E186" s="33" t="s">
        <v>203</v>
      </c>
      <c r="F186" s="33" t="s">
        <v>216</v>
      </c>
      <c r="G186" s="33" t="s">
        <v>204</v>
      </c>
      <c r="H186" s="33" t="s">
        <v>209</v>
      </c>
      <c r="I186" s="33" t="s">
        <v>209</v>
      </c>
      <c r="J186" s="33">
        <v>2083.54</v>
      </c>
      <c r="K186" s="33">
        <v>8.5823999999999998</v>
      </c>
      <c r="L186" s="33">
        <v>6.0469499999999998</v>
      </c>
      <c r="Q186" s="33" t="s">
        <v>217</v>
      </c>
      <c r="R186" s="33" t="s">
        <v>208</v>
      </c>
    </row>
    <row r="187" spans="1:18" ht="27.6" hidden="1" x14ac:dyDescent="0.25">
      <c r="A187" s="33" t="s">
        <v>113</v>
      </c>
      <c r="B187" s="33" t="s">
        <v>62</v>
      </c>
      <c r="C187" s="33" t="s">
        <v>208</v>
      </c>
      <c r="D187" s="33" t="s">
        <v>5</v>
      </c>
      <c r="E187" s="33" t="s">
        <v>203</v>
      </c>
      <c r="F187" s="33" t="s">
        <v>216</v>
      </c>
      <c r="G187" s="33" t="s">
        <v>204</v>
      </c>
      <c r="H187" s="33" t="s">
        <v>209</v>
      </c>
      <c r="I187" s="33" t="s">
        <v>209</v>
      </c>
      <c r="J187" s="33">
        <v>2083.54</v>
      </c>
      <c r="K187" s="33">
        <v>8.5823999999999998</v>
      </c>
      <c r="L187" s="33">
        <v>6.0469499999999998</v>
      </c>
      <c r="Q187" s="33" t="s">
        <v>217</v>
      </c>
      <c r="R187" s="33" t="s">
        <v>208</v>
      </c>
    </row>
    <row r="188" spans="1:18" ht="27.6" hidden="1" x14ac:dyDescent="0.25">
      <c r="A188" s="33" t="s">
        <v>113</v>
      </c>
      <c r="B188" s="33" t="s">
        <v>65</v>
      </c>
      <c r="C188" s="33" t="s">
        <v>208</v>
      </c>
      <c r="D188" s="33" t="s">
        <v>5</v>
      </c>
      <c r="E188" s="33" t="s">
        <v>203</v>
      </c>
      <c r="F188" s="33" t="s">
        <v>216</v>
      </c>
      <c r="G188" s="33" t="s">
        <v>204</v>
      </c>
      <c r="H188" s="33" t="s">
        <v>209</v>
      </c>
      <c r="I188" s="33" t="s">
        <v>209</v>
      </c>
      <c r="J188" s="33">
        <v>2083.54</v>
      </c>
      <c r="K188" s="33">
        <v>8.5823999999999998</v>
      </c>
      <c r="L188" s="33">
        <v>6.0469499999999998</v>
      </c>
      <c r="Q188" s="33" t="s">
        <v>217</v>
      </c>
      <c r="R188" s="33" t="s">
        <v>208</v>
      </c>
    </row>
    <row r="189" spans="1:18" ht="27.6" hidden="1" x14ac:dyDescent="0.25">
      <c r="A189" s="33" t="s">
        <v>172</v>
      </c>
      <c r="B189" s="33" t="s">
        <v>78</v>
      </c>
      <c r="C189" s="33" t="s">
        <v>208</v>
      </c>
      <c r="D189" s="33" t="s">
        <v>5</v>
      </c>
      <c r="E189" s="33" t="s">
        <v>203</v>
      </c>
      <c r="F189" s="33" t="s">
        <v>216</v>
      </c>
      <c r="G189" s="33" t="s">
        <v>204</v>
      </c>
      <c r="H189" s="33" t="s">
        <v>209</v>
      </c>
      <c r="I189" s="33" t="s">
        <v>209</v>
      </c>
      <c r="J189" s="33">
        <v>2083.54</v>
      </c>
      <c r="K189" s="33">
        <v>8.5823999999999998</v>
      </c>
      <c r="L189" s="33">
        <v>6.0469499999999998</v>
      </c>
      <c r="Q189" s="33" t="s">
        <v>217</v>
      </c>
      <c r="R189" s="33" t="s">
        <v>208</v>
      </c>
    </row>
    <row r="190" spans="1:18" ht="27.6" hidden="1" x14ac:dyDescent="0.25">
      <c r="A190" s="33" t="s">
        <v>118</v>
      </c>
      <c r="B190" s="33" t="s">
        <v>57</v>
      </c>
      <c r="C190" s="33" t="s">
        <v>208</v>
      </c>
      <c r="D190" s="33" t="s">
        <v>5</v>
      </c>
      <c r="E190" s="33" t="s">
        <v>203</v>
      </c>
      <c r="F190" s="33" t="s">
        <v>216</v>
      </c>
      <c r="G190" s="33" t="s">
        <v>204</v>
      </c>
      <c r="H190" s="33" t="s">
        <v>209</v>
      </c>
      <c r="I190" s="33" t="s">
        <v>209</v>
      </c>
      <c r="J190" s="33">
        <v>2083.54</v>
      </c>
      <c r="K190" s="33">
        <v>8.5823999999999998</v>
      </c>
      <c r="L190" s="33">
        <v>6.0469499999999998</v>
      </c>
      <c r="Q190" s="33" t="s">
        <v>217</v>
      </c>
      <c r="R190" s="33" t="s">
        <v>208</v>
      </c>
    </row>
    <row r="191" spans="1:18" ht="27.6" hidden="1" x14ac:dyDescent="0.25">
      <c r="A191" s="33" t="s">
        <v>118</v>
      </c>
      <c r="B191" s="33" t="s">
        <v>58</v>
      </c>
      <c r="C191" s="33" t="s">
        <v>208</v>
      </c>
      <c r="D191" s="33" t="s">
        <v>5</v>
      </c>
      <c r="E191" s="33" t="s">
        <v>203</v>
      </c>
      <c r="F191" s="33" t="s">
        <v>216</v>
      </c>
      <c r="G191" s="33" t="s">
        <v>204</v>
      </c>
      <c r="H191" s="33" t="s">
        <v>209</v>
      </c>
      <c r="I191" s="33" t="s">
        <v>209</v>
      </c>
      <c r="J191" s="33">
        <v>2083.54</v>
      </c>
      <c r="K191" s="33">
        <v>8.5823999999999998</v>
      </c>
      <c r="L191" s="33">
        <v>6.0469499999999998</v>
      </c>
      <c r="Q191" s="33" t="s">
        <v>217</v>
      </c>
      <c r="R191" s="33" t="s">
        <v>208</v>
      </c>
    </row>
    <row r="192" spans="1:18" ht="27.6" hidden="1" x14ac:dyDescent="0.25">
      <c r="A192" s="33" t="s">
        <v>118</v>
      </c>
      <c r="B192" s="33" t="s">
        <v>69</v>
      </c>
      <c r="C192" s="33" t="s">
        <v>208</v>
      </c>
      <c r="D192" s="33" t="s">
        <v>5</v>
      </c>
      <c r="E192" s="33" t="s">
        <v>203</v>
      </c>
      <c r="F192" s="33" t="s">
        <v>216</v>
      </c>
      <c r="G192" s="33" t="s">
        <v>204</v>
      </c>
      <c r="H192" s="33" t="s">
        <v>209</v>
      </c>
      <c r="I192" s="33" t="s">
        <v>209</v>
      </c>
      <c r="J192" s="33">
        <v>2083.54</v>
      </c>
      <c r="K192" s="33">
        <v>8.5823999999999998</v>
      </c>
      <c r="L192" s="33">
        <v>6.0469499999999998</v>
      </c>
      <c r="Q192" s="33" t="s">
        <v>217</v>
      </c>
      <c r="R192" s="33" t="s">
        <v>208</v>
      </c>
    </row>
    <row r="193" spans="1:18" ht="27.6" hidden="1" x14ac:dyDescent="0.25">
      <c r="A193" s="33" t="s">
        <v>118</v>
      </c>
      <c r="B193" s="33" t="s">
        <v>70</v>
      </c>
      <c r="C193" s="33" t="s">
        <v>208</v>
      </c>
      <c r="D193" s="33" t="s">
        <v>5</v>
      </c>
      <c r="E193" s="33" t="s">
        <v>203</v>
      </c>
      <c r="F193" s="33" t="s">
        <v>216</v>
      </c>
      <c r="G193" s="33" t="s">
        <v>204</v>
      </c>
      <c r="H193" s="33" t="s">
        <v>209</v>
      </c>
      <c r="I193" s="33" t="s">
        <v>209</v>
      </c>
      <c r="J193" s="33">
        <v>2083.54</v>
      </c>
      <c r="K193" s="33">
        <v>8.5823999999999998</v>
      </c>
      <c r="L193" s="33">
        <v>6.0469499999999998</v>
      </c>
      <c r="Q193" s="33" t="s">
        <v>217</v>
      </c>
      <c r="R193" s="33" t="s">
        <v>208</v>
      </c>
    </row>
    <row r="194" spans="1:18" ht="27.6" hidden="1" x14ac:dyDescent="0.25">
      <c r="A194" s="33" t="s">
        <v>118</v>
      </c>
      <c r="B194" s="33" t="s">
        <v>71</v>
      </c>
      <c r="C194" s="33" t="s">
        <v>208</v>
      </c>
      <c r="D194" s="33" t="s">
        <v>5</v>
      </c>
      <c r="E194" s="33" t="s">
        <v>203</v>
      </c>
      <c r="F194" s="33" t="s">
        <v>216</v>
      </c>
      <c r="G194" s="33" t="s">
        <v>204</v>
      </c>
      <c r="H194" s="33" t="s">
        <v>209</v>
      </c>
      <c r="I194" s="33" t="s">
        <v>209</v>
      </c>
      <c r="J194" s="33">
        <v>2083.54</v>
      </c>
      <c r="K194" s="33">
        <v>8.5823999999999998</v>
      </c>
      <c r="L194" s="33">
        <v>6.0469499999999998</v>
      </c>
      <c r="Q194" s="33" t="s">
        <v>217</v>
      </c>
      <c r="R194" s="33" t="s">
        <v>208</v>
      </c>
    </row>
    <row r="195" spans="1:18" ht="27.6" hidden="1" x14ac:dyDescent="0.25">
      <c r="A195" s="33" t="s">
        <v>118</v>
      </c>
      <c r="B195" s="33" t="s">
        <v>73</v>
      </c>
      <c r="C195" s="33" t="s">
        <v>208</v>
      </c>
      <c r="D195" s="33" t="s">
        <v>5</v>
      </c>
      <c r="E195" s="33" t="s">
        <v>203</v>
      </c>
      <c r="F195" s="33" t="s">
        <v>216</v>
      </c>
      <c r="G195" s="33" t="s">
        <v>204</v>
      </c>
      <c r="H195" s="33" t="s">
        <v>209</v>
      </c>
      <c r="I195" s="33" t="s">
        <v>209</v>
      </c>
      <c r="J195" s="33">
        <v>2083.54</v>
      </c>
      <c r="K195" s="33">
        <v>8.5823999999999998</v>
      </c>
      <c r="L195" s="33">
        <v>6.0469499999999998</v>
      </c>
      <c r="Q195" s="33" t="s">
        <v>217</v>
      </c>
      <c r="R195" s="33" t="s">
        <v>208</v>
      </c>
    </row>
    <row r="196" spans="1:18" ht="27.6" hidden="1" x14ac:dyDescent="0.25">
      <c r="A196" s="33" t="s">
        <v>118</v>
      </c>
      <c r="B196" s="33" t="s">
        <v>74</v>
      </c>
      <c r="C196" s="33" t="s">
        <v>208</v>
      </c>
      <c r="D196" s="33" t="s">
        <v>5</v>
      </c>
      <c r="E196" s="33" t="s">
        <v>203</v>
      </c>
      <c r="F196" s="33" t="s">
        <v>216</v>
      </c>
      <c r="G196" s="33" t="s">
        <v>204</v>
      </c>
      <c r="H196" s="33" t="s">
        <v>209</v>
      </c>
      <c r="I196" s="33" t="s">
        <v>209</v>
      </c>
      <c r="J196" s="33">
        <v>2083.54</v>
      </c>
      <c r="K196" s="33">
        <v>8.5823999999999998</v>
      </c>
      <c r="L196" s="33">
        <v>6.0469499999999998</v>
      </c>
      <c r="Q196" s="33" t="s">
        <v>217</v>
      </c>
      <c r="R196" s="33" t="s">
        <v>208</v>
      </c>
    </row>
    <row r="197" spans="1:18" ht="27.6" hidden="1" x14ac:dyDescent="0.25">
      <c r="A197" s="33" t="s">
        <v>118</v>
      </c>
      <c r="B197" s="33" t="s">
        <v>75</v>
      </c>
      <c r="C197" s="33" t="s">
        <v>208</v>
      </c>
      <c r="D197" s="33" t="s">
        <v>5</v>
      </c>
      <c r="E197" s="33" t="s">
        <v>203</v>
      </c>
      <c r="F197" s="33" t="s">
        <v>216</v>
      </c>
      <c r="G197" s="33" t="s">
        <v>204</v>
      </c>
      <c r="H197" s="33" t="s">
        <v>209</v>
      </c>
      <c r="I197" s="33" t="s">
        <v>209</v>
      </c>
      <c r="J197" s="33">
        <v>2083.54</v>
      </c>
      <c r="K197" s="33">
        <v>8.5823999999999998</v>
      </c>
      <c r="L197" s="33">
        <v>6.0469499999999998</v>
      </c>
      <c r="Q197" s="33" t="s">
        <v>217</v>
      </c>
      <c r="R197" s="33" t="s">
        <v>208</v>
      </c>
    </row>
    <row r="198" spans="1:18" ht="27.6" hidden="1" x14ac:dyDescent="0.25">
      <c r="A198" s="33" t="s">
        <v>118</v>
      </c>
      <c r="B198" s="33" t="s">
        <v>76</v>
      </c>
      <c r="C198" s="33" t="s">
        <v>208</v>
      </c>
      <c r="D198" s="33" t="s">
        <v>5</v>
      </c>
      <c r="E198" s="33" t="s">
        <v>203</v>
      </c>
      <c r="F198" s="33" t="s">
        <v>216</v>
      </c>
      <c r="G198" s="33" t="s">
        <v>204</v>
      </c>
      <c r="H198" s="33" t="s">
        <v>209</v>
      </c>
      <c r="I198" s="33" t="s">
        <v>209</v>
      </c>
      <c r="J198" s="33">
        <v>2083.54</v>
      </c>
      <c r="K198" s="33">
        <v>8.5823999999999998</v>
      </c>
      <c r="L198" s="33">
        <v>6.0469499999999998</v>
      </c>
      <c r="Q198" s="33" t="s">
        <v>217</v>
      </c>
      <c r="R198" s="33" t="s">
        <v>208</v>
      </c>
    </row>
    <row r="199" spans="1:18" ht="27.6" hidden="1" x14ac:dyDescent="0.25">
      <c r="A199" s="33" t="s">
        <v>108</v>
      </c>
      <c r="B199" s="33" t="s">
        <v>55</v>
      </c>
      <c r="C199" s="33" t="s">
        <v>208</v>
      </c>
      <c r="D199" s="33" t="s">
        <v>5</v>
      </c>
      <c r="E199" s="33" t="s">
        <v>203</v>
      </c>
      <c r="F199" s="33" t="s">
        <v>17</v>
      </c>
      <c r="G199" s="33" t="s">
        <v>204</v>
      </c>
      <c r="H199" s="33" t="s">
        <v>209</v>
      </c>
      <c r="I199" s="33" t="s">
        <v>209</v>
      </c>
      <c r="J199" s="33">
        <v>2083.54</v>
      </c>
      <c r="K199" s="33">
        <v>8.5823999999999998</v>
      </c>
      <c r="L199" s="33">
        <v>6.0469499999999998</v>
      </c>
      <c r="Q199" s="33" t="s">
        <v>218</v>
      </c>
      <c r="R199" s="33" t="s">
        <v>208</v>
      </c>
    </row>
    <row r="200" spans="1:18" ht="27.6" hidden="1" x14ac:dyDescent="0.25">
      <c r="A200" s="33" t="s">
        <v>108</v>
      </c>
      <c r="B200" s="33" t="s">
        <v>61</v>
      </c>
      <c r="C200" s="33" t="s">
        <v>208</v>
      </c>
      <c r="D200" s="33" t="s">
        <v>5</v>
      </c>
      <c r="E200" s="33" t="s">
        <v>203</v>
      </c>
      <c r="F200" s="33" t="s">
        <v>17</v>
      </c>
      <c r="G200" s="33" t="s">
        <v>204</v>
      </c>
      <c r="H200" s="33" t="s">
        <v>209</v>
      </c>
      <c r="I200" s="33" t="s">
        <v>209</v>
      </c>
      <c r="J200" s="33">
        <v>2083.54</v>
      </c>
      <c r="K200" s="33">
        <v>8.5823999999999998</v>
      </c>
      <c r="L200" s="33">
        <v>6.0469499999999998</v>
      </c>
      <c r="Q200" s="33" t="s">
        <v>218</v>
      </c>
      <c r="R200" s="33" t="s">
        <v>208</v>
      </c>
    </row>
    <row r="201" spans="1:18" ht="27.6" hidden="1" x14ac:dyDescent="0.25">
      <c r="A201" s="33" t="s">
        <v>157</v>
      </c>
      <c r="B201" s="33" t="s">
        <v>72</v>
      </c>
      <c r="C201" s="33" t="s">
        <v>208</v>
      </c>
      <c r="D201" s="33" t="s">
        <v>5</v>
      </c>
      <c r="E201" s="33" t="s">
        <v>203</v>
      </c>
      <c r="F201" s="33" t="s">
        <v>17</v>
      </c>
      <c r="G201" s="33" t="s">
        <v>204</v>
      </c>
      <c r="H201" s="33" t="s">
        <v>209</v>
      </c>
      <c r="I201" s="33" t="s">
        <v>209</v>
      </c>
      <c r="J201" s="33">
        <v>2083.54</v>
      </c>
      <c r="K201" s="33">
        <v>8.5823999999999998</v>
      </c>
      <c r="L201" s="33">
        <v>6.0469499999999998</v>
      </c>
      <c r="Q201" s="33" t="s">
        <v>218</v>
      </c>
      <c r="R201" s="33" t="s">
        <v>208</v>
      </c>
    </row>
    <row r="202" spans="1:18" ht="27.6" hidden="1" x14ac:dyDescent="0.25">
      <c r="A202" s="33" t="s">
        <v>123</v>
      </c>
      <c r="B202" s="33" t="s">
        <v>59</v>
      </c>
      <c r="C202" s="33" t="s">
        <v>208</v>
      </c>
      <c r="D202" s="33" t="s">
        <v>5</v>
      </c>
      <c r="E202" s="33" t="s">
        <v>203</v>
      </c>
      <c r="F202" s="33" t="s">
        <v>17</v>
      </c>
      <c r="G202" s="33" t="s">
        <v>204</v>
      </c>
      <c r="H202" s="33" t="s">
        <v>209</v>
      </c>
      <c r="I202" s="33" t="s">
        <v>209</v>
      </c>
      <c r="J202" s="33">
        <v>2083.54</v>
      </c>
      <c r="K202" s="33">
        <v>8.5823999999999998</v>
      </c>
      <c r="L202" s="33">
        <v>6.0469499999999998</v>
      </c>
      <c r="Q202" s="33" t="s">
        <v>218</v>
      </c>
      <c r="R202" s="33" t="s">
        <v>208</v>
      </c>
    </row>
    <row r="203" spans="1:18" ht="27.6" hidden="1" x14ac:dyDescent="0.25">
      <c r="A203" s="33" t="s">
        <v>123</v>
      </c>
      <c r="B203" s="33" t="s">
        <v>60</v>
      </c>
      <c r="C203" s="33" t="s">
        <v>208</v>
      </c>
      <c r="D203" s="33" t="s">
        <v>5</v>
      </c>
      <c r="E203" s="33" t="s">
        <v>203</v>
      </c>
      <c r="F203" s="33" t="s">
        <v>17</v>
      </c>
      <c r="G203" s="33" t="s">
        <v>204</v>
      </c>
      <c r="H203" s="33" t="s">
        <v>209</v>
      </c>
      <c r="I203" s="33" t="s">
        <v>209</v>
      </c>
      <c r="J203" s="33">
        <v>2083.54</v>
      </c>
      <c r="K203" s="33">
        <v>8.5823999999999998</v>
      </c>
      <c r="L203" s="33">
        <v>6.0469499999999998</v>
      </c>
      <c r="Q203" s="33" t="s">
        <v>218</v>
      </c>
      <c r="R203" s="33" t="s">
        <v>208</v>
      </c>
    </row>
    <row r="204" spans="1:18" ht="27.6" hidden="1" x14ac:dyDescent="0.25">
      <c r="A204" s="33" t="s">
        <v>123</v>
      </c>
      <c r="B204" s="33" t="s">
        <v>63</v>
      </c>
      <c r="C204" s="33" t="s">
        <v>208</v>
      </c>
      <c r="D204" s="33" t="s">
        <v>5</v>
      </c>
      <c r="E204" s="33" t="s">
        <v>203</v>
      </c>
      <c r="F204" s="33" t="s">
        <v>17</v>
      </c>
      <c r="G204" s="33" t="s">
        <v>204</v>
      </c>
      <c r="H204" s="33" t="s">
        <v>209</v>
      </c>
      <c r="I204" s="33" t="s">
        <v>209</v>
      </c>
      <c r="J204" s="33">
        <v>2083.54</v>
      </c>
      <c r="K204" s="33">
        <v>8.5823999999999998</v>
      </c>
      <c r="L204" s="33">
        <v>6.0469499999999998</v>
      </c>
      <c r="Q204" s="33" t="s">
        <v>218</v>
      </c>
      <c r="R204" s="33" t="s">
        <v>208</v>
      </c>
    </row>
    <row r="205" spans="1:18" ht="27.6" hidden="1" x14ac:dyDescent="0.25">
      <c r="A205" s="33" t="s">
        <v>123</v>
      </c>
      <c r="B205" s="33" t="s">
        <v>64</v>
      </c>
      <c r="C205" s="33" t="s">
        <v>208</v>
      </c>
      <c r="D205" s="33" t="s">
        <v>5</v>
      </c>
      <c r="E205" s="33" t="s">
        <v>203</v>
      </c>
      <c r="F205" s="33" t="s">
        <v>17</v>
      </c>
      <c r="G205" s="33" t="s">
        <v>204</v>
      </c>
      <c r="H205" s="33" t="s">
        <v>209</v>
      </c>
      <c r="I205" s="33" t="s">
        <v>209</v>
      </c>
      <c r="J205" s="33">
        <v>2083.54</v>
      </c>
      <c r="K205" s="33">
        <v>8.5823999999999998</v>
      </c>
      <c r="L205" s="33">
        <v>6.0469499999999998</v>
      </c>
      <c r="Q205" s="33" t="s">
        <v>218</v>
      </c>
      <c r="R205" s="33" t="s">
        <v>208</v>
      </c>
    </row>
    <row r="206" spans="1:18" ht="27.6" hidden="1" x14ac:dyDescent="0.25">
      <c r="A206" s="33" t="s">
        <v>123</v>
      </c>
      <c r="B206" s="33" t="s">
        <v>66</v>
      </c>
      <c r="C206" s="33" t="s">
        <v>208</v>
      </c>
      <c r="D206" s="33" t="s">
        <v>5</v>
      </c>
      <c r="E206" s="33" t="s">
        <v>203</v>
      </c>
      <c r="F206" s="33" t="s">
        <v>17</v>
      </c>
      <c r="G206" s="33" t="s">
        <v>204</v>
      </c>
      <c r="H206" s="33" t="s">
        <v>209</v>
      </c>
      <c r="I206" s="33" t="s">
        <v>209</v>
      </c>
      <c r="J206" s="33">
        <v>2083.54</v>
      </c>
      <c r="K206" s="33">
        <v>8.5823999999999998</v>
      </c>
      <c r="L206" s="33">
        <v>6.0469499999999998</v>
      </c>
      <c r="Q206" s="33" t="s">
        <v>218</v>
      </c>
      <c r="R206" s="33" t="s">
        <v>208</v>
      </c>
    </row>
    <row r="207" spans="1:18" ht="27.6" hidden="1" x14ac:dyDescent="0.25">
      <c r="A207" s="33" t="s">
        <v>123</v>
      </c>
      <c r="B207" s="33" t="s">
        <v>67</v>
      </c>
      <c r="C207" s="33" t="s">
        <v>208</v>
      </c>
      <c r="D207" s="33" t="s">
        <v>5</v>
      </c>
      <c r="E207" s="33" t="s">
        <v>203</v>
      </c>
      <c r="F207" s="33" t="s">
        <v>17</v>
      </c>
      <c r="G207" s="33" t="s">
        <v>204</v>
      </c>
      <c r="H207" s="33" t="s">
        <v>209</v>
      </c>
      <c r="I207" s="33" t="s">
        <v>209</v>
      </c>
      <c r="J207" s="33">
        <v>2083.54</v>
      </c>
      <c r="K207" s="33">
        <v>8.5823999999999998</v>
      </c>
      <c r="L207" s="33">
        <v>6.0469499999999998</v>
      </c>
      <c r="Q207" s="33" t="s">
        <v>218</v>
      </c>
      <c r="R207" s="33" t="s">
        <v>208</v>
      </c>
    </row>
    <row r="208" spans="1:18" ht="27.6" hidden="1" x14ac:dyDescent="0.25">
      <c r="A208" s="33" t="s">
        <v>123</v>
      </c>
      <c r="B208" s="33" t="s">
        <v>68</v>
      </c>
      <c r="C208" s="33" t="s">
        <v>208</v>
      </c>
      <c r="D208" s="33" t="s">
        <v>5</v>
      </c>
      <c r="E208" s="33" t="s">
        <v>203</v>
      </c>
      <c r="F208" s="33" t="s">
        <v>17</v>
      </c>
      <c r="G208" s="33" t="s">
        <v>204</v>
      </c>
      <c r="H208" s="33" t="s">
        <v>209</v>
      </c>
      <c r="I208" s="33" t="s">
        <v>209</v>
      </c>
      <c r="J208" s="33">
        <v>2083.54</v>
      </c>
      <c r="K208" s="33">
        <v>8.5823999999999998</v>
      </c>
      <c r="L208" s="33">
        <v>6.0469499999999998</v>
      </c>
      <c r="Q208" s="33" t="s">
        <v>218</v>
      </c>
      <c r="R208" s="33" t="s">
        <v>208</v>
      </c>
    </row>
    <row r="209" spans="1:18" ht="27.6" hidden="1" x14ac:dyDescent="0.25">
      <c r="A209" s="33" t="s">
        <v>123</v>
      </c>
      <c r="B209" s="33" t="s">
        <v>77</v>
      </c>
      <c r="C209" s="33" t="s">
        <v>208</v>
      </c>
      <c r="D209" s="33" t="s">
        <v>5</v>
      </c>
      <c r="E209" s="33" t="s">
        <v>203</v>
      </c>
      <c r="F209" s="33" t="s">
        <v>17</v>
      </c>
      <c r="G209" s="33" t="s">
        <v>204</v>
      </c>
      <c r="H209" s="33" t="s">
        <v>209</v>
      </c>
      <c r="I209" s="33" t="s">
        <v>209</v>
      </c>
      <c r="J209" s="33">
        <v>2083.54</v>
      </c>
      <c r="K209" s="33">
        <v>8.5823999999999998</v>
      </c>
      <c r="L209" s="33">
        <v>6.0469499999999998</v>
      </c>
      <c r="Q209" s="33" t="s">
        <v>218</v>
      </c>
      <c r="R209" s="33" t="s">
        <v>208</v>
      </c>
    </row>
    <row r="210" spans="1:18" ht="27.6" hidden="1" x14ac:dyDescent="0.25">
      <c r="A210" s="33" t="s">
        <v>113</v>
      </c>
      <c r="B210" s="33" t="s">
        <v>56</v>
      </c>
      <c r="C210" s="33" t="s">
        <v>208</v>
      </c>
      <c r="D210" s="33" t="s">
        <v>5</v>
      </c>
      <c r="E210" s="33" t="s">
        <v>203</v>
      </c>
      <c r="F210" s="33" t="s">
        <v>17</v>
      </c>
      <c r="G210" s="33" t="s">
        <v>204</v>
      </c>
      <c r="H210" s="33" t="s">
        <v>209</v>
      </c>
      <c r="I210" s="33" t="s">
        <v>209</v>
      </c>
      <c r="J210" s="33">
        <v>2083.54</v>
      </c>
      <c r="K210" s="33">
        <v>8.5823999999999998</v>
      </c>
      <c r="L210" s="33">
        <v>6.0469499999999998</v>
      </c>
      <c r="Q210" s="33" t="s">
        <v>218</v>
      </c>
      <c r="R210" s="33" t="s">
        <v>208</v>
      </c>
    </row>
    <row r="211" spans="1:18" ht="27.6" hidden="1" x14ac:dyDescent="0.25">
      <c r="A211" s="33" t="s">
        <v>113</v>
      </c>
      <c r="B211" s="33" t="s">
        <v>62</v>
      </c>
      <c r="C211" s="33" t="s">
        <v>208</v>
      </c>
      <c r="D211" s="33" t="s">
        <v>5</v>
      </c>
      <c r="E211" s="33" t="s">
        <v>203</v>
      </c>
      <c r="F211" s="33" t="s">
        <v>17</v>
      </c>
      <c r="G211" s="33" t="s">
        <v>204</v>
      </c>
      <c r="H211" s="33" t="s">
        <v>209</v>
      </c>
      <c r="I211" s="33" t="s">
        <v>209</v>
      </c>
      <c r="J211" s="33">
        <v>2083.54</v>
      </c>
      <c r="K211" s="33">
        <v>8.5823999999999998</v>
      </c>
      <c r="L211" s="33">
        <v>6.0469499999999998</v>
      </c>
      <c r="Q211" s="33" t="s">
        <v>218</v>
      </c>
      <c r="R211" s="33" t="s">
        <v>208</v>
      </c>
    </row>
    <row r="212" spans="1:18" ht="27.6" hidden="1" x14ac:dyDescent="0.25">
      <c r="A212" s="33" t="s">
        <v>113</v>
      </c>
      <c r="B212" s="33" t="s">
        <v>65</v>
      </c>
      <c r="C212" s="33" t="s">
        <v>208</v>
      </c>
      <c r="D212" s="33" t="s">
        <v>5</v>
      </c>
      <c r="E212" s="33" t="s">
        <v>203</v>
      </c>
      <c r="F212" s="33" t="s">
        <v>17</v>
      </c>
      <c r="G212" s="33" t="s">
        <v>204</v>
      </c>
      <c r="H212" s="33" t="s">
        <v>209</v>
      </c>
      <c r="I212" s="33" t="s">
        <v>209</v>
      </c>
      <c r="J212" s="33">
        <v>2083.54</v>
      </c>
      <c r="K212" s="33">
        <v>8.5823999999999998</v>
      </c>
      <c r="L212" s="33">
        <v>6.0469499999999998</v>
      </c>
      <c r="Q212" s="33" t="s">
        <v>218</v>
      </c>
      <c r="R212" s="33" t="s">
        <v>208</v>
      </c>
    </row>
    <row r="213" spans="1:18" ht="27.6" hidden="1" x14ac:dyDescent="0.25">
      <c r="A213" s="33" t="s">
        <v>172</v>
      </c>
      <c r="B213" s="33" t="s">
        <v>78</v>
      </c>
      <c r="C213" s="33" t="s">
        <v>208</v>
      </c>
      <c r="D213" s="33" t="s">
        <v>5</v>
      </c>
      <c r="E213" s="33" t="s">
        <v>203</v>
      </c>
      <c r="F213" s="33" t="s">
        <v>17</v>
      </c>
      <c r="G213" s="33" t="s">
        <v>204</v>
      </c>
      <c r="H213" s="33" t="s">
        <v>209</v>
      </c>
      <c r="I213" s="33" t="s">
        <v>209</v>
      </c>
      <c r="J213" s="33">
        <v>2083.54</v>
      </c>
      <c r="K213" s="33">
        <v>8.5823999999999998</v>
      </c>
      <c r="L213" s="33">
        <v>6.0469499999999998</v>
      </c>
      <c r="Q213" s="33" t="s">
        <v>218</v>
      </c>
      <c r="R213" s="33" t="s">
        <v>208</v>
      </c>
    </row>
    <row r="214" spans="1:18" ht="27.6" hidden="1" x14ac:dyDescent="0.25">
      <c r="A214" s="33" t="s">
        <v>118</v>
      </c>
      <c r="B214" s="33" t="s">
        <v>57</v>
      </c>
      <c r="C214" s="33" t="s">
        <v>208</v>
      </c>
      <c r="D214" s="33" t="s">
        <v>5</v>
      </c>
      <c r="E214" s="33" t="s">
        <v>203</v>
      </c>
      <c r="F214" s="33" t="s">
        <v>17</v>
      </c>
      <c r="G214" s="33" t="s">
        <v>204</v>
      </c>
      <c r="H214" s="33" t="s">
        <v>209</v>
      </c>
      <c r="I214" s="33" t="s">
        <v>209</v>
      </c>
      <c r="J214" s="33">
        <v>2083.54</v>
      </c>
      <c r="K214" s="33">
        <v>8.5823999999999998</v>
      </c>
      <c r="L214" s="33">
        <v>6.0469499999999998</v>
      </c>
      <c r="Q214" s="33" t="s">
        <v>218</v>
      </c>
      <c r="R214" s="33" t="s">
        <v>208</v>
      </c>
    </row>
    <row r="215" spans="1:18" ht="27.6" hidden="1" x14ac:dyDescent="0.25">
      <c r="A215" s="33" t="s">
        <v>118</v>
      </c>
      <c r="B215" s="33" t="s">
        <v>58</v>
      </c>
      <c r="C215" s="33" t="s">
        <v>208</v>
      </c>
      <c r="D215" s="33" t="s">
        <v>5</v>
      </c>
      <c r="E215" s="33" t="s">
        <v>203</v>
      </c>
      <c r="F215" s="33" t="s">
        <v>17</v>
      </c>
      <c r="G215" s="33" t="s">
        <v>204</v>
      </c>
      <c r="H215" s="33" t="s">
        <v>209</v>
      </c>
      <c r="I215" s="33" t="s">
        <v>209</v>
      </c>
      <c r="J215" s="33">
        <v>2083.54</v>
      </c>
      <c r="K215" s="33">
        <v>8.5823999999999998</v>
      </c>
      <c r="L215" s="33">
        <v>6.0469499999999998</v>
      </c>
      <c r="Q215" s="33" t="s">
        <v>218</v>
      </c>
      <c r="R215" s="33" t="s">
        <v>208</v>
      </c>
    </row>
    <row r="216" spans="1:18" ht="27.6" hidden="1" x14ac:dyDescent="0.25">
      <c r="A216" s="33" t="s">
        <v>118</v>
      </c>
      <c r="B216" s="33" t="s">
        <v>69</v>
      </c>
      <c r="C216" s="33" t="s">
        <v>208</v>
      </c>
      <c r="D216" s="33" t="s">
        <v>5</v>
      </c>
      <c r="E216" s="33" t="s">
        <v>203</v>
      </c>
      <c r="F216" s="33" t="s">
        <v>17</v>
      </c>
      <c r="G216" s="33" t="s">
        <v>204</v>
      </c>
      <c r="H216" s="33" t="s">
        <v>209</v>
      </c>
      <c r="I216" s="33" t="s">
        <v>209</v>
      </c>
      <c r="J216" s="33">
        <v>2083.54</v>
      </c>
      <c r="K216" s="33">
        <v>8.5823999999999998</v>
      </c>
      <c r="L216" s="33">
        <v>6.0469499999999998</v>
      </c>
      <c r="Q216" s="33" t="s">
        <v>218</v>
      </c>
      <c r="R216" s="33" t="s">
        <v>208</v>
      </c>
    </row>
    <row r="217" spans="1:18" ht="27.6" hidden="1" x14ac:dyDescent="0.25">
      <c r="A217" s="33" t="s">
        <v>118</v>
      </c>
      <c r="B217" s="33" t="s">
        <v>70</v>
      </c>
      <c r="C217" s="33" t="s">
        <v>208</v>
      </c>
      <c r="D217" s="33" t="s">
        <v>5</v>
      </c>
      <c r="E217" s="33" t="s">
        <v>203</v>
      </c>
      <c r="F217" s="33" t="s">
        <v>17</v>
      </c>
      <c r="G217" s="33" t="s">
        <v>204</v>
      </c>
      <c r="H217" s="33" t="s">
        <v>209</v>
      </c>
      <c r="I217" s="33" t="s">
        <v>209</v>
      </c>
      <c r="J217" s="33">
        <v>2083.54</v>
      </c>
      <c r="K217" s="33">
        <v>8.5823999999999998</v>
      </c>
      <c r="L217" s="33">
        <v>6.0469499999999998</v>
      </c>
      <c r="Q217" s="33" t="s">
        <v>218</v>
      </c>
      <c r="R217" s="33" t="s">
        <v>208</v>
      </c>
    </row>
    <row r="218" spans="1:18" ht="27.6" hidden="1" x14ac:dyDescent="0.25">
      <c r="A218" s="33" t="s">
        <v>118</v>
      </c>
      <c r="B218" s="33" t="s">
        <v>71</v>
      </c>
      <c r="C218" s="33" t="s">
        <v>208</v>
      </c>
      <c r="D218" s="33" t="s">
        <v>5</v>
      </c>
      <c r="E218" s="33" t="s">
        <v>203</v>
      </c>
      <c r="F218" s="33" t="s">
        <v>17</v>
      </c>
      <c r="G218" s="33" t="s">
        <v>204</v>
      </c>
      <c r="H218" s="33" t="s">
        <v>209</v>
      </c>
      <c r="I218" s="33" t="s">
        <v>209</v>
      </c>
      <c r="J218" s="33">
        <v>2083.54</v>
      </c>
      <c r="K218" s="33">
        <v>8.5823999999999998</v>
      </c>
      <c r="L218" s="33">
        <v>6.0469499999999998</v>
      </c>
      <c r="Q218" s="33" t="s">
        <v>218</v>
      </c>
      <c r="R218" s="33" t="s">
        <v>208</v>
      </c>
    </row>
    <row r="219" spans="1:18" ht="27.6" hidden="1" x14ac:dyDescent="0.25">
      <c r="A219" s="33" t="s">
        <v>118</v>
      </c>
      <c r="B219" s="33" t="s">
        <v>73</v>
      </c>
      <c r="C219" s="33" t="s">
        <v>208</v>
      </c>
      <c r="D219" s="33" t="s">
        <v>5</v>
      </c>
      <c r="E219" s="33" t="s">
        <v>203</v>
      </c>
      <c r="F219" s="33" t="s">
        <v>17</v>
      </c>
      <c r="G219" s="33" t="s">
        <v>204</v>
      </c>
      <c r="H219" s="33" t="s">
        <v>209</v>
      </c>
      <c r="I219" s="33" t="s">
        <v>209</v>
      </c>
      <c r="J219" s="33">
        <v>2083.54</v>
      </c>
      <c r="K219" s="33">
        <v>8.5823999999999998</v>
      </c>
      <c r="L219" s="33">
        <v>6.0469499999999998</v>
      </c>
      <c r="Q219" s="33" t="s">
        <v>218</v>
      </c>
      <c r="R219" s="33" t="s">
        <v>208</v>
      </c>
    </row>
    <row r="220" spans="1:18" ht="27.6" hidden="1" x14ac:dyDescent="0.25">
      <c r="A220" s="33" t="s">
        <v>118</v>
      </c>
      <c r="B220" s="33" t="s">
        <v>74</v>
      </c>
      <c r="C220" s="33" t="s">
        <v>208</v>
      </c>
      <c r="D220" s="33" t="s">
        <v>5</v>
      </c>
      <c r="E220" s="33" t="s">
        <v>203</v>
      </c>
      <c r="F220" s="33" t="s">
        <v>17</v>
      </c>
      <c r="G220" s="33" t="s">
        <v>204</v>
      </c>
      <c r="H220" s="33" t="s">
        <v>209</v>
      </c>
      <c r="I220" s="33" t="s">
        <v>209</v>
      </c>
      <c r="J220" s="33">
        <v>2083.54</v>
      </c>
      <c r="K220" s="33">
        <v>8.5823999999999998</v>
      </c>
      <c r="L220" s="33">
        <v>6.0469499999999998</v>
      </c>
      <c r="Q220" s="33" t="s">
        <v>218</v>
      </c>
      <c r="R220" s="33" t="s">
        <v>208</v>
      </c>
    </row>
    <row r="221" spans="1:18" ht="27.6" hidden="1" x14ac:dyDescent="0.25">
      <c r="A221" s="33" t="s">
        <v>118</v>
      </c>
      <c r="B221" s="33" t="s">
        <v>75</v>
      </c>
      <c r="C221" s="33" t="s">
        <v>208</v>
      </c>
      <c r="D221" s="33" t="s">
        <v>5</v>
      </c>
      <c r="E221" s="33" t="s">
        <v>203</v>
      </c>
      <c r="F221" s="33" t="s">
        <v>17</v>
      </c>
      <c r="G221" s="33" t="s">
        <v>204</v>
      </c>
      <c r="H221" s="33" t="s">
        <v>209</v>
      </c>
      <c r="I221" s="33" t="s">
        <v>209</v>
      </c>
      <c r="J221" s="33">
        <v>2083.54</v>
      </c>
      <c r="K221" s="33">
        <v>8.5823999999999998</v>
      </c>
      <c r="L221" s="33">
        <v>6.0469499999999998</v>
      </c>
      <c r="Q221" s="33" t="s">
        <v>218</v>
      </c>
      <c r="R221" s="33" t="s">
        <v>208</v>
      </c>
    </row>
    <row r="222" spans="1:18" ht="27.6" hidden="1" x14ac:dyDescent="0.25">
      <c r="A222" s="33" t="s">
        <v>118</v>
      </c>
      <c r="B222" s="33" t="s">
        <v>76</v>
      </c>
      <c r="C222" s="33" t="s">
        <v>208</v>
      </c>
      <c r="D222" s="33" t="s">
        <v>5</v>
      </c>
      <c r="E222" s="33" t="s">
        <v>203</v>
      </c>
      <c r="F222" s="33" t="s">
        <v>17</v>
      </c>
      <c r="G222" s="33" t="s">
        <v>204</v>
      </c>
      <c r="H222" s="33" t="s">
        <v>209</v>
      </c>
      <c r="I222" s="33" t="s">
        <v>209</v>
      </c>
      <c r="J222" s="33">
        <v>2083.54</v>
      </c>
      <c r="K222" s="33">
        <v>8.5823999999999998</v>
      </c>
      <c r="L222" s="33">
        <v>6.0469499999999998</v>
      </c>
      <c r="Q222" s="33" t="s">
        <v>218</v>
      </c>
      <c r="R222" s="33" t="s">
        <v>208</v>
      </c>
    </row>
    <row r="223" spans="1:18" ht="96.6" hidden="1" x14ac:dyDescent="0.25">
      <c r="A223" s="33" t="s">
        <v>108</v>
      </c>
      <c r="B223" s="33" t="s">
        <v>55</v>
      </c>
      <c r="C223" s="33" t="s">
        <v>202</v>
      </c>
      <c r="D223" s="33" t="s">
        <v>5</v>
      </c>
      <c r="E223" s="33" t="s">
        <v>203</v>
      </c>
      <c r="F223" s="33" t="s">
        <v>18</v>
      </c>
      <c r="G223" s="33" t="s">
        <v>204</v>
      </c>
      <c r="H223" s="33" t="s">
        <v>205</v>
      </c>
      <c r="I223" s="33" t="s">
        <v>206</v>
      </c>
      <c r="J223" s="33">
        <v>1554.91</v>
      </c>
      <c r="K223" s="33">
        <v>1.44232</v>
      </c>
      <c r="L223" s="33">
        <v>0.88997999999999999</v>
      </c>
      <c r="Q223" s="33" t="s">
        <v>207</v>
      </c>
      <c r="R223" s="33">
        <v>2023</v>
      </c>
    </row>
    <row r="224" spans="1:18" ht="96.6" hidden="1" x14ac:dyDescent="0.25">
      <c r="A224" s="33" t="s">
        <v>108</v>
      </c>
      <c r="B224" s="33" t="s">
        <v>61</v>
      </c>
      <c r="C224" s="33" t="s">
        <v>202</v>
      </c>
      <c r="D224" s="33" t="s">
        <v>5</v>
      </c>
      <c r="E224" s="33" t="s">
        <v>203</v>
      </c>
      <c r="F224" s="33" t="s">
        <v>18</v>
      </c>
      <c r="G224" s="33" t="s">
        <v>204</v>
      </c>
      <c r="H224" s="33" t="s">
        <v>205</v>
      </c>
      <c r="I224" s="33" t="s">
        <v>206</v>
      </c>
      <c r="J224" s="33">
        <v>1554.91</v>
      </c>
      <c r="K224" s="33">
        <v>1.44232</v>
      </c>
      <c r="L224" s="33">
        <v>0.88997999999999999</v>
      </c>
      <c r="Q224" s="33" t="s">
        <v>207</v>
      </c>
      <c r="R224" s="33">
        <v>2023</v>
      </c>
    </row>
    <row r="225" spans="1:18" ht="96.6" hidden="1" x14ac:dyDescent="0.25">
      <c r="A225" s="33" t="s">
        <v>157</v>
      </c>
      <c r="B225" s="33" t="s">
        <v>72</v>
      </c>
      <c r="C225" s="33" t="s">
        <v>202</v>
      </c>
      <c r="D225" s="33" t="s">
        <v>5</v>
      </c>
      <c r="E225" s="33" t="s">
        <v>203</v>
      </c>
      <c r="F225" s="33" t="s">
        <v>18</v>
      </c>
      <c r="G225" s="33" t="s">
        <v>204</v>
      </c>
      <c r="H225" s="33" t="s">
        <v>205</v>
      </c>
      <c r="I225" s="33" t="s">
        <v>206</v>
      </c>
      <c r="J225" s="33">
        <v>1554.91</v>
      </c>
      <c r="K225" s="33">
        <v>1.44232</v>
      </c>
      <c r="L225" s="33">
        <v>0.88997999999999999</v>
      </c>
      <c r="Q225" s="33" t="s">
        <v>207</v>
      </c>
      <c r="R225" s="33">
        <v>2023</v>
      </c>
    </row>
    <row r="226" spans="1:18" ht="96.6" hidden="1" x14ac:dyDescent="0.25">
      <c r="A226" s="33" t="s">
        <v>123</v>
      </c>
      <c r="B226" s="33" t="s">
        <v>59</v>
      </c>
      <c r="C226" s="33" t="s">
        <v>202</v>
      </c>
      <c r="D226" s="33" t="s">
        <v>5</v>
      </c>
      <c r="E226" s="33" t="s">
        <v>203</v>
      </c>
      <c r="F226" s="33" t="s">
        <v>18</v>
      </c>
      <c r="G226" s="33" t="s">
        <v>204</v>
      </c>
      <c r="H226" s="33" t="s">
        <v>205</v>
      </c>
      <c r="I226" s="33" t="s">
        <v>206</v>
      </c>
      <c r="J226" s="33">
        <v>1554.91</v>
      </c>
      <c r="K226" s="33">
        <v>1.44232</v>
      </c>
      <c r="L226" s="33">
        <v>0.88997999999999999</v>
      </c>
      <c r="Q226" s="33" t="s">
        <v>207</v>
      </c>
      <c r="R226" s="33">
        <v>2023</v>
      </c>
    </row>
    <row r="227" spans="1:18" ht="96.6" hidden="1" x14ac:dyDescent="0.25">
      <c r="A227" s="33" t="s">
        <v>123</v>
      </c>
      <c r="B227" s="33" t="s">
        <v>60</v>
      </c>
      <c r="C227" s="33" t="s">
        <v>202</v>
      </c>
      <c r="D227" s="33" t="s">
        <v>5</v>
      </c>
      <c r="E227" s="33" t="s">
        <v>203</v>
      </c>
      <c r="F227" s="33" t="s">
        <v>18</v>
      </c>
      <c r="G227" s="33" t="s">
        <v>204</v>
      </c>
      <c r="H227" s="33" t="s">
        <v>205</v>
      </c>
      <c r="I227" s="33" t="s">
        <v>206</v>
      </c>
      <c r="J227" s="33">
        <v>1554.91</v>
      </c>
      <c r="K227" s="33">
        <v>1.44232</v>
      </c>
      <c r="L227" s="33">
        <v>0.88997999999999999</v>
      </c>
      <c r="Q227" s="33" t="s">
        <v>207</v>
      </c>
      <c r="R227" s="33">
        <v>2023</v>
      </c>
    </row>
    <row r="228" spans="1:18" ht="96.6" hidden="1" x14ac:dyDescent="0.25">
      <c r="A228" s="33" t="s">
        <v>123</v>
      </c>
      <c r="B228" s="33" t="s">
        <v>63</v>
      </c>
      <c r="C228" s="33" t="s">
        <v>202</v>
      </c>
      <c r="D228" s="33" t="s">
        <v>5</v>
      </c>
      <c r="E228" s="33" t="s">
        <v>203</v>
      </c>
      <c r="F228" s="33" t="s">
        <v>18</v>
      </c>
      <c r="G228" s="33" t="s">
        <v>204</v>
      </c>
      <c r="H228" s="33" t="s">
        <v>205</v>
      </c>
      <c r="I228" s="33" t="s">
        <v>206</v>
      </c>
      <c r="J228" s="33">
        <v>1554.91</v>
      </c>
      <c r="K228" s="33">
        <v>1.44232</v>
      </c>
      <c r="L228" s="33">
        <v>0.88997999999999999</v>
      </c>
      <c r="Q228" s="33" t="s">
        <v>207</v>
      </c>
      <c r="R228" s="33">
        <v>2023</v>
      </c>
    </row>
    <row r="229" spans="1:18" ht="96.6" hidden="1" x14ac:dyDescent="0.25">
      <c r="A229" s="33" t="s">
        <v>123</v>
      </c>
      <c r="B229" s="33" t="s">
        <v>64</v>
      </c>
      <c r="C229" s="33" t="s">
        <v>202</v>
      </c>
      <c r="D229" s="33" t="s">
        <v>5</v>
      </c>
      <c r="E229" s="33" t="s">
        <v>203</v>
      </c>
      <c r="F229" s="33" t="s">
        <v>18</v>
      </c>
      <c r="G229" s="33" t="s">
        <v>204</v>
      </c>
      <c r="H229" s="33" t="s">
        <v>205</v>
      </c>
      <c r="I229" s="33" t="s">
        <v>206</v>
      </c>
      <c r="J229" s="33">
        <v>1554.91</v>
      </c>
      <c r="K229" s="33">
        <v>1.44232</v>
      </c>
      <c r="L229" s="33">
        <v>0.88997999999999999</v>
      </c>
      <c r="Q229" s="33" t="s">
        <v>207</v>
      </c>
      <c r="R229" s="33">
        <v>2023</v>
      </c>
    </row>
    <row r="230" spans="1:18" ht="96.6" hidden="1" x14ac:dyDescent="0.25">
      <c r="A230" s="33" t="s">
        <v>123</v>
      </c>
      <c r="B230" s="33" t="s">
        <v>66</v>
      </c>
      <c r="C230" s="33" t="s">
        <v>202</v>
      </c>
      <c r="D230" s="33" t="s">
        <v>5</v>
      </c>
      <c r="E230" s="33" t="s">
        <v>203</v>
      </c>
      <c r="F230" s="33" t="s">
        <v>18</v>
      </c>
      <c r="G230" s="33" t="s">
        <v>204</v>
      </c>
      <c r="H230" s="33" t="s">
        <v>205</v>
      </c>
      <c r="I230" s="33" t="s">
        <v>206</v>
      </c>
      <c r="J230" s="33">
        <v>1554.91</v>
      </c>
      <c r="K230" s="33">
        <v>1.44232</v>
      </c>
      <c r="L230" s="33">
        <v>0.88997999999999999</v>
      </c>
      <c r="Q230" s="33" t="s">
        <v>207</v>
      </c>
      <c r="R230" s="33">
        <v>2023</v>
      </c>
    </row>
    <row r="231" spans="1:18" ht="96.6" hidden="1" x14ac:dyDescent="0.25">
      <c r="A231" s="33" t="s">
        <v>123</v>
      </c>
      <c r="B231" s="33" t="s">
        <v>67</v>
      </c>
      <c r="C231" s="33" t="s">
        <v>202</v>
      </c>
      <c r="D231" s="33" t="s">
        <v>5</v>
      </c>
      <c r="E231" s="33" t="s">
        <v>203</v>
      </c>
      <c r="F231" s="33" t="s">
        <v>18</v>
      </c>
      <c r="G231" s="33" t="s">
        <v>204</v>
      </c>
      <c r="H231" s="33" t="s">
        <v>205</v>
      </c>
      <c r="I231" s="33" t="s">
        <v>206</v>
      </c>
      <c r="J231" s="33">
        <v>1554.91</v>
      </c>
      <c r="K231" s="33">
        <v>1.44232</v>
      </c>
      <c r="L231" s="33">
        <v>0.88997999999999999</v>
      </c>
      <c r="Q231" s="33" t="s">
        <v>207</v>
      </c>
      <c r="R231" s="33">
        <v>2023</v>
      </c>
    </row>
    <row r="232" spans="1:18" ht="96.6" hidden="1" x14ac:dyDescent="0.25">
      <c r="A232" s="33" t="s">
        <v>123</v>
      </c>
      <c r="B232" s="33" t="s">
        <v>68</v>
      </c>
      <c r="C232" s="33" t="s">
        <v>202</v>
      </c>
      <c r="D232" s="33" t="s">
        <v>5</v>
      </c>
      <c r="E232" s="33" t="s">
        <v>203</v>
      </c>
      <c r="F232" s="33" t="s">
        <v>18</v>
      </c>
      <c r="G232" s="33" t="s">
        <v>204</v>
      </c>
      <c r="H232" s="33" t="s">
        <v>205</v>
      </c>
      <c r="I232" s="33" t="s">
        <v>206</v>
      </c>
      <c r="J232" s="33">
        <v>1554.91</v>
      </c>
      <c r="K232" s="33">
        <v>1.44232</v>
      </c>
      <c r="L232" s="33">
        <v>0.88997999999999999</v>
      </c>
      <c r="Q232" s="33" t="s">
        <v>207</v>
      </c>
      <c r="R232" s="33">
        <v>2023</v>
      </c>
    </row>
    <row r="233" spans="1:18" ht="96.6" hidden="1" x14ac:dyDescent="0.25">
      <c r="A233" s="33" t="s">
        <v>123</v>
      </c>
      <c r="B233" s="33" t="s">
        <v>77</v>
      </c>
      <c r="C233" s="33" t="s">
        <v>202</v>
      </c>
      <c r="D233" s="33" t="s">
        <v>5</v>
      </c>
      <c r="E233" s="33" t="s">
        <v>203</v>
      </c>
      <c r="F233" s="33" t="s">
        <v>18</v>
      </c>
      <c r="G233" s="33" t="s">
        <v>204</v>
      </c>
      <c r="H233" s="33" t="s">
        <v>205</v>
      </c>
      <c r="I233" s="33" t="s">
        <v>206</v>
      </c>
      <c r="J233" s="33">
        <v>1554.91</v>
      </c>
      <c r="K233" s="33">
        <v>1.44232</v>
      </c>
      <c r="L233" s="33">
        <v>0.88997999999999999</v>
      </c>
      <c r="Q233" s="33" t="s">
        <v>207</v>
      </c>
      <c r="R233" s="33">
        <v>2023</v>
      </c>
    </row>
    <row r="234" spans="1:18" ht="96.6" hidden="1" x14ac:dyDescent="0.25">
      <c r="A234" s="33" t="s">
        <v>113</v>
      </c>
      <c r="B234" s="33" t="s">
        <v>56</v>
      </c>
      <c r="C234" s="33" t="s">
        <v>202</v>
      </c>
      <c r="D234" s="33" t="s">
        <v>5</v>
      </c>
      <c r="E234" s="33" t="s">
        <v>203</v>
      </c>
      <c r="F234" s="33" t="s">
        <v>18</v>
      </c>
      <c r="G234" s="33" t="s">
        <v>204</v>
      </c>
      <c r="H234" s="33" t="s">
        <v>205</v>
      </c>
      <c r="I234" s="33" t="s">
        <v>206</v>
      </c>
      <c r="J234" s="33">
        <v>1554.91</v>
      </c>
      <c r="K234" s="33">
        <v>1.44232</v>
      </c>
      <c r="L234" s="33">
        <v>0.88997999999999999</v>
      </c>
      <c r="Q234" s="33" t="s">
        <v>207</v>
      </c>
      <c r="R234" s="33">
        <v>2023</v>
      </c>
    </row>
    <row r="235" spans="1:18" ht="96.6" hidden="1" x14ac:dyDescent="0.25">
      <c r="A235" s="33" t="s">
        <v>113</v>
      </c>
      <c r="B235" s="33" t="s">
        <v>62</v>
      </c>
      <c r="C235" s="33" t="s">
        <v>202</v>
      </c>
      <c r="D235" s="33" t="s">
        <v>5</v>
      </c>
      <c r="E235" s="33" t="s">
        <v>203</v>
      </c>
      <c r="F235" s="33" t="s">
        <v>18</v>
      </c>
      <c r="G235" s="33" t="s">
        <v>204</v>
      </c>
      <c r="H235" s="33" t="s">
        <v>205</v>
      </c>
      <c r="I235" s="33" t="s">
        <v>206</v>
      </c>
      <c r="J235" s="33">
        <v>1554.91</v>
      </c>
      <c r="K235" s="33">
        <v>1.44232</v>
      </c>
      <c r="L235" s="33">
        <v>0.88997999999999999</v>
      </c>
      <c r="Q235" s="33" t="s">
        <v>207</v>
      </c>
      <c r="R235" s="33">
        <v>2023</v>
      </c>
    </row>
    <row r="236" spans="1:18" ht="96.6" hidden="1" x14ac:dyDescent="0.25">
      <c r="A236" s="33" t="s">
        <v>113</v>
      </c>
      <c r="B236" s="33" t="s">
        <v>65</v>
      </c>
      <c r="C236" s="33" t="s">
        <v>202</v>
      </c>
      <c r="D236" s="33" t="s">
        <v>5</v>
      </c>
      <c r="E236" s="33" t="s">
        <v>203</v>
      </c>
      <c r="F236" s="33" t="s">
        <v>18</v>
      </c>
      <c r="G236" s="33" t="s">
        <v>204</v>
      </c>
      <c r="H236" s="33" t="s">
        <v>205</v>
      </c>
      <c r="I236" s="33" t="s">
        <v>206</v>
      </c>
      <c r="J236" s="33">
        <v>1554.91</v>
      </c>
      <c r="K236" s="33">
        <v>1.44232</v>
      </c>
      <c r="L236" s="33">
        <v>0.88997999999999999</v>
      </c>
      <c r="Q236" s="33" t="s">
        <v>207</v>
      </c>
      <c r="R236" s="33">
        <v>2023</v>
      </c>
    </row>
    <row r="237" spans="1:18" ht="96.6" hidden="1" x14ac:dyDescent="0.25">
      <c r="A237" s="33" t="s">
        <v>172</v>
      </c>
      <c r="B237" s="33" t="s">
        <v>78</v>
      </c>
      <c r="C237" s="33" t="s">
        <v>202</v>
      </c>
      <c r="D237" s="33" t="s">
        <v>5</v>
      </c>
      <c r="E237" s="33" t="s">
        <v>203</v>
      </c>
      <c r="F237" s="33" t="s">
        <v>18</v>
      </c>
      <c r="G237" s="33" t="s">
        <v>204</v>
      </c>
      <c r="H237" s="33" t="s">
        <v>205</v>
      </c>
      <c r="I237" s="33" t="s">
        <v>206</v>
      </c>
      <c r="J237" s="33">
        <v>1554.91</v>
      </c>
      <c r="K237" s="33">
        <v>1.44232</v>
      </c>
      <c r="L237" s="33">
        <v>0.88997999999999999</v>
      </c>
      <c r="Q237" s="33" t="s">
        <v>207</v>
      </c>
      <c r="R237" s="33">
        <v>2023</v>
      </c>
    </row>
    <row r="238" spans="1:18" ht="96.6" hidden="1" x14ac:dyDescent="0.25">
      <c r="A238" s="33" t="s">
        <v>118</v>
      </c>
      <c r="B238" s="33" t="s">
        <v>57</v>
      </c>
      <c r="C238" s="33" t="s">
        <v>202</v>
      </c>
      <c r="D238" s="33" t="s">
        <v>5</v>
      </c>
      <c r="E238" s="33" t="s">
        <v>203</v>
      </c>
      <c r="F238" s="33" t="s">
        <v>18</v>
      </c>
      <c r="G238" s="33" t="s">
        <v>204</v>
      </c>
      <c r="H238" s="33" t="s">
        <v>205</v>
      </c>
      <c r="I238" s="33" t="s">
        <v>206</v>
      </c>
      <c r="J238" s="33">
        <v>1554.91</v>
      </c>
      <c r="K238" s="33">
        <v>1.44232</v>
      </c>
      <c r="L238" s="33">
        <v>0.88997999999999999</v>
      </c>
      <c r="Q238" s="33" t="s">
        <v>207</v>
      </c>
      <c r="R238" s="33">
        <v>2023</v>
      </c>
    </row>
    <row r="239" spans="1:18" ht="96.6" hidden="1" x14ac:dyDescent="0.25">
      <c r="A239" s="33" t="s">
        <v>118</v>
      </c>
      <c r="B239" s="33" t="s">
        <v>58</v>
      </c>
      <c r="C239" s="33" t="s">
        <v>202</v>
      </c>
      <c r="D239" s="33" t="s">
        <v>5</v>
      </c>
      <c r="E239" s="33" t="s">
        <v>203</v>
      </c>
      <c r="F239" s="33" t="s">
        <v>18</v>
      </c>
      <c r="G239" s="33" t="s">
        <v>204</v>
      </c>
      <c r="H239" s="33" t="s">
        <v>205</v>
      </c>
      <c r="I239" s="33" t="s">
        <v>206</v>
      </c>
      <c r="J239" s="33">
        <v>1554.91</v>
      </c>
      <c r="K239" s="33">
        <v>1.44232</v>
      </c>
      <c r="L239" s="33">
        <v>0.88997999999999999</v>
      </c>
      <c r="Q239" s="33" t="s">
        <v>207</v>
      </c>
      <c r="R239" s="33">
        <v>2023</v>
      </c>
    </row>
    <row r="240" spans="1:18" ht="96.6" hidden="1" x14ac:dyDescent="0.25">
      <c r="A240" s="33" t="s">
        <v>118</v>
      </c>
      <c r="B240" s="33" t="s">
        <v>69</v>
      </c>
      <c r="C240" s="33" t="s">
        <v>202</v>
      </c>
      <c r="D240" s="33" t="s">
        <v>5</v>
      </c>
      <c r="E240" s="33" t="s">
        <v>203</v>
      </c>
      <c r="F240" s="33" t="s">
        <v>18</v>
      </c>
      <c r="G240" s="33" t="s">
        <v>204</v>
      </c>
      <c r="H240" s="33" t="s">
        <v>205</v>
      </c>
      <c r="I240" s="33" t="s">
        <v>206</v>
      </c>
      <c r="J240" s="33">
        <v>1554.91</v>
      </c>
      <c r="K240" s="33">
        <v>1.44232</v>
      </c>
      <c r="L240" s="33">
        <v>0.88997999999999999</v>
      </c>
      <c r="Q240" s="33" t="s">
        <v>207</v>
      </c>
      <c r="R240" s="33">
        <v>2023</v>
      </c>
    </row>
    <row r="241" spans="1:18" ht="96.6" hidden="1" x14ac:dyDescent="0.25">
      <c r="A241" s="33" t="s">
        <v>118</v>
      </c>
      <c r="B241" s="33" t="s">
        <v>70</v>
      </c>
      <c r="C241" s="33" t="s">
        <v>202</v>
      </c>
      <c r="D241" s="33" t="s">
        <v>5</v>
      </c>
      <c r="E241" s="33" t="s">
        <v>203</v>
      </c>
      <c r="F241" s="33" t="s">
        <v>18</v>
      </c>
      <c r="G241" s="33" t="s">
        <v>204</v>
      </c>
      <c r="H241" s="33" t="s">
        <v>205</v>
      </c>
      <c r="I241" s="33" t="s">
        <v>206</v>
      </c>
      <c r="J241" s="33">
        <v>1554.91</v>
      </c>
      <c r="K241" s="33">
        <v>1.44232</v>
      </c>
      <c r="L241" s="33">
        <v>0.88997999999999999</v>
      </c>
      <c r="Q241" s="33" t="s">
        <v>207</v>
      </c>
      <c r="R241" s="33">
        <v>2023</v>
      </c>
    </row>
    <row r="242" spans="1:18" ht="96.6" hidden="1" x14ac:dyDescent="0.25">
      <c r="A242" s="33" t="s">
        <v>118</v>
      </c>
      <c r="B242" s="33" t="s">
        <v>71</v>
      </c>
      <c r="C242" s="33" t="s">
        <v>202</v>
      </c>
      <c r="D242" s="33" t="s">
        <v>5</v>
      </c>
      <c r="E242" s="33" t="s">
        <v>203</v>
      </c>
      <c r="F242" s="33" t="s">
        <v>18</v>
      </c>
      <c r="G242" s="33" t="s">
        <v>204</v>
      </c>
      <c r="H242" s="33" t="s">
        <v>205</v>
      </c>
      <c r="I242" s="33" t="s">
        <v>206</v>
      </c>
      <c r="J242" s="33">
        <v>1554.91</v>
      </c>
      <c r="K242" s="33">
        <v>1.44232</v>
      </c>
      <c r="L242" s="33">
        <v>0.88997999999999999</v>
      </c>
      <c r="Q242" s="33" t="s">
        <v>207</v>
      </c>
      <c r="R242" s="33">
        <v>2023</v>
      </c>
    </row>
    <row r="243" spans="1:18" ht="96.6" hidden="1" x14ac:dyDescent="0.25">
      <c r="A243" s="33" t="s">
        <v>118</v>
      </c>
      <c r="B243" s="33" t="s">
        <v>73</v>
      </c>
      <c r="C243" s="33" t="s">
        <v>202</v>
      </c>
      <c r="D243" s="33" t="s">
        <v>5</v>
      </c>
      <c r="E243" s="33" t="s">
        <v>203</v>
      </c>
      <c r="F243" s="33" t="s">
        <v>18</v>
      </c>
      <c r="G243" s="33" t="s">
        <v>204</v>
      </c>
      <c r="H243" s="33" t="s">
        <v>205</v>
      </c>
      <c r="I243" s="33" t="s">
        <v>206</v>
      </c>
      <c r="J243" s="33">
        <v>1554.91</v>
      </c>
      <c r="K243" s="33">
        <v>1.44232</v>
      </c>
      <c r="L243" s="33">
        <v>0.88997999999999999</v>
      </c>
      <c r="Q243" s="33" t="s">
        <v>207</v>
      </c>
      <c r="R243" s="33">
        <v>2023</v>
      </c>
    </row>
    <row r="244" spans="1:18" ht="96.6" hidden="1" x14ac:dyDescent="0.25">
      <c r="A244" s="33" t="s">
        <v>118</v>
      </c>
      <c r="B244" s="33" t="s">
        <v>74</v>
      </c>
      <c r="C244" s="33" t="s">
        <v>202</v>
      </c>
      <c r="D244" s="33" t="s">
        <v>5</v>
      </c>
      <c r="E244" s="33" t="s">
        <v>203</v>
      </c>
      <c r="F244" s="33" t="s">
        <v>18</v>
      </c>
      <c r="G244" s="33" t="s">
        <v>204</v>
      </c>
      <c r="H244" s="33" t="s">
        <v>205</v>
      </c>
      <c r="I244" s="33" t="s">
        <v>206</v>
      </c>
      <c r="J244" s="33">
        <v>1554.91</v>
      </c>
      <c r="K244" s="33">
        <v>1.44232</v>
      </c>
      <c r="L244" s="33">
        <v>0.88997999999999999</v>
      </c>
      <c r="Q244" s="33" t="s">
        <v>207</v>
      </c>
      <c r="R244" s="33">
        <v>2023</v>
      </c>
    </row>
    <row r="245" spans="1:18" ht="96.6" hidden="1" x14ac:dyDescent="0.25">
      <c r="A245" s="33" t="s">
        <v>118</v>
      </c>
      <c r="B245" s="33" t="s">
        <v>75</v>
      </c>
      <c r="C245" s="33" t="s">
        <v>202</v>
      </c>
      <c r="D245" s="33" t="s">
        <v>5</v>
      </c>
      <c r="E245" s="33" t="s">
        <v>203</v>
      </c>
      <c r="F245" s="33" t="s">
        <v>18</v>
      </c>
      <c r="G245" s="33" t="s">
        <v>204</v>
      </c>
      <c r="H245" s="33" t="s">
        <v>205</v>
      </c>
      <c r="I245" s="33" t="s">
        <v>206</v>
      </c>
      <c r="J245" s="33">
        <v>1554.91</v>
      </c>
      <c r="K245" s="33">
        <v>1.44232</v>
      </c>
      <c r="L245" s="33">
        <v>0.88997999999999999</v>
      </c>
      <c r="Q245" s="33" t="s">
        <v>207</v>
      </c>
      <c r="R245" s="33">
        <v>2023</v>
      </c>
    </row>
    <row r="246" spans="1:18" ht="96.6" hidden="1" x14ac:dyDescent="0.25">
      <c r="A246" s="33" t="s">
        <v>118</v>
      </c>
      <c r="B246" s="33" t="s">
        <v>76</v>
      </c>
      <c r="C246" s="33" t="s">
        <v>202</v>
      </c>
      <c r="D246" s="33" t="s">
        <v>5</v>
      </c>
      <c r="E246" s="33" t="s">
        <v>203</v>
      </c>
      <c r="F246" s="33" t="s">
        <v>18</v>
      </c>
      <c r="G246" s="33" t="s">
        <v>204</v>
      </c>
      <c r="H246" s="33" t="s">
        <v>205</v>
      </c>
      <c r="I246" s="33" t="s">
        <v>206</v>
      </c>
      <c r="J246" s="33">
        <v>1554.91</v>
      </c>
      <c r="K246" s="33">
        <v>1.44232</v>
      </c>
      <c r="L246" s="33">
        <v>0.88997999999999999</v>
      </c>
      <c r="Q246" s="33" t="s">
        <v>207</v>
      </c>
      <c r="R246" s="33">
        <v>2023</v>
      </c>
    </row>
    <row r="247" spans="1:18" ht="69" hidden="1" x14ac:dyDescent="0.25">
      <c r="A247" s="33" t="s">
        <v>108</v>
      </c>
      <c r="B247" s="33" t="s">
        <v>55</v>
      </c>
      <c r="C247" s="33" t="s">
        <v>202</v>
      </c>
      <c r="D247" s="33" t="s">
        <v>5</v>
      </c>
      <c r="E247" s="33" t="s">
        <v>203</v>
      </c>
      <c r="F247" s="33" t="s">
        <v>19</v>
      </c>
      <c r="G247" s="33" t="s">
        <v>219</v>
      </c>
      <c r="H247" s="33" t="s">
        <v>220</v>
      </c>
      <c r="I247" s="33" t="s">
        <v>221</v>
      </c>
      <c r="J247" s="33">
        <v>53.06</v>
      </c>
      <c r="K247" s="33">
        <v>2.98E-2</v>
      </c>
      <c r="L247" s="33">
        <v>2.7300000000000001E-2</v>
      </c>
      <c r="Q247" s="33" t="s">
        <v>222</v>
      </c>
      <c r="R247" s="33" t="s">
        <v>208</v>
      </c>
    </row>
    <row r="248" spans="1:18" ht="69" hidden="1" x14ac:dyDescent="0.25">
      <c r="A248" s="33" t="s">
        <v>108</v>
      </c>
      <c r="B248" s="33" t="s">
        <v>61</v>
      </c>
      <c r="C248" s="33" t="s">
        <v>202</v>
      </c>
      <c r="D248" s="33" t="s">
        <v>5</v>
      </c>
      <c r="E248" s="33" t="s">
        <v>203</v>
      </c>
      <c r="F248" s="33" t="s">
        <v>19</v>
      </c>
      <c r="G248" s="33" t="s">
        <v>219</v>
      </c>
      <c r="H248" s="33" t="s">
        <v>220</v>
      </c>
      <c r="I248" s="33" t="s">
        <v>221</v>
      </c>
      <c r="J248" s="33">
        <v>53.06</v>
      </c>
      <c r="K248" s="33">
        <v>2.98E-2</v>
      </c>
      <c r="L248" s="33">
        <v>2.7300000000000001E-2</v>
      </c>
      <c r="Q248" s="33" t="s">
        <v>222</v>
      </c>
      <c r="R248" s="33" t="s">
        <v>208</v>
      </c>
    </row>
    <row r="249" spans="1:18" ht="69" hidden="1" x14ac:dyDescent="0.25">
      <c r="A249" s="33" t="s">
        <v>157</v>
      </c>
      <c r="B249" s="33" t="s">
        <v>72</v>
      </c>
      <c r="C249" s="33" t="s">
        <v>202</v>
      </c>
      <c r="D249" s="33" t="s">
        <v>5</v>
      </c>
      <c r="E249" s="33" t="s">
        <v>203</v>
      </c>
      <c r="F249" s="33" t="s">
        <v>19</v>
      </c>
      <c r="G249" s="33" t="s">
        <v>219</v>
      </c>
      <c r="H249" s="33" t="s">
        <v>220</v>
      </c>
      <c r="I249" s="33" t="s">
        <v>221</v>
      </c>
      <c r="J249" s="33">
        <v>53.06</v>
      </c>
      <c r="K249" s="33">
        <v>2.98E-2</v>
      </c>
      <c r="L249" s="33">
        <v>2.7300000000000001E-2</v>
      </c>
      <c r="Q249" s="33" t="s">
        <v>222</v>
      </c>
      <c r="R249" s="33" t="s">
        <v>208</v>
      </c>
    </row>
    <row r="250" spans="1:18" ht="69" hidden="1" x14ac:dyDescent="0.25">
      <c r="A250" s="33" t="s">
        <v>123</v>
      </c>
      <c r="B250" s="33" t="s">
        <v>59</v>
      </c>
      <c r="C250" s="33" t="s">
        <v>202</v>
      </c>
      <c r="D250" s="33" t="s">
        <v>5</v>
      </c>
      <c r="E250" s="33" t="s">
        <v>203</v>
      </c>
      <c r="F250" s="33" t="s">
        <v>19</v>
      </c>
      <c r="G250" s="33" t="s">
        <v>219</v>
      </c>
      <c r="H250" s="33" t="s">
        <v>220</v>
      </c>
      <c r="I250" s="33" t="s">
        <v>221</v>
      </c>
      <c r="J250" s="33">
        <v>53.06</v>
      </c>
      <c r="K250" s="33">
        <v>2.98E-2</v>
      </c>
      <c r="L250" s="33">
        <v>2.7300000000000001E-2</v>
      </c>
      <c r="Q250" s="33" t="s">
        <v>222</v>
      </c>
      <c r="R250" s="33" t="s">
        <v>208</v>
      </c>
    </row>
    <row r="251" spans="1:18" ht="69" hidden="1" x14ac:dyDescent="0.25">
      <c r="A251" s="33" t="s">
        <v>123</v>
      </c>
      <c r="B251" s="33" t="s">
        <v>60</v>
      </c>
      <c r="C251" s="33" t="s">
        <v>202</v>
      </c>
      <c r="D251" s="33" t="s">
        <v>5</v>
      </c>
      <c r="E251" s="33" t="s">
        <v>203</v>
      </c>
      <c r="F251" s="33" t="s">
        <v>19</v>
      </c>
      <c r="G251" s="33" t="s">
        <v>219</v>
      </c>
      <c r="H251" s="33" t="s">
        <v>220</v>
      </c>
      <c r="I251" s="33" t="s">
        <v>221</v>
      </c>
      <c r="J251" s="33">
        <v>53.06</v>
      </c>
      <c r="K251" s="33">
        <v>2.98E-2</v>
      </c>
      <c r="L251" s="33">
        <v>2.7300000000000001E-2</v>
      </c>
      <c r="Q251" s="33" t="s">
        <v>222</v>
      </c>
      <c r="R251" s="33" t="s">
        <v>208</v>
      </c>
    </row>
    <row r="252" spans="1:18" ht="69" hidden="1" x14ac:dyDescent="0.25">
      <c r="A252" s="33" t="s">
        <v>123</v>
      </c>
      <c r="B252" s="33" t="s">
        <v>63</v>
      </c>
      <c r="C252" s="33" t="s">
        <v>202</v>
      </c>
      <c r="D252" s="33" t="s">
        <v>5</v>
      </c>
      <c r="E252" s="33" t="s">
        <v>203</v>
      </c>
      <c r="F252" s="33" t="s">
        <v>19</v>
      </c>
      <c r="G252" s="33" t="s">
        <v>219</v>
      </c>
      <c r="H252" s="33" t="s">
        <v>220</v>
      </c>
      <c r="I252" s="33" t="s">
        <v>221</v>
      </c>
      <c r="J252" s="33">
        <v>53.06</v>
      </c>
      <c r="K252" s="33">
        <v>2.98E-2</v>
      </c>
      <c r="L252" s="33">
        <v>2.7300000000000001E-2</v>
      </c>
      <c r="Q252" s="33" t="s">
        <v>222</v>
      </c>
      <c r="R252" s="33" t="s">
        <v>208</v>
      </c>
    </row>
    <row r="253" spans="1:18" ht="69" hidden="1" x14ac:dyDescent="0.25">
      <c r="A253" s="33" t="s">
        <v>123</v>
      </c>
      <c r="B253" s="33" t="s">
        <v>64</v>
      </c>
      <c r="C253" s="33" t="s">
        <v>202</v>
      </c>
      <c r="D253" s="33" t="s">
        <v>5</v>
      </c>
      <c r="E253" s="33" t="s">
        <v>203</v>
      </c>
      <c r="F253" s="33" t="s">
        <v>19</v>
      </c>
      <c r="G253" s="33" t="s">
        <v>219</v>
      </c>
      <c r="H253" s="33" t="s">
        <v>220</v>
      </c>
      <c r="I253" s="33" t="s">
        <v>221</v>
      </c>
      <c r="J253" s="33">
        <v>53.06</v>
      </c>
      <c r="K253" s="33">
        <v>2.98E-2</v>
      </c>
      <c r="L253" s="33">
        <v>2.7300000000000001E-2</v>
      </c>
      <c r="Q253" s="33" t="s">
        <v>222</v>
      </c>
      <c r="R253" s="33" t="s">
        <v>208</v>
      </c>
    </row>
    <row r="254" spans="1:18" ht="69" hidden="1" x14ac:dyDescent="0.25">
      <c r="A254" s="33" t="s">
        <v>123</v>
      </c>
      <c r="B254" s="33" t="s">
        <v>66</v>
      </c>
      <c r="C254" s="33" t="s">
        <v>202</v>
      </c>
      <c r="D254" s="33" t="s">
        <v>5</v>
      </c>
      <c r="E254" s="33" t="s">
        <v>203</v>
      </c>
      <c r="F254" s="33" t="s">
        <v>19</v>
      </c>
      <c r="G254" s="33" t="s">
        <v>219</v>
      </c>
      <c r="H254" s="33" t="s">
        <v>220</v>
      </c>
      <c r="I254" s="33" t="s">
        <v>221</v>
      </c>
      <c r="J254" s="33">
        <v>53.06</v>
      </c>
      <c r="K254" s="33">
        <v>2.98E-2</v>
      </c>
      <c r="L254" s="33">
        <v>2.7300000000000001E-2</v>
      </c>
      <c r="Q254" s="33" t="s">
        <v>222</v>
      </c>
      <c r="R254" s="33" t="s">
        <v>208</v>
      </c>
    </row>
    <row r="255" spans="1:18" ht="69" hidden="1" x14ac:dyDescent="0.25">
      <c r="A255" s="33" t="s">
        <v>123</v>
      </c>
      <c r="B255" s="33" t="s">
        <v>67</v>
      </c>
      <c r="C255" s="33" t="s">
        <v>202</v>
      </c>
      <c r="D255" s="33" t="s">
        <v>5</v>
      </c>
      <c r="E255" s="33" t="s">
        <v>203</v>
      </c>
      <c r="F255" s="33" t="s">
        <v>19</v>
      </c>
      <c r="G255" s="33" t="s">
        <v>219</v>
      </c>
      <c r="H255" s="33" t="s">
        <v>220</v>
      </c>
      <c r="I255" s="33" t="s">
        <v>221</v>
      </c>
      <c r="J255" s="33">
        <v>53.06</v>
      </c>
      <c r="K255" s="33">
        <v>2.98E-2</v>
      </c>
      <c r="L255" s="33">
        <v>2.7300000000000001E-2</v>
      </c>
      <c r="Q255" s="33" t="s">
        <v>222</v>
      </c>
      <c r="R255" s="33" t="s">
        <v>208</v>
      </c>
    </row>
    <row r="256" spans="1:18" ht="69" hidden="1" x14ac:dyDescent="0.25">
      <c r="A256" s="33" t="s">
        <v>123</v>
      </c>
      <c r="B256" s="33" t="s">
        <v>68</v>
      </c>
      <c r="C256" s="33" t="s">
        <v>202</v>
      </c>
      <c r="D256" s="33" t="s">
        <v>5</v>
      </c>
      <c r="E256" s="33" t="s">
        <v>203</v>
      </c>
      <c r="F256" s="33" t="s">
        <v>19</v>
      </c>
      <c r="G256" s="33" t="s">
        <v>219</v>
      </c>
      <c r="H256" s="33" t="s">
        <v>220</v>
      </c>
      <c r="I256" s="33" t="s">
        <v>221</v>
      </c>
      <c r="J256" s="33">
        <v>53.06</v>
      </c>
      <c r="K256" s="33">
        <v>2.98E-2</v>
      </c>
      <c r="L256" s="33">
        <v>2.7300000000000001E-2</v>
      </c>
      <c r="Q256" s="33" t="s">
        <v>222</v>
      </c>
      <c r="R256" s="33" t="s">
        <v>208</v>
      </c>
    </row>
    <row r="257" spans="1:18" ht="69" hidden="1" x14ac:dyDescent="0.25">
      <c r="A257" s="33" t="s">
        <v>123</v>
      </c>
      <c r="B257" s="33" t="s">
        <v>77</v>
      </c>
      <c r="C257" s="33" t="s">
        <v>202</v>
      </c>
      <c r="D257" s="33" t="s">
        <v>5</v>
      </c>
      <c r="E257" s="33" t="s">
        <v>203</v>
      </c>
      <c r="F257" s="33" t="s">
        <v>19</v>
      </c>
      <c r="G257" s="33" t="s">
        <v>219</v>
      </c>
      <c r="H257" s="33" t="s">
        <v>220</v>
      </c>
      <c r="I257" s="33" t="s">
        <v>221</v>
      </c>
      <c r="J257" s="33">
        <v>53.06</v>
      </c>
      <c r="K257" s="33">
        <v>2.98E-2</v>
      </c>
      <c r="L257" s="33">
        <v>2.7300000000000001E-2</v>
      </c>
      <c r="Q257" s="33" t="s">
        <v>222</v>
      </c>
      <c r="R257" s="33" t="s">
        <v>208</v>
      </c>
    </row>
    <row r="258" spans="1:18" ht="69" hidden="1" x14ac:dyDescent="0.25">
      <c r="A258" s="33" t="s">
        <v>113</v>
      </c>
      <c r="B258" s="33" t="s">
        <v>56</v>
      </c>
      <c r="C258" s="33" t="s">
        <v>202</v>
      </c>
      <c r="D258" s="33" t="s">
        <v>5</v>
      </c>
      <c r="E258" s="33" t="s">
        <v>203</v>
      </c>
      <c r="F258" s="33" t="s">
        <v>19</v>
      </c>
      <c r="G258" s="33" t="s">
        <v>219</v>
      </c>
      <c r="H258" s="33" t="s">
        <v>220</v>
      </c>
      <c r="I258" s="33" t="s">
        <v>221</v>
      </c>
      <c r="J258" s="33">
        <v>53.06</v>
      </c>
      <c r="K258" s="33">
        <v>2.98E-2</v>
      </c>
      <c r="L258" s="33">
        <v>2.7300000000000001E-2</v>
      </c>
      <c r="Q258" s="33" t="s">
        <v>222</v>
      </c>
      <c r="R258" s="33" t="s">
        <v>208</v>
      </c>
    </row>
    <row r="259" spans="1:18" ht="69" hidden="1" x14ac:dyDescent="0.25">
      <c r="A259" s="33" t="s">
        <v>113</v>
      </c>
      <c r="B259" s="33" t="s">
        <v>62</v>
      </c>
      <c r="C259" s="33" t="s">
        <v>202</v>
      </c>
      <c r="D259" s="33" t="s">
        <v>5</v>
      </c>
      <c r="E259" s="33" t="s">
        <v>203</v>
      </c>
      <c r="F259" s="33" t="s">
        <v>19</v>
      </c>
      <c r="G259" s="33" t="s">
        <v>219</v>
      </c>
      <c r="H259" s="33" t="s">
        <v>220</v>
      </c>
      <c r="I259" s="33" t="s">
        <v>221</v>
      </c>
      <c r="J259" s="33">
        <v>53.06</v>
      </c>
      <c r="K259" s="33">
        <v>2.98E-2</v>
      </c>
      <c r="L259" s="33">
        <v>2.7300000000000001E-2</v>
      </c>
      <c r="Q259" s="33" t="s">
        <v>222</v>
      </c>
      <c r="R259" s="33" t="s">
        <v>208</v>
      </c>
    </row>
    <row r="260" spans="1:18" ht="69" hidden="1" x14ac:dyDescent="0.25">
      <c r="A260" s="33" t="s">
        <v>113</v>
      </c>
      <c r="B260" s="33" t="s">
        <v>65</v>
      </c>
      <c r="C260" s="33" t="s">
        <v>202</v>
      </c>
      <c r="D260" s="33" t="s">
        <v>5</v>
      </c>
      <c r="E260" s="33" t="s">
        <v>203</v>
      </c>
      <c r="F260" s="33" t="s">
        <v>19</v>
      </c>
      <c r="G260" s="33" t="s">
        <v>219</v>
      </c>
      <c r="H260" s="33" t="s">
        <v>220</v>
      </c>
      <c r="I260" s="33" t="s">
        <v>221</v>
      </c>
      <c r="J260" s="33">
        <v>53.06</v>
      </c>
      <c r="K260" s="33">
        <v>2.98E-2</v>
      </c>
      <c r="L260" s="33">
        <v>2.7300000000000001E-2</v>
      </c>
      <c r="Q260" s="33" t="s">
        <v>222</v>
      </c>
      <c r="R260" s="33" t="s">
        <v>208</v>
      </c>
    </row>
    <row r="261" spans="1:18" ht="69" hidden="1" x14ac:dyDescent="0.25">
      <c r="A261" s="33" t="s">
        <v>172</v>
      </c>
      <c r="B261" s="33" t="s">
        <v>78</v>
      </c>
      <c r="C261" s="33" t="s">
        <v>202</v>
      </c>
      <c r="D261" s="33" t="s">
        <v>5</v>
      </c>
      <c r="E261" s="33" t="s">
        <v>203</v>
      </c>
      <c r="F261" s="33" t="s">
        <v>19</v>
      </c>
      <c r="G261" s="33" t="s">
        <v>219</v>
      </c>
      <c r="H261" s="33" t="s">
        <v>220</v>
      </c>
      <c r="I261" s="33" t="s">
        <v>221</v>
      </c>
      <c r="J261" s="33">
        <v>53.06</v>
      </c>
      <c r="K261" s="33">
        <v>2.98E-2</v>
      </c>
      <c r="L261" s="33">
        <v>2.7300000000000001E-2</v>
      </c>
      <c r="Q261" s="33" t="s">
        <v>222</v>
      </c>
      <c r="R261" s="33" t="s">
        <v>208</v>
      </c>
    </row>
    <row r="262" spans="1:18" ht="69" hidden="1" x14ac:dyDescent="0.25">
      <c r="A262" s="33" t="s">
        <v>118</v>
      </c>
      <c r="B262" s="33" t="s">
        <v>57</v>
      </c>
      <c r="C262" s="33" t="s">
        <v>202</v>
      </c>
      <c r="D262" s="33" t="s">
        <v>5</v>
      </c>
      <c r="E262" s="33" t="s">
        <v>203</v>
      </c>
      <c r="F262" s="33" t="s">
        <v>19</v>
      </c>
      <c r="G262" s="33" t="s">
        <v>219</v>
      </c>
      <c r="H262" s="33" t="s">
        <v>220</v>
      </c>
      <c r="I262" s="33" t="s">
        <v>221</v>
      </c>
      <c r="J262" s="33">
        <v>53.06</v>
      </c>
      <c r="K262" s="33">
        <v>2.98E-2</v>
      </c>
      <c r="L262" s="33">
        <v>2.7300000000000001E-2</v>
      </c>
      <c r="Q262" s="33" t="s">
        <v>222</v>
      </c>
      <c r="R262" s="33" t="s">
        <v>208</v>
      </c>
    </row>
    <row r="263" spans="1:18" ht="69" hidden="1" x14ac:dyDescent="0.25">
      <c r="A263" s="33" t="s">
        <v>118</v>
      </c>
      <c r="B263" s="33" t="s">
        <v>58</v>
      </c>
      <c r="C263" s="33" t="s">
        <v>202</v>
      </c>
      <c r="D263" s="33" t="s">
        <v>5</v>
      </c>
      <c r="E263" s="33" t="s">
        <v>203</v>
      </c>
      <c r="F263" s="33" t="s">
        <v>19</v>
      </c>
      <c r="G263" s="33" t="s">
        <v>219</v>
      </c>
      <c r="H263" s="33" t="s">
        <v>220</v>
      </c>
      <c r="I263" s="33" t="s">
        <v>221</v>
      </c>
      <c r="J263" s="33">
        <v>53.06</v>
      </c>
      <c r="K263" s="33">
        <v>2.98E-2</v>
      </c>
      <c r="L263" s="33">
        <v>2.7300000000000001E-2</v>
      </c>
      <c r="Q263" s="33" t="s">
        <v>222</v>
      </c>
      <c r="R263" s="33" t="s">
        <v>208</v>
      </c>
    </row>
    <row r="264" spans="1:18" ht="69" hidden="1" x14ac:dyDescent="0.25">
      <c r="A264" s="33" t="s">
        <v>118</v>
      </c>
      <c r="B264" s="33" t="s">
        <v>69</v>
      </c>
      <c r="C264" s="33" t="s">
        <v>202</v>
      </c>
      <c r="D264" s="33" t="s">
        <v>5</v>
      </c>
      <c r="E264" s="33" t="s">
        <v>203</v>
      </c>
      <c r="F264" s="33" t="s">
        <v>19</v>
      </c>
      <c r="G264" s="33" t="s">
        <v>219</v>
      </c>
      <c r="H264" s="33" t="s">
        <v>220</v>
      </c>
      <c r="I264" s="33" t="s">
        <v>221</v>
      </c>
      <c r="J264" s="33">
        <v>53.06</v>
      </c>
      <c r="K264" s="33">
        <v>2.98E-2</v>
      </c>
      <c r="L264" s="33">
        <v>2.7300000000000001E-2</v>
      </c>
      <c r="Q264" s="33" t="s">
        <v>222</v>
      </c>
      <c r="R264" s="33" t="s">
        <v>208</v>
      </c>
    </row>
    <row r="265" spans="1:18" ht="69" hidden="1" x14ac:dyDescent="0.25">
      <c r="A265" s="33" t="s">
        <v>118</v>
      </c>
      <c r="B265" s="33" t="s">
        <v>70</v>
      </c>
      <c r="C265" s="33" t="s">
        <v>202</v>
      </c>
      <c r="D265" s="33" t="s">
        <v>5</v>
      </c>
      <c r="E265" s="33" t="s">
        <v>203</v>
      </c>
      <c r="F265" s="33" t="s">
        <v>19</v>
      </c>
      <c r="G265" s="33" t="s">
        <v>219</v>
      </c>
      <c r="H265" s="33" t="s">
        <v>220</v>
      </c>
      <c r="I265" s="33" t="s">
        <v>221</v>
      </c>
      <c r="J265" s="33">
        <v>53.06</v>
      </c>
      <c r="K265" s="33">
        <v>2.98E-2</v>
      </c>
      <c r="L265" s="33">
        <v>2.7300000000000001E-2</v>
      </c>
      <c r="Q265" s="33" t="s">
        <v>222</v>
      </c>
      <c r="R265" s="33" t="s">
        <v>208</v>
      </c>
    </row>
    <row r="266" spans="1:18" ht="69" hidden="1" x14ac:dyDescent="0.25">
      <c r="A266" s="33" t="s">
        <v>118</v>
      </c>
      <c r="B266" s="33" t="s">
        <v>71</v>
      </c>
      <c r="C266" s="33" t="s">
        <v>202</v>
      </c>
      <c r="D266" s="33" t="s">
        <v>5</v>
      </c>
      <c r="E266" s="33" t="s">
        <v>203</v>
      </c>
      <c r="F266" s="33" t="s">
        <v>19</v>
      </c>
      <c r="G266" s="33" t="s">
        <v>219</v>
      </c>
      <c r="H266" s="33" t="s">
        <v>220</v>
      </c>
      <c r="I266" s="33" t="s">
        <v>221</v>
      </c>
      <c r="J266" s="33">
        <v>53.06</v>
      </c>
      <c r="K266" s="33">
        <v>2.98E-2</v>
      </c>
      <c r="L266" s="33">
        <v>2.7300000000000001E-2</v>
      </c>
      <c r="Q266" s="33" t="s">
        <v>222</v>
      </c>
      <c r="R266" s="33" t="s">
        <v>208</v>
      </c>
    </row>
    <row r="267" spans="1:18" ht="69" hidden="1" x14ac:dyDescent="0.25">
      <c r="A267" s="33" t="s">
        <v>118</v>
      </c>
      <c r="B267" s="33" t="s">
        <v>73</v>
      </c>
      <c r="C267" s="33" t="s">
        <v>202</v>
      </c>
      <c r="D267" s="33" t="s">
        <v>5</v>
      </c>
      <c r="E267" s="33" t="s">
        <v>203</v>
      </c>
      <c r="F267" s="33" t="s">
        <v>19</v>
      </c>
      <c r="G267" s="33" t="s">
        <v>219</v>
      </c>
      <c r="H267" s="33" t="s">
        <v>220</v>
      </c>
      <c r="I267" s="33" t="s">
        <v>221</v>
      </c>
      <c r="J267" s="33">
        <v>53.06</v>
      </c>
      <c r="K267" s="33">
        <v>2.98E-2</v>
      </c>
      <c r="L267" s="33">
        <v>2.7300000000000001E-2</v>
      </c>
      <c r="Q267" s="33" t="s">
        <v>222</v>
      </c>
      <c r="R267" s="33" t="s">
        <v>208</v>
      </c>
    </row>
    <row r="268" spans="1:18" ht="69" hidden="1" x14ac:dyDescent="0.25">
      <c r="A268" s="33" t="s">
        <v>118</v>
      </c>
      <c r="B268" s="33" t="s">
        <v>74</v>
      </c>
      <c r="C268" s="33" t="s">
        <v>202</v>
      </c>
      <c r="D268" s="33" t="s">
        <v>5</v>
      </c>
      <c r="E268" s="33" t="s">
        <v>203</v>
      </c>
      <c r="F268" s="33" t="s">
        <v>19</v>
      </c>
      <c r="G268" s="33" t="s">
        <v>219</v>
      </c>
      <c r="H268" s="33" t="s">
        <v>220</v>
      </c>
      <c r="I268" s="33" t="s">
        <v>221</v>
      </c>
      <c r="J268" s="33">
        <v>53.06</v>
      </c>
      <c r="K268" s="33">
        <v>2.98E-2</v>
      </c>
      <c r="L268" s="33">
        <v>2.7300000000000001E-2</v>
      </c>
      <c r="Q268" s="33" t="s">
        <v>222</v>
      </c>
      <c r="R268" s="33" t="s">
        <v>208</v>
      </c>
    </row>
    <row r="269" spans="1:18" ht="69" hidden="1" x14ac:dyDescent="0.25">
      <c r="A269" s="33" t="s">
        <v>118</v>
      </c>
      <c r="B269" s="33" t="s">
        <v>75</v>
      </c>
      <c r="C269" s="33" t="s">
        <v>202</v>
      </c>
      <c r="D269" s="33" t="s">
        <v>5</v>
      </c>
      <c r="E269" s="33" t="s">
        <v>203</v>
      </c>
      <c r="F269" s="33" t="s">
        <v>19</v>
      </c>
      <c r="G269" s="33" t="s">
        <v>219</v>
      </c>
      <c r="H269" s="33" t="s">
        <v>220</v>
      </c>
      <c r="I269" s="33" t="s">
        <v>221</v>
      </c>
      <c r="J269" s="33">
        <v>53.06</v>
      </c>
      <c r="K269" s="33">
        <v>2.98E-2</v>
      </c>
      <c r="L269" s="33">
        <v>2.7300000000000001E-2</v>
      </c>
      <c r="Q269" s="33" t="s">
        <v>222</v>
      </c>
      <c r="R269" s="33" t="s">
        <v>208</v>
      </c>
    </row>
    <row r="270" spans="1:18" ht="69" hidden="1" x14ac:dyDescent="0.25">
      <c r="A270" s="33" t="s">
        <v>118</v>
      </c>
      <c r="B270" s="33" t="s">
        <v>76</v>
      </c>
      <c r="C270" s="33" t="s">
        <v>202</v>
      </c>
      <c r="D270" s="33" t="s">
        <v>5</v>
      </c>
      <c r="E270" s="33" t="s">
        <v>203</v>
      </c>
      <c r="F270" s="33" t="s">
        <v>19</v>
      </c>
      <c r="G270" s="33" t="s">
        <v>219</v>
      </c>
      <c r="H270" s="33" t="s">
        <v>220</v>
      </c>
      <c r="I270" s="33" t="s">
        <v>221</v>
      </c>
      <c r="J270" s="33">
        <v>53.06</v>
      </c>
      <c r="K270" s="33">
        <v>2.98E-2</v>
      </c>
      <c r="L270" s="33">
        <v>2.7300000000000001E-2</v>
      </c>
      <c r="Q270" s="33" t="s">
        <v>222</v>
      </c>
      <c r="R270" s="33" t="s">
        <v>208</v>
      </c>
    </row>
    <row r="271" spans="1:18" ht="69" hidden="1" x14ac:dyDescent="0.25">
      <c r="A271" s="33" t="s">
        <v>108</v>
      </c>
      <c r="B271" s="33" t="s">
        <v>55</v>
      </c>
      <c r="C271" s="33" t="s">
        <v>202</v>
      </c>
      <c r="D271" s="33" t="s">
        <v>5</v>
      </c>
      <c r="E271" s="33" t="s">
        <v>203</v>
      </c>
      <c r="F271" s="33" t="s">
        <v>20</v>
      </c>
      <c r="G271" s="33" t="s">
        <v>219</v>
      </c>
      <c r="H271" s="33" t="s">
        <v>220</v>
      </c>
      <c r="I271" s="33" t="s">
        <v>221</v>
      </c>
      <c r="J271" s="33">
        <v>62.87</v>
      </c>
      <c r="K271" s="33">
        <v>8.9399999999999993E-2</v>
      </c>
      <c r="L271" s="33">
        <v>0.1638</v>
      </c>
      <c r="Q271" s="33" t="s">
        <v>222</v>
      </c>
      <c r="R271" s="33" t="s">
        <v>208</v>
      </c>
    </row>
    <row r="272" spans="1:18" ht="69" hidden="1" x14ac:dyDescent="0.25">
      <c r="A272" s="33" t="s">
        <v>108</v>
      </c>
      <c r="B272" s="33" t="s">
        <v>61</v>
      </c>
      <c r="C272" s="33" t="s">
        <v>202</v>
      </c>
      <c r="D272" s="33" t="s">
        <v>5</v>
      </c>
      <c r="E272" s="33" t="s">
        <v>203</v>
      </c>
      <c r="F272" s="33" t="s">
        <v>20</v>
      </c>
      <c r="G272" s="33" t="s">
        <v>219</v>
      </c>
      <c r="H272" s="33" t="s">
        <v>220</v>
      </c>
      <c r="I272" s="33" t="s">
        <v>221</v>
      </c>
      <c r="J272" s="33">
        <v>62.87</v>
      </c>
      <c r="K272" s="33">
        <v>8.9399999999999993E-2</v>
      </c>
      <c r="L272" s="33">
        <v>0.1638</v>
      </c>
      <c r="Q272" s="33" t="s">
        <v>222</v>
      </c>
      <c r="R272" s="33" t="s">
        <v>208</v>
      </c>
    </row>
    <row r="273" spans="1:18" ht="69" hidden="1" x14ac:dyDescent="0.25">
      <c r="A273" s="33" t="s">
        <v>157</v>
      </c>
      <c r="B273" s="33" t="s">
        <v>72</v>
      </c>
      <c r="C273" s="33" t="s">
        <v>202</v>
      </c>
      <c r="D273" s="33" t="s">
        <v>5</v>
      </c>
      <c r="E273" s="33" t="s">
        <v>203</v>
      </c>
      <c r="F273" s="33" t="s">
        <v>20</v>
      </c>
      <c r="G273" s="33" t="s">
        <v>219</v>
      </c>
      <c r="H273" s="33" t="s">
        <v>220</v>
      </c>
      <c r="I273" s="33" t="s">
        <v>221</v>
      </c>
      <c r="J273" s="33">
        <v>62.87</v>
      </c>
      <c r="K273" s="33">
        <v>8.9399999999999993E-2</v>
      </c>
      <c r="L273" s="33">
        <v>0.1638</v>
      </c>
      <c r="Q273" s="33" t="s">
        <v>222</v>
      </c>
      <c r="R273" s="33" t="s">
        <v>208</v>
      </c>
    </row>
    <row r="274" spans="1:18" ht="69" hidden="1" x14ac:dyDescent="0.25">
      <c r="A274" s="33" t="s">
        <v>123</v>
      </c>
      <c r="B274" s="33" t="s">
        <v>59</v>
      </c>
      <c r="C274" s="33" t="s">
        <v>202</v>
      </c>
      <c r="D274" s="33" t="s">
        <v>5</v>
      </c>
      <c r="E274" s="33" t="s">
        <v>203</v>
      </c>
      <c r="F274" s="33" t="s">
        <v>20</v>
      </c>
      <c r="G274" s="33" t="s">
        <v>219</v>
      </c>
      <c r="H274" s="33" t="s">
        <v>220</v>
      </c>
      <c r="I274" s="33" t="s">
        <v>221</v>
      </c>
      <c r="J274" s="33">
        <v>62.87</v>
      </c>
      <c r="K274" s="33">
        <v>8.9399999999999993E-2</v>
      </c>
      <c r="L274" s="33">
        <v>0.1638</v>
      </c>
      <c r="Q274" s="33" t="s">
        <v>222</v>
      </c>
      <c r="R274" s="33" t="s">
        <v>208</v>
      </c>
    </row>
    <row r="275" spans="1:18" ht="69" hidden="1" x14ac:dyDescent="0.25">
      <c r="A275" s="33" t="s">
        <v>123</v>
      </c>
      <c r="B275" s="33" t="s">
        <v>60</v>
      </c>
      <c r="C275" s="33" t="s">
        <v>202</v>
      </c>
      <c r="D275" s="33" t="s">
        <v>5</v>
      </c>
      <c r="E275" s="33" t="s">
        <v>203</v>
      </c>
      <c r="F275" s="33" t="s">
        <v>20</v>
      </c>
      <c r="G275" s="33" t="s">
        <v>219</v>
      </c>
      <c r="H275" s="33" t="s">
        <v>220</v>
      </c>
      <c r="I275" s="33" t="s">
        <v>221</v>
      </c>
      <c r="J275" s="33">
        <v>62.87</v>
      </c>
      <c r="K275" s="33">
        <v>8.9399999999999993E-2</v>
      </c>
      <c r="L275" s="33">
        <v>0.1638</v>
      </c>
      <c r="Q275" s="33" t="s">
        <v>222</v>
      </c>
      <c r="R275" s="33" t="s">
        <v>208</v>
      </c>
    </row>
    <row r="276" spans="1:18" ht="69" hidden="1" x14ac:dyDescent="0.25">
      <c r="A276" s="33" t="s">
        <v>123</v>
      </c>
      <c r="B276" s="33" t="s">
        <v>63</v>
      </c>
      <c r="C276" s="33" t="s">
        <v>202</v>
      </c>
      <c r="D276" s="33" t="s">
        <v>5</v>
      </c>
      <c r="E276" s="33" t="s">
        <v>203</v>
      </c>
      <c r="F276" s="33" t="s">
        <v>20</v>
      </c>
      <c r="G276" s="33" t="s">
        <v>219</v>
      </c>
      <c r="H276" s="33" t="s">
        <v>220</v>
      </c>
      <c r="I276" s="33" t="s">
        <v>221</v>
      </c>
      <c r="J276" s="33">
        <v>62.87</v>
      </c>
      <c r="K276" s="33">
        <v>8.9399999999999993E-2</v>
      </c>
      <c r="L276" s="33">
        <v>0.1638</v>
      </c>
      <c r="Q276" s="33" t="s">
        <v>222</v>
      </c>
      <c r="R276" s="33" t="s">
        <v>208</v>
      </c>
    </row>
    <row r="277" spans="1:18" ht="69" hidden="1" x14ac:dyDescent="0.25">
      <c r="A277" s="33" t="s">
        <v>123</v>
      </c>
      <c r="B277" s="33" t="s">
        <v>64</v>
      </c>
      <c r="C277" s="33" t="s">
        <v>202</v>
      </c>
      <c r="D277" s="33" t="s">
        <v>5</v>
      </c>
      <c r="E277" s="33" t="s">
        <v>203</v>
      </c>
      <c r="F277" s="33" t="s">
        <v>20</v>
      </c>
      <c r="G277" s="33" t="s">
        <v>219</v>
      </c>
      <c r="H277" s="33" t="s">
        <v>220</v>
      </c>
      <c r="I277" s="33" t="s">
        <v>221</v>
      </c>
      <c r="J277" s="33">
        <v>62.87</v>
      </c>
      <c r="K277" s="33">
        <v>8.9399999999999993E-2</v>
      </c>
      <c r="L277" s="33">
        <v>0.1638</v>
      </c>
      <c r="Q277" s="33" t="s">
        <v>222</v>
      </c>
      <c r="R277" s="33" t="s">
        <v>208</v>
      </c>
    </row>
    <row r="278" spans="1:18" ht="69" hidden="1" x14ac:dyDescent="0.25">
      <c r="A278" s="33" t="s">
        <v>123</v>
      </c>
      <c r="B278" s="33" t="s">
        <v>66</v>
      </c>
      <c r="C278" s="33" t="s">
        <v>202</v>
      </c>
      <c r="D278" s="33" t="s">
        <v>5</v>
      </c>
      <c r="E278" s="33" t="s">
        <v>203</v>
      </c>
      <c r="F278" s="33" t="s">
        <v>20</v>
      </c>
      <c r="G278" s="33" t="s">
        <v>219</v>
      </c>
      <c r="H278" s="33" t="s">
        <v>220</v>
      </c>
      <c r="I278" s="33" t="s">
        <v>221</v>
      </c>
      <c r="J278" s="33">
        <v>62.87</v>
      </c>
      <c r="K278" s="33">
        <v>8.9399999999999993E-2</v>
      </c>
      <c r="L278" s="33">
        <v>0.1638</v>
      </c>
      <c r="Q278" s="33" t="s">
        <v>222</v>
      </c>
      <c r="R278" s="33" t="s">
        <v>208</v>
      </c>
    </row>
    <row r="279" spans="1:18" ht="69" hidden="1" x14ac:dyDescent="0.25">
      <c r="A279" s="33" t="s">
        <v>123</v>
      </c>
      <c r="B279" s="33" t="s">
        <v>67</v>
      </c>
      <c r="C279" s="33" t="s">
        <v>202</v>
      </c>
      <c r="D279" s="33" t="s">
        <v>5</v>
      </c>
      <c r="E279" s="33" t="s">
        <v>203</v>
      </c>
      <c r="F279" s="33" t="s">
        <v>20</v>
      </c>
      <c r="G279" s="33" t="s">
        <v>219</v>
      </c>
      <c r="H279" s="33" t="s">
        <v>220</v>
      </c>
      <c r="I279" s="33" t="s">
        <v>221</v>
      </c>
      <c r="J279" s="33">
        <v>62.87</v>
      </c>
      <c r="K279" s="33">
        <v>8.9399999999999993E-2</v>
      </c>
      <c r="L279" s="33">
        <v>0.1638</v>
      </c>
      <c r="Q279" s="33" t="s">
        <v>222</v>
      </c>
      <c r="R279" s="33" t="s">
        <v>208</v>
      </c>
    </row>
    <row r="280" spans="1:18" ht="69" hidden="1" x14ac:dyDescent="0.25">
      <c r="A280" s="33" t="s">
        <v>123</v>
      </c>
      <c r="B280" s="33" t="s">
        <v>68</v>
      </c>
      <c r="C280" s="33" t="s">
        <v>202</v>
      </c>
      <c r="D280" s="33" t="s">
        <v>5</v>
      </c>
      <c r="E280" s="33" t="s">
        <v>203</v>
      </c>
      <c r="F280" s="33" t="s">
        <v>20</v>
      </c>
      <c r="G280" s="33" t="s">
        <v>219</v>
      </c>
      <c r="H280" s="33" t="s">
        <v>220</v>
      </c>
      <c r="I280" s="33" t="s">
        <v>221</v>
      </c>
      <c r="J280" s="33">
        <v>62.87</v>
      </c>
      <c r="K280" s="33">
        <v>8.9399999999999993E-2</v>
      </c>
      <c r="L280" s="33">
        <v>0.1638</v>
      </c>
      <c r="Q280" s="33" t="s">
        <v>222</v>
      </c>
      <c r="R280" s="33" t="s">
        <v>208</v>
      </c>
    </row>
    <row r="281" spans="1:18" ht="69" hidden="1" x14ac:dyDescent="0.25">
      <c r="A281" s="33" t="s">
        <v>123</v>
      </c>
      <c r="B281" s="33" t="s">
        <v>77</v>
      </c>
      <c r="C281" s="33" t="s">
        <v>202</v>
      </c>
      <c r="D281" s="33" t="s">
        <v>5</v>
      </c>
      <c r="E281" s="33" t="s">
        <v>203</v>
      </c>
      <c r="F281" s="33" t="s">
        <v>20</v>
      </c>
      <c r="G281" s="33" t="s">
        <v>219</v>
      </c>
      <c r="H281" s="33" t="s">
        <v>220</v>
      </c>
      <c r="I281" s="33" t="s">
        <v>221</v>
      </c>
      <c r="J281" s="33">
        <v>62.87</v>
      </c>
      <c r="K281" s="33">
        <v>8.9399999999999993E-2</v>
      </c>
      <c r="L281" s="33">
        <v>0.1638</v>
      </c>
      <c r="Q281" s="33" t="s">
        <v>222</v>
      </c>
      <c r="R281" s="33" t="s">
        <v>208</v>
      </c>
    </row>
    <row r="282" spans="1:18" ht="69" hidden="1" x14ac:dyDescent="0.25">
      <c r="A282" s="33" t="s">
        <v>113</v>
      </c>
      <c r="B282" s="33" t="s">
        <v>56</v>
      </c>
      <c r="C282" s="33" t="s">
        <v>202</v>
      </c>
      <c r="D282" s="33" t="s">
        <v>5</v>
      </c>
      <c r="E282" s="33" t="s">
        <v>203</v>
      </c>
      <c r="F282" s="33" t="s">
        <v>20</v>
      </c>
      <c r="G282" s="33" t="s">
        <v>219</v>
      </c>
      <c r="H282" s="33" t="s">
        <v>220</v>
      </c>
      <c r="I282" s="33" t="s">
        <v>221</v>
      </c>
      <c r="J282" s="33">
        <v>62.87</v>
      </c>
      <c r="K282" s="33">
        <v>8.9399999999999993E-2</v>
      </c>
      <c r="L282" s="33">
        <v>0.1638</v>
      </c>
      <c r="Q282" s="33" t="s">
        <v>222</v>
      </c>
      <c r="R282" s="33" t="s">
        <v>208</v>
      </c>
    </row>
    <row r="283" spans="1:18" ht="69" hidden="1" x14ac:dyDescent="0.25">
      <c r="A283" s="33" t="s">
        <v>113</v>
      </c>
      <c r="B283" s="33" t="s">
        <v>62</v>
      </c>
      <c r="C283" s="33" t="s">
        <v>202</v>
      </c>
      <c r="D283" s="33" t="s">
        <v>5</v>
      </c>
      <c r="E283" s="33" t="s">
        <v>203</v>
      </c>
      <c r="F283" s="33" t="s">
        <v>20</v>
      </c>
      <c r="G283" s="33" t="s">
        <v>219</v>
      </c>
      <c r="H283" s="33" t="s">
        <v>220</v>
      </c>
      <c r="I283" s="33" t="s">
        <v>221</v>
      </c>
      <c r="J283" s="33">
        <v>62.87</v>
      </c>
      <c r="K283" s="33">
        <v>8.9399999999999993E-2</v>
      </c>
      <c r="L283" s="33">
        <v>0.1638</v>
      </c>
      <c r="Q283" s="33" t="s">
        <v>222</v>
      </c>
      <c r="R283" s="33" t="s">
        <v>208</v>
      </c>
    </row>
    <row r="284" spans="1:18" ht="69" hidden="1" x14ac:dyDescent="0.25">
      <c r="A284" s="33" t="s">
        <v>113</v>
      </c>
      <c r="B284" s="33" t="s">
        <v>65</v>
      </c>
      <c r="C284" s="33" t="s">
        <v>202</v>
      </c>
      <c r="D284" s="33" t="s">
        <v>5</v>
      </c>
      <c r="E284" s="33" t="s">
        <v>203</v>
      </c>
      <c r="F284" s="33" t="s">
        <v>20</v>
      </c>
      <c r="G284" s="33" t="s">
        <v>219</v>
      </c>
      <c r="H284" s="33" t="s">
        <v>220</v>
      </c>
      <c r="I284" s="33" t="s">
        <v>221</v>
      </c>
      <c r="J284" s="33">
        <v>62.87</v>
      </c>
      <c r="K284" s="33">
        <v>8.9399999999999993E-2</v>
      </c>
      <c r="L284" s="33">
        <v>0.1638</v>
      </c>
      <c r="Q284" s="33" t="s">
        <v>222</v>
      </c>
      <c r="R284" s="33" t="s">
        <v>208</v>
      </c>
    </row>
    <row r="285" spans="1:18" ht="69" hidden="1" x14ac:dyDescent="0.25">
      <c r="A285" s="33" t="s">
        <v>172</v>
      </c>
      <c r="B285" s="33" t="s">
        <v>78</v>
      </c>
      <c r="C285" s="33" t="s">
        <v>202</v>
      </c>
      <c r="D285" s="33" t="s">
        <v>5</v>
      </c>
      <c r="E285" s="33" t="s">
        <v>203</v>
      </c>
      <c r="F285" s="33" t="s">
        <v>20</v>
      </c>
      <c r="G285" s="33" t="s">
        <v>219</v>
      </c>
      <c r="H285" s="33" t="s">
        <v>220</v>
      </c>
      <c r="I285" s="33" t="s">
        <v>221</v>
      </c>
      <c r="J285" s="33">
        <v>62.87</v>
      </c>
      <c r="K285" s="33">
        <v>8.9399999999999993E-2</v>
      </c>
      <c r="L285" s="33">
        <v>0.1638</v>
      </c>
      <c r="Q285" s="33" t="s">
        <v>222</v>
      </c>
      <c r="R285" s="33" t="s">
        <v>208</v>
      </c>
    </row>
    <row r="286" spans="1:18" ht="69" hidden="1" x14ac:dyDescent="0.25">
      <c r="A286" s="33" t="s">
        <v>118</v>
      </c>
      <c r="B286" s="33" t="s">
        <v>57</v>
      </c>
      <c r="C286" s="33" t="s">
        <v>202</v>
      </c>
      <c r="D286" s="33" t="s">
        <v>5</v>
      </c>
      <c r="E286" s="33" t="s">
        <v>203</v>
      </c>
      <c r="F286" s="33" t="s">
        <v>20</v>
      </c>
      <c r="G286" s="33" t="s">
        <v>219</v>
      </c>
      <c r="H286" s="33" t="s">
        <v>220</v>
      </c>
      <c r="I286" s="33" t="s">
        <v>221</v>
      </c>
      <c r="J286" s="33">
        <v>62.87</v>
      </c>
      <c r="K286" s="33">
        <v>8.9399999999999993E-2</v>
      </c>
      <c r="L286" s="33">
        <v>0.1638</v>
      </c>
      <c r="Q286" s="33" t="s">
        <v>222</v>
      </c>
      <c r="R286" s="33" t="s">
        <v>208</v>
      </c>
    </row>
    <row r="287" spans="1:18" ht="69" hidden="1" x14ac:dyDescent="0.25">
      <c r="A287" s="33" t="s">
        <v>118</v>
      </c>
      <c r="B287" s="33" t="s">
        <v>58</v>
      </c>
      <c r="C287" s="33" t="s">
        <v>202</v>
      </c>
      <c r="D287" s="33" t="s">
        <v>5</v>
      </c>
      <c r="E287" s="33" t="s">
        <v>203</v>
      </c>
      <c r="F287" s="33" t="s">
        <v>20</v>
      </c>
      <c r="G287" s="33" t="s">
        <v>219</v>
      </c>
      <c r="H287" s="33" t="s">
        <v>220</v>
      </c>
      <c r="I287" s="33" t="s">
        <v>221</v>
      </c>
      <c r="J287" s="33">
        <v>62.87</v>
      </c>
      <c r="K287" s="33">
        <v>8.9399999999999993E-2</v>
      </c>
      <c r="L287" s="33">
        <v>0.1638</v>
      </c>
      <c r="Q287" s="33" t="s">
        <v>222</v>
      </c>
      <c r="R287" s="33" t="s">
        <v>208</v>
      </c>
    </row>
    <row r="288" spans="1:18" ht="69" hidden="1" x14ac:dyDescent="0.25">
      <c r="A288" s="33" t="s">
        <v>118</v>
      </c>
      <c r="B288" s="33" t="s">
        <v>69</v>
      </c>
      <c r="C288" s="33" t="s">
        <v>202</v>
      </c>
      <c r="D288" s="33" t="s">
        <v>5</v>
      </c>
      <c r="E288" s="33" t="s">
        <v>203</v>
      </c>
      <c r="F288" s="33" t="s">
        <v>20</v>
      </c>
      <c r="G288" s="33" t="s">
        <v>219</v>
      </c>
      <c r="H288" s="33" t="s">
        <v>220</v>
      </c>
      <c r="I288" s="33" t="s">
        <v>221</v>
      </c>
      <c r="J288" s="33">
        <v>62.87</v>
      </c>
      <c r="K288" s="33">
        <v>8.9399999999999993E-2</v>
      </c>
      <c r="L288" s="33">
        <v>0.1638</v>
      </c>
      <c r="Q288" s="33" t="s">
        <v>222</v>
      </c>
      <c r="R288" s="33" t="s">
        <v>208</v>
      </c>
    </row>
    <row r="289" spans="1:18" ht="69" hidden="1" x14ac:dyDescent="0.25">
      <c r="A289" s="33" t="s">
        <v>118</v>
      </c>
      <c r="B289" s="33" t="s">
        <v>70</v>
      </c>
      <c r="C289" s="33" t="s">
        <v>202</v>
      </c>
      <c r="D289" s="33" t="s">
        <v>5</v>
      </c>
      <c r="E289" s="33" t="s">
        <v>203</v>
      </c>
      <c r="F289" s="33" t="s">
        <v>20</v>
      </c>
      <c r="G289" s="33" t="s">
        <v>219</v>
      </c>
      <c r="H289" s="33" t="s">
        <v>220</v>
      </c>
      <c r="I289" s="33" t="s">
        <v>221</v>
      </c>
      <c r="J289" s="33">
        <v>62.87</v>
      </c>
      <c r="K289" s="33">
        <v>8.9399999999999993E-2</v>
      </c>
      <c r="L289" s="33">
        <v>0.1638</v>
      </c>
      <c r="Q289" s="33" t="s">
        <v>222</v>
      </c>
      <c r="R289" s="33" t="s">
        <v>208</v>
      </c>
    </row>
    <row r="290" spans="1:18" ht="69" hidden="1" x14ac:dyDescent="0.25">
      <c r="A290" s="33" t="s">
        <v>118</v>
      </c>
      <c r="B290" s="33" t="s">
        <v>71</v>
      </c>
      <c r="C290" s="33" t="s">
        <v>202</v>
      </c>
      <c r="D290" s="33" t="s">
        <v>5</v>
      </c>
      <c r="E290" s="33" t="s">
        <v>203</v>
      </c>
      <c r="F290" s="33" t="s">
        <v>20</v>
      </c>
      <c r="G290" s="33" t="s">
        <v>219</v>
      </c>
      <c r="H290" s="33" t="s">
        <v>220</v>
      </c>
      <c r="I290" s="33" t="s">
        <v>221</v>
      </c>
      <c r="J290" s="33">
        <v>62.87</v>
      </c>
      <c r="K290" s="33">
        <v>8.9399999999999993E-2</v>
      </c>
      <c r="L290" s="33">
        <v>0.1638</v>
      </c>
      <c r="Q290" s="33" t="s">
        <v>222</v>
      </c>
      <c r="R290" s="33" t="s">
        <v>208</v>
      </c>
    </row>
    <row r="291" spans="1:18" ht="69" hidden="1" x14ac:dyDescent="0.25">
      <c r="A291" s="33" t="s">
        <v>118</v>
      </c>
      <c r="B291" s="33" t="s">
        <v>73</v>
      </c>
      <c r="C291" s="33" t="s">
        <v>202</v>
      </c>
      <c r="D291" s="33" t="s">
        <v>5</v>
      </c>
      <c r="E291" s="33" t="s">
        <v>203</v>
      </c>
      <c r="F291" s="33" t="s">
        <v>20</v>
      </c>
      <c r="G291" s="33" t="s">
        <v>219</v>
      </c>
      <c r="H291" s="33" t="s">
        <v>220</v>
      </c>
      <c r="I291" s="33" t="s">
        <v>221</v>
      </c>
      <c r="J291" s="33">
        <v>62.87</v>
      </c>
      <c r="K291" s="33">
        <v>8.9399999999999993E-2</v>
      </c>
      <c r="L291" s="33">
        <v>0.1638</v>
      </c>
      <c r="Q291" s="33" t="s">
        <v>222</v>
      </c>
      <c r="R291" s="33" t="s">
        <v>208</v>
      </c>
    </row>
    <row r="292" spans="1:18" ht="69" hidden="1" x14ac:dyDescent="0.25">
      <c r="A292" s="33" t="s">
        <v>118</v>
      </c>
      <c r="B292" s="33" t="s">
        <v>74</v>
      </c>
      <c r="C292" s="33" t="s">
        <v>202</v>
      </c>
      <c r="D292" s="33" t="s">
        <v>5</v>
      </c>
      <c r="E292" s="33" t="s">
        <v>203</v>
      </c>
      <c r="F292" s="33" t="s">
        <v>20</v>
      </c>
      <c r="G292" s="33" t="s">
        <v>219</v>
      </c>
      <c r="H292" s="33" t="s">
        <v>220</v>
      </c>
      <c r="I292" s="33" t="s">
        <v>221</v>
      </c>
      <c r="J292" s="33">
        <v>62.87</v>
      </c>
      <c r="K292" s="33">
        <v>8.9399999999999993E-2</v>
      </c>
      <c r="L292" s="33">
        <v>0.1638</v>
      </c>
      <c r="Q292" s="33" t="s">
        <v>222</v>
      </c>
      <c r="R292" s="33" t="s">
        <v>208</v>
      </c>
    </row>
    <row r="293" spans="1:18" ht="69" hidden="1" x14ac:dyDescent="0.25">
      <c r="A293" s="33" t="s">
        <v>118</v>
      </c>
      <c r="B293" s="33" t="s">
        <v>75</v>
      </c>
      <c r="C293" s="33" t="s">
        <v>202</v>
      </c>
      <c r="D293" s="33" t="s">
        <v>5</v>
      </c>
      <c r="E293" s="33" t="s">
        <v>203</v>
      </c>
      <c r="F293" s="33" t="s">
        <v>20</v>
      </c>
      <c r="G293" s="33" t="s">
        <v>219</v>
      </c>
      <c r="H293" s="33" t="s">
        <v>220</v>
      </c>
      <c r="I293" s="33" t="s">
        <v>221</v>
      </c>
      <c r="J293" s="33">
        <v>62.87</v>
      </c>
      <c r="K293" s="33">
        <v>8.9399999999999993E-2</v>
      </c>
      <c r="L293" s="33">
        <v>0.1638</v>
      </c>
      <c r="Q293" s="33" t="s">
        <v>222</v>
      </c>
      <c r="R293" s="33" t="s">
        <v>208</v>
      </c>
    </row>
    <row r="294" spans="1:18" ht="69" hidden="1" x14ac:dyDescent="0.25">
      <c r="A294" s="33" t="s">
        <v>118</v>
      </c>
      <c r="B294" s="33" t="s">
        <v>76</v>
      </c>
      <c r="C294" s="33" t="s">
        <v>202</v>
      </c>
      <c r="D294" s="33" t="s">
        <v>5</v>
      </c>
      <c r="E294" s="33" t="s">
        <v>203</v>
      </c>
      <c r="F294" s="33" t="s">
        <v>20</v>
      </c>
      <c r="G294" s="33" t="s">
        <v>219</v>
      </c>
      <c r="H294" s="33" t="s">
        <v>220</v>
      </c>
      <c r="I294" s="33" t="s">
        <v>221</v>
      </c>
      <c r="J294" s="33">
        <v>62.87</v>
      </c>
      <c r="K294" s="33">
        <v>8.9399999999999993E-2</v>
      </c>
      <c r="L294" s="33">
        <v>0.1638</v>
      </c>
      <c r="Q294" s="33" t="s">
        <v>222</v>
      </c>
      <c r="R294" s="33" t="s">
        <v>208</v>
      </c>
    </row>
    <row r="295" spans="1:18" x14ac:dyDescent="0.25">
      <c r="A295" s="33" t="s">
        <v>108</v>
      </c>
      <c r="B295" s="33" t="s">
        <v>55</v>
      </c>
      <c r="C295" s="33" t="s">
        <v>208</v>
      </c>
      <c r="D295" s="33" t="s">
        <v>5</v>
      </c>
      <c r="E295" s="33" t="s">
        <v>203</v>
      </c>
      <c r="F295" s="33" t="s">
        <v>22</v>
      </c>
      <c r="G295" s="33" t="s">
        <v>223</v>
      </c>
      <c r="H295" s="33" t="s">
        <v>209</v>
      </c>
      <c r="I295" s="33" t="s">
        <v>209</v>
      </c>
      <c r="M295" s="33">
        <v>1300</v>
      </c>
      <c r="Q295" s="33" t="s">
        <v>224</v>
      </c>
      <c r="R295" s="33" t="s">
        <v>208</v>
      </c>
    </row>
    <row r="296" spans="1:18" x14ac:dyDescent="0.25">
      <c r="A296" s="33" t="s">
        <v>108</v>
      </c>
      <c r="B296" s="33" t="s">
        <v>61</v>
      </c>
      <c r="C296" s="33" t="s">
        <v>208</v>
      </c>
      <c r="D296" s="33" t="s">
        <v>5</v>
      </c>
      <c r="E296" s="33" t="s">
        <v>203</v>
      </c>
      <c r="F296" s="33" t="s">
        <v>22</v>
      </c>
      <c r="G296" s="33" t="s">
        <v>223</v>
      </c>
      <c r="H296" s="33" t="s">
        <v>209</v>
      </c>
      <c r="I296" s="33" t="s">
        <v>209</v>
      </c>
      <c r="M296" s="33">
        <v>1300</v>
      </c>
      <c r="Q296" s="33" t="s">
        <v>224</v>
      </c>
      <c r="R296" s="33" t="s">
        <v>208</v>
      </c>
    </row>
    <row r="297" spans="1:18" x14ac:dyDescent="0.25">
      <c r="A297" s="33" t="s">
        <v>157</v>
      </c>
      <c r="B297" s="33" t="s">
        <v>72</v>
      </c>
      <c r="C297" s="33" t="s">
        <v>208</v>
      </c>
      <c r="D297" s="33" t="s">
        <v>5</v>
      </c>
      <c r="E297" s="33" t="s">
        <v>203</v>
      </c>
      <c r="F297" s="33" t="s">
        <v>22</v>
      </c>
      <c r="G297" s="33" t="s">
        <v>223</v>
      </c>
      <c r="H297" s="33" t="s">
        <v>209</v>
      </c>
      <c r="I297" s="33" t="s">
        <v>209</v>
      </c>
      <c r="M297" s="33">
        <v>1300</v>
      </c>
      <c r="Q297" s="33" t="s">
        <v>224</v>
      </c>
      <c r="R297" s="33" t="s">
        <v>208</v>
      </c>
    </row>
    <row r="298" spans="1:18" x14ac:dyDescent="0.25">
      <c r="A298" s="33" t="s">
        <v>123</v>
      </c>
      <c r="B298" s="33" t="s">
        <v>59</v>
      </c>
      <c r="C298" s="33" t="s">
        <v>208</v>
      </c>
      <c r="D298" s="33" t="s">
        <v>5</v>
      </c>
      <c r="E298" s="33" t="s">
        <v>203</v>
      </c>
      <c r="F298" s="33" t="s">
        <v>22</v>
      </c>
      <c r="G298" s="33" t="s">
        <v>223</v>
      </c>
      <c r="H298" s="33" t="s">
        <v>209</v>
      </c>
      <c r="I298" s="33" t="s">
        <v>209</v>
      </c>
      <c r="M298" s="33">
        <v>1300</v>
      </c>
      <c r="Q298" s="33" t="s">
        <v>224</v>
      </c>
      <c r="R298" s="33" t="s">
        <v>208</v>
      </c>
    </row>
    <row r="299" spans="1:18" x14ac:dyDescent="0.25">
      <c r="A299" s="33" t="s">
        <v>123</v>
      </c>
      <c r="B299" s="33" t="s">
        <v>60</v>
      </c>
      <c r="C299" s="33" t="s">
        <v>208</v>
      </c>
      <c r="D299" s="33" t="s">
        <v>5</v>
      </c>
      <c r="E299" s="33" t="s">
        <v>203</v>
      </c>
      <c r="F299" s="33" t="s">
        <v>22</v>
      </c>
      <c r="G299" s="33" t="s">
        <v>223</v>
      </c>
      <c r="H299" s="33" t="s">
        <v>209</v>
      </c>
      <c r="I299" s="33" t="s">
        <v>209</v>
      </c>
      <c r="M299" s="33">
        <v>1300</v>
      </c>
      <c r="Q299" s="33" t="s">
        <v>224</v>
      </c>
      <c r="R299" s="33" t="s">
        <v>208</v>
      </c>
    </row>
    <row r="300" spans="1:18" x14ac:dyDescent="0.25">
      <c r="A300" s="33" t="s">
        <v>123</v>
      </c>
      <c r="B300" s="33" t="s">
        <v>63</v>
      </c>
      <c r="C300" s="33" t="s">
        <v>208</v>
      </c>
      <c r="D300" s="33" t="s">
        <v>5</v>
      </c>
      <c r="E300" s="33" t="s">
        <v>203</v>
      </c>
      <c r="F300" s="33" t="s">
        <v>22</v>
      </c>
      <c r="G300" s="33" t="s">
        <v>223</v>
      </c>
      <c r="H300" s="33" t="s">
        <v>209</v>
      </c>
      <c r="I300" s="33" t="s">
        <v>209</v>
      </c>
      <c r="M300" s="33">
        <v>1300</v>
      </c>
      <c r="Q300" s="33" t="s">
        <v>224</v>
      </c>
      <c r="R300" s="33" t="s">
        <v>208</v>
      </c>
    </row>
    <row r="301" spans="1:18" x14ac:dyDescent="0.25">
      <c r="A301" s="33" t="s">
        <v>123</v>
      </c>
      <c r="B301" s="33" t="s">
        <v>64</v>
      </c>
      <c r="C301" s="33" t="s">
        <v>208</v>
      </c>
      <c r="D301" s="33" t="s">
        <v>5</v>
      </c>
      <c r="E301" s="33" t="s">
        <v>203</v>
      </c>
      <c r="F301" s="33" t="s">
        <v>22</v>
      </c>
      <c r="G301" s="33" t="s">
        <v>223</v>
      </c>
      <c r="H301" s="33" t="s">
        <v>209</v>
      </c>
      <c r="I301" s="33" t="s">
        <v>209</v>
      </c>
      <c r="M301" s="33">
        <v>1300</v>
      </c>
      <c r="Q301" s="33" t="s">
        <v>224</v>
      </c>
      <c r="R301" s="33" t="s">
        <v>208</v>
      </c>
    </row>
    <row r="302" spans="1:18" x14ac:dyDescent="0.25">
      <c r="A302" s="33" t="s">
        <v>123</v>
      </c>
      <c r="B302" s="33" t="s">
        <v>66</v>
      </c>
      <c r="C302" s="33" t="s">
        <v>208</v>
      </c>
      <c r="D302" s="33" t="s">
        <v>5</v>
      </c>
      <c r="E302" s="33" t="s">
        <v>203</v>
      </c>
      <c r="F302" s="33" t="s">
        <v>22</v>
      </c>
      <c r="G302" s="33" t="s">
        <v>223</v>
      </c>
      <c r="H302" s="33" t="s">
        <v>209</v>
      </c>
      <c r="I302" s="33" t="s">
        <v>209</v>
      </c>
      <c r="M302" s="33">
        <v>1300</v>
      </c>
      <c r="Q302" s="33" t="s">
        <v>224</v>
      </c>
      <c r="R302" s="33" t="s">
        <v>208</v>
      </c>
    </row>
    <row r="303" spans="1:18" x14ac:dyDescent="0.25">
      <c r="A303" s="33" t="s">
        <v>123</v>
      </c>
      <c r="B303" s="33" t="s">
        <v>67</v>
      </c>
      <c r="C303" s="33" t="s">
        <v>208</v>
      </c>
      <c r="D303" s="33" t="s">
        <v>5</v>
      </c>
      <c r="E303" s="33" t="s">
        <v>203</v>
      </c>
      <c r="F303" s="33" t="s">
        <v>22</v>
      </c>
      <c r="G303" s="33" t="s">
        <v>223</v>
      </c>
      <c r="H303" s="33" t="s">
        <v>209</v>
      </c>
      <c r="I303" s="33" t="s">
        <v>209</v>
      </c>
      <c r="M303" s="33">
        <v>1300</v>
      </c>
      <c r="Q303" s="33" t="s">
        <v>224</v>
      </c>
      <c r="R303" s="33" t="s">
        <v>208</v>
      </c>
    </row>
    <row r="304" spans="1:18" x14ac:dyDescent="0.25">
      <c r="A304" s="33" t="s">
        <v>123</v>
      </c>
      <c r="B304" s="33" t="s">
        <v>68</v>
      </c>
      <c r="C304" s="33" t="s">
        <v>208</v>
      </c>
      <c r="D304" s="33" t="s">
        <v>5</v>
      </c>
      <c r="E304" s="33" t="s">
        <v>203</v>
      </c>
      <c r="F304" s="33" t="s">
        <v>22</v>
      </c>
      <c r="G304" s="33" t="s">
        <v>223</v>
      </c>
      <c r="H304" s="33" t="s">
        <v>209</v>
      </c>
      <c r="I304" s="33" t="s">
        <v>209</v>
      </c>
      <c r="M304" s="33">
        <v>1300</v>
      </c>
      <c r="Q304" s="33" t="s">
        <v>224</v>
      </c>
      <c r="R304" s="33" t="s">
        <v>208</v>
      </c>
    </row>
    <row r="305" spans="1:18" x14ac:dyDescent="0.25">
      <c r="A305" s="33" t="s">
        <v>123</v>
      </c>
      <c r="B305" s="33" t="s">
        <v>77</v>
      </c>
      <c r="C305" s="33" t="s">
        <v>208</v>
      </c>
      <c r="D305" s="33" t="s">
        <v>5</v>
      </c>
      <c r="E305" s="33" t="s">
        <v>203</v>
      </c>
      <c r="F305" s="33" t="s">
        <v>22</v>
      </c>
      <c r="G305" s="33" t="s">
        <v>223</v>
      </c>
      <c r="H305" s="33" t="s">
        <v>209</v>
      </c>
      <c r="I305" s="33" t="s">
        <v>209</v>
      </c>
      <c r="M305" s="33">
        <v>1300</v>
      </c>
      <c r="Q305" s="33" t="s">
        <v>224</v>
      </c>
      <c r="R305" s="33" t="s">
        <v>208</v>
      </c>
    </row>
    <row r="306" spans="1:18" x14ac:dyDescent="0.25">
      <c r="A306" s="33" t="s">
        <v>113</v>
      </c>
      <c r="B306" s="33" t="s">
        <v>56</v>
      </c>
      <c r="C306" s="33" t="s">
        <v>208</v>
      </c>
      <c r="D306" s="33" t="s">
        <v>5</v>
      </c>
      <c r="E306" s="33" t="s">
        <v>203</v>
      </c>
      <c r="F306" s="33" t="s">
        <v>22</v>
      </c>
      <c r="G306" s="33" t="s">
        <v>223</v>
      </c>
      <c r="H306" s="33" t="s">
        <v>209</v>
      </c>
      <c r="I306" s="33" t="s">
        <v>209</v>
      </c>
      <c r="M306" s="33">
        <v>1300</v>
      </c>
      <c r="Q306" s="33" t="s">
        <v>224</v>
      </c>
      <c r="R306" s="33" t="s">
        <v>208</v>
      </c>
    </row>
    <row r="307" spans="1:18" x14ac:dyDescent="0.25">
      <c r="A307" s="33" t="s">
        <v>113</v>
      </c>
      <c r="B307" s="33" t="s">
        <v>62</v>
      </c>
      <c r="C307" s="33" t="s">
        <v>208</v>
      </c>
      <c r="D307" s="33" t="s">
        <v>5</v>
      </c>
      <c r="E307" s="33" t="s">
        <v>203</v>
      </c>
      <c r="F307" s="33" t="s">
        <v>22</v>
      </c>
      <c r="G307" s="33" t="s">
        <v>223</v>
      </c>
      <c r="H307" s="33" t="s">
        <v>209</v>
      </c>
      <c r="I307" s="33" t="s">
        <v>209</v>
      </c>
      <c r="M307" s="33">
        <v>1300</v>
      </c>
      <c r="Q307" s="33" t="s">
        <v>224</v>
      </c>
      <c r="R307" s="33" t="s">
        <v>208</v>
      </c>
    </row>
    <row r="308" spans="1:18" x14ac:dyDescent="0.25">
      <c r="A308" s="33" t="s">
        <v>113</v>
      </c>
      <c r="B308" s="33" t="s">
        <v>65</v>
      </c>
      <c r="C308" s="33" t="s">
        <v>208</v>
      </c>
      <c r="D308" s="33" t="s">
        <v>5</v>
      </c>
      <c r="E308" s="33" t="s">
        <v>203</v>
      </c>
      <c r="F308" s="33" t="s">
        <v>22</v>
      </c>
      <c r="G308" s="33" t="s">
        <v>223</v>
      </c>
      <c r="H308" s="33" t="s">
        <v>209</v>
      </c>
      <c r="I308" s="33" t="s">
        <v>209</v>
      </c>
      <c r="M308" s="33">
        <v>1300</v>
      </c>
      <c r="Q308" s="33" t="s">
        <v>224</v>
      </c>
      <c r="R308" s="33" t="s">
        <v>208</v>
      </c>
    </row>
    <row r="309" spans="1:18" x14ac:dyDescent="0.25">
      <c r="A309" s="33" t="s">
        <v>172</v>
      </c>
      <c r="B309" s="33" t="s">
        <v>78</v>
      </c>
      <c r="C309" s="33" t="s">
        <v>208</v>
      </c>
      <c r="D309" s="33" t="s">
        <v>5</v>
      </c>
      <c r="E309" s="33" t="s">
        <v>203</v>
      </c>
      <c r="F309" s="33" t="s">
        <v>22</v>
      </c>
      <c r="G309" s="33" t="s">
        <v>223</v>
      </c>
      <c r="H309" s="33" t="s">
        <v>209</v>
      </c>
      <c r="I309" s="33" t="s">
        <v>209</v>
      </c>
      <c r="M309" s="33">
        <v>1300</v>
      </c>
      <c r="Q309" s="33" t="s">
        <v>224</v>
      </c>
      <c r="R309" s="33" t="s">
        <v>208</v>
      </c>
    </row>
    <row r="310" spans="1:18" x14ac:dyDescent="0.25">
      <c r="A310" s="33" t="s">
        <v>118</v>
      </c>
      <c r="B310" s="33" t="s">
        <v>57</v>
      </c>
      <c r="C310" s="33" t="s">
        <v>208</v>
      </c>
      <c r="D310" s="33" t="s">
        <v>5</v>
      </c>
      <c r="E310" s="33" t="s">
        <v>203</v>
      </c>
      <c r="F310" s="33" t="s">
        <v>22</v>
      </c>
      <c r="G310" s="33" t="s">
        <v>223</v>
      </c>
      <c r="H310" s="33" t="s">
        <v>209</v>
      </c>
      <c r="I310" s="33" t="s">
        <v>209</v>
      </c>
      <c r="M310" s="33">
        <v>1300</v>
      </c>
      <c r="Q310" s="33" t="s">
        <v>224</v>
      </c>
      <c r="R310" s="33" t="s">
        <v>208</v>
      </c>
    </row>
    <row r="311" spans="1:18" x14ac:dyDescent="0.25">
      <c r="A311" s="33" t="s">
        <v>118</v>
      </c>
      <c r="B311" s="33" t="s">
        <v>58</v>
      </c>
      <c r="C311" s="33" t="s">
        <v>208</v>
      </c>
      <c r="D311" s="33" t="s">
        <v>5</v>
      </c>
      <c r="E311" s="33" t="s">
        <v>203</v>
      </c>
      <c r="F311" s="33" t="s">
        <v>22</v>
      </c>
      <c r="G311" s="33" t="s">
        <v>223</v>
      </c>
      <c r="H311" s="33" t="s">
        <v>209</v>
      </c>
      <c r="I311" s="33" t="s">
        <v>209</v>
      </c>
      <c r="M311" s="33">
        <v>1300</v>
      </c>
      <c r="Q311" s="33" t="s">
        <v>224</v>
      </c>
      <c r="R311" s="33" t="s">
        <v>208</v>
      </c>
    </row>
    <row r="312" spans="1:18" x14ac:dyDescent="0.25">
      <c r="A312" s="33" t="s">
        <v>118</v>
      </c>
      <c r="B312" s="33" t="s">
        <v>69</v>
      </c>
      <c r="C312" s="33" t="s">
        <v>208</v>
      </c>
      <c r="D312" s="33" t="s">
        <v>5</v>
      </c>
      <c r="E312" s="33" t="s">
        <v>203</v>
      </c>
      <c r="F312" s="33" t="s">
        <v>22</v>
      </c>
      <c r="G312" s="33" t="s">
        <v>223</v>
      </c>
      <c r="H312" s="33" t="s">
        <v>209</v>
      </c>
      <c r="I312" s="33" t="s">
        <v>209</v>
      </c>
      <c r="M312" s="33">
        <v>1300</v>
      </c>
      <c r="Q312" s="33" t="s">
        <v>224</v>
      </c>
      <c r="R312" s="33" t="s">
        <v>208</v>
      </c>
    </row>
    <row r="313" spans="1:18" x14ac:dyDescent="0.25">
      <c r="A313" s="33" t="s">
        <v>118</v>
      </c>
      <c r="B313" s="33" t="s">
        <v>70</v>
      </c>
      <c r="C313" s="33" t="s">
        <v>208</v>
      </c>
      <c r="D313" s="33" t="s">
        <v>5</v>
      </c>
      <c r="E313" s="33" t="s">
        <v>203</v>
      </c>
      <c r="F313" s="33" t="s">
        <v>22</v>
      </c>
      <c r="G313" s="33" t="s">
        <v>223</v>
      </c>
      <c r="H313" s="33" t="s">
        <v>209</v>
      </c>
      <c r="I313" s="33" t="s">
        <v>209</v>
      </c>
      <c r="M313" s="33">
        <v>1300</v>
      </c>
      <c r="Q313" s="33" t="s">
        <v>224</v>
      </c>
      <c r="R313" s="33" t="s">
        <v>208</v>
      </c>
    </row>
    <row r="314" spans="1:18" x14ac:dyDescent="0.25">
      <c r="A314" s="33" t="s">
        <v>118</v>
      </c>
      <c r="B314" s="33" t="s">
        <v>71</v>
      </c>
      <c r="C314" s="33" t="s">
        <v>208</v>
      </c>
      <c r="D314" s="33" t="s">
        <v>5</v>
      </c>
      <c r="E314" s="33" t="s">
        <v>203</v>
      </c>
      <c r="F314" s="33" t="s">
        <v>22</v>
      </c>
      <c r="G314" s="33" t="s">
        <v>223</v>
      </c>
      <c r="H314" s="33" t="s">
        <v>209</v>
      </c>
      <c r="I314" s="33" t="s">
        <v>209</v>
      </c>
      <c r="M314" s="33">
        <v>1300</v>
      </c>
      <c r="Q314" s="33" t="s">
        <v>224</v>
      </c>
      <c r="R314" s="33" t="s">
        <v>208</v>
      </c>
    </row>
    <row r="315" spans="1:18" x14ac:dyDescent="0.25">
      <c r="A315" s="33" t="s">
        <v>118</v>
      </c>
      <c r="B315" s="33" t="s">
        <v>73</v>
      </c>
      <c r="C315" s="33" t="s">
        <v>208</v>
      </c>
      <c r="D315" s="33" t="s">
        <v>5</v>
      </c>
      <c r="E315" s="33" t="s">
        <v>203</v>
      </c>
      <c r="F315" s="33" t="s">
        <v>22</v>
      </c>
      <c r="G315" s="33" t="s">
        <v>223</v>
      </c>
      <c r="H315" s="33" t="s">
        <v>209</v>
      </c>
      <c r="I315" s="33" t="s">
        <v>209</v>
      </c>
      <c r="M315" s="33">
        <v>1300</v>
      </c>
      <c r="Q315" s="33" t="s">
        <v>224</v>
      </c>
      <c r="R315" s="33" t="s">
        <v>208</v>
      </c>
    </row>
    <row r="316" spans="1:18" x14ac:dyDescent="0.25">
      <c r="A316" s="33" t="s">
        <v>118</v>
      </c>
      <c r="B316" s="33" t="s">
        <v>74</v>
      </c>
      <c r="C316" s="33" t="s">
        <v>208</v>
      </c>
      <c r="D316" s="33" t="s">
        <v>5</v>
      </c>
      <c r="E316" s="33" t="s">
        <v>203</v>
      </c>
      <c r="F316" s="33" t="s">
        <v>22</v>
      </c>
      <c r="G316" s="33" t="s">
        <v>223</v>
      </c>
      <c r="H316" s="33" t="s">
        <v>209</v>
      </c>
      <c r="I316" s="33" t="s">
        <v>209</v>
      </c>
      <c r="M316" s="33">
        <v>1300</v>
      </c>
      <c r="Q316" s="33" t="s">
        <v>224</v>
      </c>
      <c r="R316" s="33" t="s">
        <v>208</v>
      </c>
    </row>
    <row r="317" spans="1:18" x14ac:dyDescent="0.25">
      <c r="A317" s="33" t="s">
        <v>118</v>
      </c>
      <c r="B317" s="33" t="s">
        <v>75</v>
      </c>
      <c r="C317" s="33" t="s">
        <v>208</v>
      </c>
      <c r="D317" s="33" t="s">
        <v>5</v>
      </c>
      <c r="E317" s="33" t="s">
        <v>203</v>
      </c>
      <c r="F317" s="33" t="s">
        <v>22</v>
      </c>
      <c r="G317" s="33" t="s">
        <v>223</v>
      </c>
      <c r="H317" s="33" t="s">
        <v>209</v>
      </c>
      <c r="I317" s="33" t="s">
        <v>209</v>
      </c>
      <c r="M317" s="33">
        <v>1300</v>
      </c>
      <c r="Q317" s="33" t="s">
        <v>224</v>
      </c>
      <c r="R317" s="33" t="s">
        <v>208</v>
      </c>
    </row>
    <row r="318" spans="1:18" x14ac:dyDescent="0.25">
      <c r="A318" s="33" t="s">
        <v>118</v>
      </c>
      <c r="B318" s="33" t="s">
        <v>76</v>
      </c>
      <c r="C318" s="33" t="s">
        <v>208</v>
      </c>
      <c r="D318" s="33" t="s">
        <v>5</v>
      </c>
      <c r="E318" s="33" t="s">
        <v>203</v>
      </c>
      <c r="F318" s="33" t="s">
        <v>22</v>
      </c>
      <c r="G318" s="33" t="s">
        <v>223</v>
      </c>
      <c r="H318" s="33" t="s">
        <v>209</v>
      </c>
      <c r="I318" s="33" t="s">
        <v>209</v>
      </c>
      <c r="M318" s="33">
        <v>1300</v>
      </c>
      <c r="Q318" s="33" t="s">
        <v>224</v>
      </c>
      <c r="R318" s="33" t="s">
        <v>208</v>
      </c>
    </row>
    <row r="319" spans="1:18" ht="55.2" hidden="1" x14ac:dyDescent="0.25">
      <c r="A319" s="33" t="s">
        <v>108</v>
      </c>
      <c r="B319" s="33" t="s">
        <v>55</v>
      </c>
      <c r="C319" s="33" t="s">
        <v>112</v>
      </c>
      <c r="D319" s="33" t="s">
        <v>6</v>
      </c>
      <c r="E319" s="33" t="s">
        <v>203</v>
      </c>
      <c r="F319" s="33" t="s">
        <v>23</v>
      </c>
      <c r="G319" s="33" t="s">
        <v>225</v>
      </c>
      <c r="H319" s="33" t="s">
        <v>226</v>
      </c>
      <c r="I319" s="33" t="s">
        <v>227</v>
      </c>
      <c r="J319" s="33">
        <v>308.2</v>
      </c>
      <c r="K319" s="33">
        <v>0.44640000000000002</v>
      </c>
      <c r="L319" s="33">
        <v>0.54873000000000005</v>
      </c>
      <c r="Q319" s="33" t="s">
        <v>228</v>
      </c>
      <c r="R319" s="33">
        <v>2023</v>
      </c>
    </row>
    <row r="320" spans="1:18" ht="96.6" hidden="1" x14ac:dyDescent="0.25">
      <c r="A320" s="33" t="s">
        <v>108</v>
      </c>
      <c r="B320" s="33" t="s">
        <v>61</v>
      </c>
      <c r="C320" s="33" t="s">
        <v>229</v>
      </c>
      <c r="D320" s="33" t="s">
        <v>6</v>
      </c>
      <c r="E320" s="33" t="s">
        <v>203</v>
      </c>
      <c r="F320" s="33" t="s">
        <v>23</v>
      </c>
      <c r="G320" s="33" t="s">
        <v>230</v>
      </c>
      <c r="H320" s="33" t="s">
        <v>231</v>
      </c>
      <c r="I320" s="33" t="s">
        <v>232</v>
      </c>
      <c r="J320" s="33">
        <v>749</v>
      </c>
      <c r="Q320" s="33" t="s">
        <v>233</v>
      </c>
      <c r="R320" s="33">
        <v>2021</v>
      </c>
    </row>
    <row r="321" spans="1:18" ht="27.6" hidden="1" x14ac:dyDescent="0.25">
      <c r="A321" s="33" t="s">
        <v>157</v>
      </c>
      <c r="B321" s="33" t="s">
        <v>72</v>
      </c>
      <c r="C321" s="33" t="s">
        <v>234</v>
      </c>
      <c r="D321" s="33" t="s">
        <v>6</v>
      </c>
      <c r="E321" s="33" t="s">
        <v>203</v>
      </c>
      <c r="F321" s="33" t="s">
        <v>23</v>
      </c>
      <c r="G321" s="33" t="s">
        <v>230</v>
      </c>
      <c r="H321" s="33" t="s">
        <v>235</v>
      </c>
      <c r="I321" s="33" t="s">
        <v>236</v>
      </c>
      <c r="J321" s="33">
        <v>1047.9775</v>
      </c>
      <c r="Q321" s="33" t="s">
        <v>237</v>
      </c>
      <c r="R321" s="33" t="s">
        <v>208</v>
      </c>
    </row>
    <row r="322" spans="1:18" ht="27.6" hidden="1" x14ac:dyDescent="0.25">
      <c r="A322" s="33" t="s">
        <v>123</v>
      </c>
      <c r="B322" s="33" t="s">
        <v>59</v>
      </c>
      <c r="C322" s="33" t="s">
        <v>234</v>
      </c>
      <c r="D322" s="33" t="s">
        <v>6</v>
      </c>
      <c r="E322" s="33" t="s">
        <v>203</v>
      </c>
      <c r="F322" s="33" t="s">
        <v>23</v>
      </c>
      <c r="G322" s="33" t="s">
        <v>230</v>
      </c>
      <c r="H322" s="33" t="s">
        <v>235</v>
      </c>
      <c r="I322" s="33" t="s">
        <v>236</v>
      </c>
      <c r="J322" s="33">
        <v>1047.9775</v>
      </c>
      <c r="Q322" s="33" t="s">
        <v>237</v>
      </c>
      <c r="R322" s="33" t="s">
        <v>208</v>
      </c>
    </row>
    <row r="323" spans="1:18" ht="96.6" hidden="1" x14ac:dyDescent="0.25">
      <c r="A323" s="33" t="s">
        <v>123</v>
      </c>
      <c r="B323" s="33" t="s">
        <v>60</v>
      </c>
      <c r="C323" s="33" t="s">
        <v>238</v>
      </c>
      <c r="D323" s="33" t="s">
        <v>6</v>
      </c>
      <c r="E323" s="33" t="s">
        <v>203</v>
      </c>
      <c r="F323" s="33" t="s">
        <v>23</v>
      </c>
      <c r="G323" s="33" t="s">
        <v>230</v>
      </c>
      <c r="H323" s="33" t="s">
        <v>231</v>
      </c>
      <c r="I323" s="33" t="s">
        <v>232</v>
      </c>
      <c r="J323" s="33">
        <v>638</v>
      </c>
      <c r="Q323" s="33" t="s">
        <v>233</v>
      </c>
      <c r="R323" s="33">
        <v>2021</v>
      </c>
    </row>
    <row r="324" spans="1:18" ht="27.6" hidden="1" x14ac:dyDescent="0.25">
      <c r="A324" s="33" t="s">
        <v>123</v>
      </c>
      <c r="B324" s="33" t="s">
        <v>63</v>
      </c>
      <c r="C324" s="33" t="s">
        <v>234</v>
      </c>
      <c r="D324" s="33" t="s">
        <v>6</v>
      </c>
      <c r="E324" s="33" t="s">
        <v>203</v>
      </c>
      <c r="F324" s="33" t="s">
        <v>23</v>
      </c>
      <c r="G324" s="33" t="s">
        <v>230</v>
      </c>
      <c r="H324" s="33" t="s">
        <v>235</v>
      </c>
      <c r="I324" s="33" t="s">
        <v>236</v>
      </c>
      <c r="J324" s="33">
        <v>1047.9775</v>
      </c>
      <c r="Q324" s="33" t="s">
        <v>237</v>
      </c>
      <c r="R324" s="33" t="s">
        <v>208</v>
      </c>
    </row>
    <row r="325" spans="1:18" ht="27.6" hidden="1" x14ac:dyDescent="0.25">
      <c r="A325" s="33" t="s">
        <v>123</v>
      </c>
      <c r="B325" s="33" t="s">
        <v>64</v>
      </c>
      <c r="C325" s="33" t="s">
        <v>239</v>
      </c>
      <c r="D325" s="33" t="s">
        <v>6</v>
      </c>
      <c r="E325" s="33" t="s">
        <v>203</v>
      </c>
      <c r="F325" s="33" t="s">
        <v>23</v>
      </c>
      <c r="G325" s="33" t="s">
        <v>230</v>
      </c>
      <c r="H325" s="33" t="s">
        <v>235</v>
      </c>
      <c r="I325" s="33" t="s">
        <v>236</v>
      </c>
      <c r="J325" s="33">
        <v>672.94380000000001</v>
      </c>
      <c r="Q325" s="33" t="s">
        <v>237</v>
      </c>
      <c r="R325" s="33" t="s">
        <v>208</v>
      </c>
    </row>
    <row r="326" spans="1:18" ht="96.6" hidden="1" x14ac:dyDescent="0.25">
      <c r="A326" s="33" t="s">
        <v>123</v>
      </c>
      <c r="B326" s="33" t="s">
        <v>66</v>
      </c>
      <c r="C326" s="33" t="s">
        <v>238</v>
      </c>
      <c r="D326" s="33" t="s">
        <v>6</v>
      </c>
      <c r="E326" s="33" t="s">
        <v>203</v>
      </c>
      <c r="F326" s="33" t="s">
        <v>23</v>
      </c>
      <c r="G326" s="33" t="s">
        <v>230</v>
      </c>
      <c r="H326" s="33" t="s">
        <v>231</v>
      </c>
      <c r="I326" s="33" t="s">
        <v>232</v>
      </c>
      <c r="J326" s="33">
        <v>638</v>
      </c>
      <c r="Q326" s="33" t="s">
        <v>233</v>
      </c>
      <c r="R326" s="33">
        <v>2021</v>
      </c>
    </row>
    <row r="327" spans="1:18" ht="41.4" hidden="1" x14ac:dyDescent="0.25">
      <c r="A327" s="33" t="s">
        <v>123</v>
      </c>
      <c r="B327" s="33" t="s">
        <v>67</v>
      </c>
      <c r="C327" s="33" t="s">
        <v>116</v>
      </c>
      <c r="D327" s="33" t="s">
        <v>6</v>
      </c>
      <c r="E327" s="33" t="s">
        <v>203</v>
      </c>
      <c r="F327" s="33" t="s">
        <v>23</v>
      </c>
      <c r="G327" s="33" t="s">
        <v>225</v>
      </c>
      <c r="H327" s="33" t="s">
        <v>240</v>
      </c>
      <c r="I327" s="33" t="s">
        <v>241</v>
      </c>
      <c r="J327" s="33">
        <v>275.11</v>
      </c>
      <c r="Q327" s="33" t="s">
        <v>242</v>
      </c>
      <c r="R327" s="33">
        <v>2022</v>
      </c>
    </row>
    <row r="328" spans="1:18" ht="41.4" hidden="1" x14ac:dyDescent="0.25">
      <c r="A328" s="33" t="s">
        <v>123</v>
      </c>
      <c r="B328" s="33" t="s">
        <v>68</v>
      </c>
      <c r="C328" s="33" t="s">
        <v>146</v>
      </c>
      <c r="D328" s="33" t="s">
        <v>6</v>
      </c>
      <c r="E328" s="33" t="s">
        <v>203</v>
      </c>
      <c r="F328" s="33" t="s">
        <v>23</v>
      </c>
      <c r="G328" s="33" t="s">
        <v>225</v>
      </c>
      <c r="H328" s="33" t="s">
        <v>240</v>
      </c>
      <c r="I328" s="33" t="s">
        <v>241</v>
      </c>
      <c r="J328" s="33">
        <v>684.03</v>
      </c>
      <c r="Q328" s="33" t="s">
        <v>242</v>
      </c>
      <c r="R328" s="33">
        <v>2022</v>
      </c>
    </row>
    <row r="329" spans="1:18" ht="27.6" hidden="1" x14ac:dyDescent="0.25">
      <c r="A329" s="33" t="s">
        <v>123</v>
      </c>
      <c r="B329" s="33" t="s">
        <v>77</v>
      </c>
      <c r="C329" s="33" t="s">
        <v>243</v>
      </c>
      <c r="D329" s="33" t="s">
        <v>6</v>
      </c>
      <c r="E329" s="33" t="s">
        <v>203</v>
      </c>
      <c r="F329" s="33" t="s">
        <v>23</v>
      </c>
      <c r="G329" s="33" t="s">
        <v>230</v>
      </c>
      <c r="H329" s="33" t="s">
        <v>235</v>
      </c>
      <c r="I329" s="33" t="s">
        <v>236</v>
      </c>
      <c r="J329" s="33">
        <v>820.55745000000002</v>
      </c>
      <c r="Q329" s="33" t="s">
        <v>237</v>
      </c>
      <c r="R329" s="33" t="s">
        <v>208</v>
      </c>
    </row>
    <row r="330" spans="1:18" ht="41.4" hidden="1" x14ac:dyDescent="0.25">
      <c r="A330" s="33" t="s">
        <v>113</v>
      </c>
      <c r="B330" s="33" t="s">
        <v>56</v>
      </c>
      <c r="C330" s="33" t="s">
        <v>116</v>
      </c>
      <c r="D330" s="33" t="s">
        <v>6</v>
      </c>
      <c r="E330" s="33" t="s">
        <v>203</v>
      </c>
      <c r="F330" s="33" t="s">
        <v>23</v>
      </c>
      <c r="G330" s="33" t="s">
        <v>225</v>
      </c>
      <c r="H330" s="33" t="s">
        <v>240</v>
      </c>
      <c r="I330" s="33" t="s">
        <v>241</v>
      </c>
      <c r="J330" s="33">
        <v>275.11</v>
      </c>
      <c r="Q330" s="33" t="s">
        <v>242</v>
      </c>
      <c r="R330" s="33">
        <v>2022</v>
      </c>
    </row>
    <row r="331" spans="1:18" ht="96.6" hidden="1" x14ac:dyDescent="0.25">
      <c r="A331" s="33" t="s">
        <v>113</v>
      </c>
      <c r="B331" s="33" t="s">
        <v>62</v>
      </c>
      <c r="C331" s="33" t="s">
        <v>238</v>
      </c>
      <c r="D331" s="33" t="s">
        <v>6</v>
      </c>
      <c r="E331" s="33" t="s">
        <v>203</v>
      </c>
      <c r="F331" s="33" t="s">
        <v>23</v>
      </c>
      <c r="G331" s="33" t="s">
        <v>230</v>
      </c>
      <c r="H331" s="33" t="s">
        <v>231</v>
      </c>
      <c r="I331" s="33" t="s">
        <v>232</v>
      </c>
      <c r="J331" s="33">
        <v>638</v>
      </c>
      <c r="Q331" s="33" t="s">
        <v>233</v>
      </c>
      <c r="R331" s="33">
        <v>2021</v>
      </c>
    </row>
    <row r="332" spans="1:18" ht="41.4" hidden="1" x14ac:dyDescent="0.25">
      <c r="A332" s="33" t="s">
        <v>113</v>
      </c>
      <c r="B332" s="33" t="s">
        <v>65</v>
      </c>
      <c r="C332" s="33" t="s">
        <v>116</v>
      </c>
      <c r="D332" s="33" t="s">
        <v>6</v>
      </c>
      <c r="E332" s="33" t="s">
        <v>203</v>
      </c>
      <c r="F332" s="33" t="s">
        <v>23</v>
      </c>
      <c r="G332" s="33" t="s">
        <v>225</v>
      </c>
      <c r="H332" s="33" t="s">
        <v>240</v>
      </c>
      <c r="I332" s="33" t="s">
        <v>241</v>
      </c>
      <c r="J332" s="33">
        <v>275.11</v>
      </c>
      <c r="Q332" s="33" t="s">
        <v>242</v>
      </c>
      <c r="R332" s="33">
        <v>2022</v>
      </c>
    </row>
    <row r="333" spans="1:18" ht="27.6" hidden="1" x14ac:dyDescent="0.25">
      <c r="A333" s="33" t="s">
        <v>172</v>
      </c>
      <c r="B333" s="33" t="s">
        <v>78</v>
      </c>
      <c r="C333" s="33" t="s">
        <v>239</v>
      </c>
      <c r="D333" s="33" t="s">
        <v>6</v>
      </c>
      <c r="E333" s="33" t="s">
        <v>203</v>
      </c>
      <c r="F333" s="33" t="s">
        <v>23</v>
      </c>
      <c r="G333" s="33" t="s">
        <v>230</v>
      </c>
      <c r="H333" s="33" t="s">
        <v>235</v>
      </c>
      <c r="I333" s="33" t="s">
        <v>236</v>
      </c>
      <c r="J333" s="33">
        <v>672.94380000000001</v>
      </c>
      <c r="Q333" s="33" t="s">
        <v>237</v>
      </c>
      <c r="R333" s="33" t="s">
        <v>208</v>
      </c>
    </row>
    <row r="334" spans="1:18" ht="55.2" hidden="1" x14ac:dyDescent="0.25">
      <c r="A334" s="33" t="s">
        <v>118</v>
      </c>
      <c r="B334" s="33" t="s">
        <v>57</v>
      </c>
      <c r="C334" s="33" t="s">
        <v>120</v>
      </c>
      <c r="D334" s="33" t="s">
        <v>6</v>
      </c>
      <c r="E334" s="33" t="s">
        <v>203</v>
      </c>
      <c r="F334" s="33" t="s">
        <v>23</v>
      </c>
      <c r="G334" s="33" t="s">
        <v>225</v>
      </c>
      <c r="H334" s="33" t="s">
        <v>226</v>
      </c>
      <c r="I334" s="33" t="s">
        <v>227</v>
      </c>
      <c r="J334" s="33">
        <v>151.9</v>
      </c>
      <c r="K334" s="33">
        <v>0.33479999999999999</v>
      </c>
      <c r="L334" s="33">
        <v>0.64154999999999995</v>
      </c>
      <c r="Q334" s="33" t="s">
        <v>228</v>
      </c>
      <c r="R334" s="33">
        <v>2023</v>
      </c>
    </row>
    <row r="335" spans="1:18" ht="55.2" hidden="1" x14ac:dyDescent="0.25">
      <c r="A335" s="33" t="s">
        <v>118</v>
      </c>
      <c r="B335" s="33" t="s">
        <v>58</v>
      </c>
      <c r="C335" s="33" t="s">
        <v>112</v>
      </c>
      <c r="D335" s="33" t="s">
        <v>6</v>
      </c>
      <c r="E335" s="33" t="s">
        <v>203</v>
      </c>
      <c r="F335" s="33" t="s">
        <v>23</v>
      </c>
      <c r="G335" s="33" t="s">
        <v>225</v>
      </c>
      <c r="H335" s="33" t="s">
        <v>226</v>
      </c>
      <c r="I335" s="33" t="s">
        <v>227</v>
      </c>
      <c r="J335" s="33">
        <v>308.2</v>
      </c>
      <c r="K335" s="33">
        <v>0.44640000000000002</v>
      </c>
      <c r="L335" s="33">
        <v>0.54873000000000005</v>
      </c>
      <c r="Q335" s="33" t="s">
        <v>228</v>
      </c>
      <c r="R335" s="33">
        <v>2023</v>
      </c>
    </row>
    <row r="336" spans="1:18" ht="27.6" hidden="1" x14ac:dyDescent="0.25">
      <c r="A336" s="33" t="s">
        <v>118</v>
      </c>
      <c r="B336" s="33" t="s">
        <v>69</v>
      </c>
      <c r="C336" s="33" t="s">
        <v>239</v>
      </c>
      <c r="D336" s="33" t="s">
        <v>6</v>
      </c>
      <c r="E336" s="33" t="s">
        <v>203</v>
      </c>
      <c r="F336" s="33" t="s">
        <v>23</v>
      </c>
      <c r="G336" s="33" t="s">
        <v>230</v>
      </c>
      <c r="H336" s="33" t="s">
        <v>235</v>
      </c>
      <c r="I336" s="33" t="s">
        <v>236</v>
      </c>
      <c r="J336" s="33">
        <v>672.94380000000001</v>
      </c>
      <c r="Q336" s="33" t="s">
        <v>237</v>
      </c>
      <c r="R336" s="33" t="s">
        <v>208</v>
      </c>
    </row>
    <row r="337" spans="1:18" ht="69" hidden="1" x14ac:dyDescent="0.25">
      <c r="A337" s="33" t="s">
        <v>118</v>
      </c>
      <c r="B337" s="33" t="s">
        <v>70</v>
      </c>
      <c r="C337" s="33" t="s">
        <v>152</v>
      </c>
      <c r="D337" s="33" t="s">
        <v>6</v>
      </c>
      <c r="E337" s="33" t="s">
        <v>203</v>
      </c>
      <c r="F337" s="33" t="s">
        <v>23</v>
      </c>
      <c r="G337" s="33" t="s">
        <v>244</v>
      </c>
      <c r="H337" s="33" t="s">
        <v>245</v>
      </c>
      <c r="I337" s="33" t="s">
        <v>246</v>
      </c>
      <c r="J337" s="33">
        <v>0.438</v>
      </c>
      <c r="Q337" s="33" t="s">
        <v>247</v>
      </c>
      <c r="R337" s="33">
        <v>2023</v>
      </c>
    </row>
    <row r="338" spans="1:18" ht="55.2" hidden="1" x14ac:dyDescent="0.25">
      <c r="A338" s="33" t="s">
        <v>118</v>
      </c>
      <c r="B338" s="33" t="s">
        <v>71</v>
      </c>
      <c r="C338" s="33" t="s">
        <v>156</v>
      </c>
      <c r="D338" s="33" t="s">
        <v>6</v>
      </c>
      <c r="E338" s="33" t="s">
        <v>203</v>
      </c>
      <c r="F338" s="33" t="s">
        <v>23</v>
      </c>
      <c r="G338" s="33" t="s">
        <v>225</v>
      </c>
      <c r="H338" s="33" t="s">
        <v>226</v>
      </c>
      <c r="I338" s="33" t="s">
        <v>227</v>
      </c>
      <c r="J338" s="33">
        <v>712.9</v>
      </c>
      <c r="K338" s="33">
        <v>0.33479999999999999</v>
      </c>
      <c r="L338" s="33">
        <v>3.1149300000000002</v>
      </c>
      <c r="Q338" s="33" t="s">
        <v>228</v>
      </c>
      <c r="R338" s="33">
        <v>2023</v>
      </c>
    </row>
    <row r="339" spans="1:18" ht="55.2" hidden="1" x14ac:dyDescent="0.25">
      <c r="A339" s="33" t="s">
        <v>118</v>
      </c>
      <c r="B339" s="33" t="s">
        <v>73</v>
      </c>
      <c r="C339" s="33" t="s">
        <v>161</v>
      </c>
      <c r="D339" s="33" t="s">
        <v>6</v>
      </c>
      <c r="E339" s="33" t="s">
        <v>203</v>
      </c>
      <c r="F339" s="33" t="s">
        <v>23</v>
      </c>
      <c r="G339" s="33" t="s">
        <v>225</v>
      </c>
      <c r="H339" s="33" t="s">
        <v>226</v>
      </c>
      <c r="I339" s="33" t="s">
        <v>227</v>
      </c>
      <c r="J339" s="33">
        <v>372.7</v>
      </c>
      <c r="K339" s="33">
        <v>0.1116</v>
      </c>
      <c r="L339" s="33">
        <v>1.2830999999999999</v>
      </c>
      <c r="Q339" s="33" t="s">
        <v>228</v>
      </c>
      <c r="R339" s="33">
        <v>2023</v>
      </c>
    </row>
    <row r="340" spans="1:18" ht="138" hidden="1" x14ac:dyDescent="0.25">
      <c r="A340" s="33" t="s">
        <v>118</v>
      </c>
      <c r="B340" s="33" t="s">
        <v>74</v>
      </c>
      <c r="C340" s="33" t="s">
        <v>164</v>
      </c>
      <c r="D340" s="33" t="s">
        <v>6</v>
      </c>
      <c r="E340" s="33" t="s">
        <v>203</v>
      </c>
      <c r="F340" s="33" t="s">
        <v>23</v>
      </c>
      <c r="G340" s="33" t="s">
        <v>248</v>
      </c>
      <c r="H340" s="33" t="s">
        <v>249</v>
      </c>
      <c r="I340" s="33" t="s">
        <v>250</v>
      </c>
      <c r="J340" s="33">
        <v>38.51</v>
      </c>
      <c r="Q340" s="33" t="s">
        <v>251</v>
      </c>
      <c r="R340" s="33">
        <v>2023</v>
      </c>
    </row>
    <row r="341" spans="1:18" ht="55.2" hidden="1" x14ac:dyDescent="0.25">
      <c r="A341" s="33" t="s">
        <v>118</v>
      </c>
      <c r="B341" s="33" t="s">
        <v>75</v>
      </c>
      <c r="C341" s="33" t="s">
        <v>167</v>
      </c>
      <c r="D341" s="33" t="s">
        <v>6</v>
      </c>
      <c r="E341" s="33" t="s">
        <v>203</v>
      </c>
      <c r="F341" s="33" t="s">
        <v>23</v>
      </c>
      <c r="G341" s="33" t="s">
        <v>225</v>
      </c>
      <c r="H341" s="33" t="s">
        <v>226</v>
      </c>
      <c r="I341" s="33" t="s">
        <v>227</v>
      </c>
      <c r="J341" s="33">
        <v>609.4</v>
      </c>
      <c r="K341" s="33">
        <v>0.44640000000000002</v>
      </c>
      <c r="L341" s="33">
        <v>2.7491099999999999</v>
      </c>
      <c r="Q341" s="33" t="s">
        <v>228</v>
      </c>
      <c r="R341" s="33">
        <v>2023</v>
      </c>
    </row>
    <row r="342" spans="1:18" ht="55.2" hidden="1" x14ac:dyDescent="0.25">
      <c r="A342" s="33" t="s">
        <v>118</v>
      </c>
      <c r="B342" s="33" t="s">
        <v>76</v>
      </c>
      <c r="C342" s="33" t="s">
        <v>76</v>
      </c>
      <c r="D342" s="33" t="s">
        <v>6</v>
      </c>
      <c r="E342" s="33" t="s">
        <v>203</v>
      </c>
      <c r="F342" s="33" t="s">
        <v>23</v>
      </c>
      <c r="G342" s="33" t="s">
        <v>225</v>
      </c>
      <c r="H342" s="33" t="s">
        <v>226</v>
      </c>
      <c r="I342" s="33" t="s">
        <v>227</v>
      </c>
      <c r="J342" s="33">
        <v>895.8</v>
      </c>
      <c r="K342" s="33">
        <v>0.33479999999999999</v>
      </c>
      <c r="L342" s="33">
        <v>3.9393899999999999</v>
      </c>
      <c r="Q342" s="33" t="s">
        <v>228</v>
      </c>
      <c r="R342" s="33">
        <v>2023</v>
      </c>
    </row>
    <row r="343" spans="1:18" ht="96.6" hidden="1" x14ac:dyDescent="0.25">
      <c r="A343" s="33" t="s">
        <v>108</v>
      </c>
      <c r="B343" s="33" t="s">
        <v>55</v>
      </c>
      <c r="C343" s="33" t="s">
        <v>202</v>
      </c>
      <c r="D343" s="33" t="s">
        <v>6</v>
      </c>
      <c r="E343" s="33" t="s">
        <v>203</v>
      </c>
      <c r="F343" s="33" t="s">
        <v>24</v>
      </c>
      <c r="G343" s="33" t="s">
        <v>225</v>
      </c>
      <c r="H343" s="33" t="s">
        <v>205</v>
      </c>
      <c r="I343" s="33" t="s">
        <v>206</v>
      </c>
      <c r="J343" s="33">
        <v>177.91</v>
      </c>
      <c r="K343" s="33">
        <v>1.21644</v>
      </c>
      <c r="L343" s="33">
        <v>0.53234999999999999</v>
      </c>
      <c r="Q343" s="33" t="s">
        <v>207</v>
      </c>
      <c r="R343" s="33">
        <v>2023</v>
      </c>
    </row>
    <row r="344" spans="1:18" ht="96.6" hidden="1" x14ac:dyDescent="0.25">
      <c r="A344" s="33" t="s">
        <v>108</v>
      </c>
      <c r="B344" s="33" t="s">
        <v>61</v>
      </c>
      <c r="C344" s="33" t="s">
        <v>202</v>
      </c>
      <c r="D344" s="33" t="s">
        <v>6</v>
      </c>
      <c r="E344" s="33" t="s">
        <v>203</v>
      </c>
      <c r="F344" s="33" t="s">
        <v>24</v>
      </c>
      <c r="G344" s="33" t="s">
        <v>225</v>
      </c>
      <c r="H344" s="33" t="s">
        <v>205</v>
      </c>
      <c r="I344" s="33" t="s">
        <v>206</v>
      </c>
      <c r="J344" s="33">
        <v>177.91</v>
      </c>
      <c r="K344" s="33">
        <v>1.21644</v>
      </c>
      <c r="L344" s="33">
        <v>0.53234999999999999</v>
      </c>
      <c r="Q344" s="33" t="s">
        <v>207</v>
      </c>
      <c r="R344" s="33">
        <v>2023</v>
      </c>
    </row>
    <row r="345" spans="1:18" ht="96.6" hidden="1" x14ac:dyDescent="0.25">
      <c r="A345" s="33" t="s">
        <v>157</v>
      </c>
      <c r="B345" s="33" t="s">
        <v>72</v>
      </c>
      <c r="C345" s="33" t="s">
        <v>202</v>
      </c>
      <c r="D345" s="33" t="s">
        <v>6</v>
      </c>
      <c r="E345" s="33" t="s">
        <v>203</v>
      </c>
      <c r="F345" s="33" t="s">
        <v>24</v>
      </c>
      <c r="G345" s="33" t="s">
        <v>225</v>
      </c>
      <c r="H345" s="33" t="s">
        <v>205</v>
      </c>
      <c r="I345" s="33" t="s">
        <v>206</v>
      </c>
      <c r="J345" s="33">
        <v>177.91</v>
      </c>
      <c r="K345" s="33">
        <v>1.21644</v>
      </c>
      <c r="L345" s="33">
        <v>0.53234999999999999</v>
      </c>
      <c r="Q345" s="33" t="s">
        <v>207</v>
      </c>
      <c r="R345" s="33">
        <v>2023</v>
      </c>
    </row>
    <row r="346" spans="1:18" ht="96.6" hidden="1" x14ac:dyDescent="0.25">
      <c r="A346" s="33" t="s">
        <v>123</v>
      </c>
      <c r="B346" s="33" t="s">
        <v>59</v>
      </c>
      <c r="C346" s="33" t="s">
        <v>202</v>
      </c>
      <c r="D346" s="33" t="s">
        <v>6</v>
      </c>
      <c r="E346" s="33" t="s">
        <v>203</v>
      </c>
      <c r="F346" s="33" t="s">
        <v>24</v>
      </c>
      <c r="G346" s="33" t="s">
        <v>225</v>
      </c>
      <c r="H346" s="33" t="s">
        <v>205</v>
      </c>
      <c r="I346" s="33" t="s">
        <v>206</v>
      </c>
      <c r="J346" s="33">
        <v>177.91</v>
      </c>
      <c r="K346" s="33">
        <v>1.21644</v>
      </c>
      <c r="L346" s="33">
        <v>0.53234999999999999</v>
      </c>
      <c r="Q346" s="33" t="s">
        <v>207</v>
      </c>
      <c r="R346" s="33">
        <v>2023</v>
      </c>
    </row>
    <row r="347" spans="1:18" ht="96.6" hidden="1" x14ac:dyDescent="0.25">
      <c r="A347" s="33" t="s">
        <v>123</v>
      </c>
      <c r="B347" s="33" t="s">
        <v>60</v>
      </c>
      <c r="C347" s="33" t="s">
        <v>202</v>
      </c>
      <c r="D347" s="33" t="s">
        <v>6</v>
      </c>
      <c r="E347" s="33" t="s">
        <v>203</v>
      </c>
      <c r="F347" s="33" t="s">
        <v>24</v>
      </c>
      <c r="G347" s="33" t="s">
        <v>225</v>
      </c>
      <c r="H347" s="33" t="s">
        <v>205</v>
      </c>
      <c r="I347" s="33" t="s">
        <v>206</v>
      </c>
      <c r="J347" s="33">
        <v>177.91</v>
      </c>
      <c r="K347" s="33">
        <v>1.21644</v>
      </c>
      <c r="L347" s="33">
        <v>0.53234999999999999</v>
      </c>
      <c r="Q347" s="33" t="s">
        <v>207</v>
      </c>
      <c r="R347" s="33">
        <v>2023</v>
      </c>
    </row>
    <row r="348" spans="1:18" ht="96.6" hidden="1" x14ac:dyDescent="0.25">
      <c r="A348" s="33" t="s">
        <v>123</v>
      </c>
      <c r="B348" s="33" t="s">
        <v>63</v>
      </c>
      <c r="C348" s="33" t="s">
        <v>202</v>
      </c>
      <c r="D348" s="33" t="s">
        <v>6</v>
      </c>
      <c r="E348" s="33" t="s">
        <v>203</v>
      </c>
      <c r="F348" s="33" t="s">
        <v>24</v>
      </c>
      <c r="G348" s="33" t="s">
        <v>225</v>
      </c>
      <c r="H348" s="33" t="s">
        <v>205</v>
      </c>
      <c r="I348" s="33" t="s">
        <v>206</v>
      </c>
      <c r="J348" s="33">
        <v>177.91</v>
      </c>
      <c r="K348" s="33">
        <v>1.21644</v>
      </c>
      <c r="L348" s="33">
        <v>0.53234999999999999</v>
      </c>
      <c r="Q348" s="33" t="s">
        <v>207</v>
      </c>
      <c r="R348" s="33">
        <v>2023</v>
      </c>
    </row>
    <row r="349" spans="1:18" ht="96.6" hidden="1" x14ac:dyDescent="0.25">
      <c r="A349" s="33" t="s">
        <v>123</v>
      </c>
      <c r="B349" s="33" t="s">
        <v>64</v>
      </c>
      <c r="C349" s="33" t="s">
        <v>202</v>
      </c>
      <c r="D349" s="33" t="s">
        <v>6</v>
      </c>
      <c r="E349" s="33" t="s">
        <v>203</v>
      </c>
      <c r="F349" s="33" t="s">
        <v>24</v>
      </c>
      <c r="G349" s="33" t="s">
        <v>225</v>
      </c>
      <c r="H349" s="33" t="s">
        <v>205</v>
      </c>
      <c r="I349" s="33" t="s">
        <v>206</v>
      </c>
      <c r="J349" s="33">
        <v>177.91</v>
      </c>
      <c r="K349" s="33">
        <v>1.21644</v>
      </c>
      <c r="L349" s="33">
        <v>0.53234999999999999</v>
      </c>
      <c r="Q349" s="33" t="s">
        <v>207</v>
      </c>
      <c r="R349" s="33">
        <v>2023</v>
      </c>
    </row>
    <row r="350" spans="1:18" ht="96.6" hidden="1" x14ac:dyDescent="0.25">
      <c r="A350" s="33" t="s">
        <v>123</v>
      </c>
      <c r="B350" s="33" t="s">
        <v>66</v>
      </c>
      <c r="C350" s="33" t="s">
        <v>202</v>
      </c>
      <c r="D350" s="33" t="s">
        <v>6</v>
      </c>
      <c r="E350" s="33" t="s">
        <v>203</v>
      </c>
      <c r="F350" s="33" t="s">
        <v>24</v>
      </c>
      <c r="G350" s="33" t="s">
        <v>225</v>
      </c>
      <c r="H350" s="33" t="s">
        <v>205</v>
      </c>
      <c r="I350" s="33" t="s">
        <v>206</v>
      </c>
      <c r="J350" s="33">
        <v>177.91</v>
      </c>
      <c r="K350" s="33">
        <v>1.21644</v>
      </c>
      <c r="L350" s="33">
        <v>0.53234999999999999</v>
      </c>
      <c r="Q350" s="33" t="s">
        <v>207</v>
      </c>
      <c r="R350" s="33">
        <v>2023</v>
      </c>
    </row>
    <row r="351" spans="1:18" ht="96.6" hidden="1" x14ac:dyDescent="0.25">
      <c r="A351" s="33" t="s">
        <v>123</v>
      </c>
      <c r="B351" s="33" t="s">
        <v>67</v>
      </c>
      <c r="C351" s="33" t="s">
        <v>202</v>
      </c>
      <c r="D351" s="33" t="s">
        <v>6</v>
      </c>
      <c r="E351" s="33" t="s">
        <v>203</v>
      </c>
      <c r="F351" s="33" t="s">
        <v>24</v>
      </c>
      <c r="G351" s="33" t="s">
        <v>225</v>
      </c>
      <c r="H351" s="33" t="s">
        <v>205</v>
      </c>
      <c r="I351" s="33" t="s">
        <v>206</v>
      </c>
      <c r="J351" s="33">
        <v>177.91</v>
      </c>
      <c r="K351" s="33">
        <v>1.21644</v>
      </c>
      <c r="L351" s="33">
        <v>0.53234999999999999</v>
      </c>
      <c r="Q351" s="33" t="s">
        <v>207</v>
      </c>
      <c r="R351" s="33">
        <v>2023</v>
      </c>
    </row>
    <row r="352" spans="1:18" ht="96.6" hidden="1" x14ac:dyDescent="0.25">
      <c r="A352" s="33" t="s">
        <v>123</v>
      </c>
      <c r="B352" s="33" t="s">
        <v>68</v>
      </c>
      <c r="C352" s="33" t="s">
        <v>202</v>
      </c>
      <c r="D352" s="33" t="s">
        <v>6</v>
      </c>
      <c r="E352" s="33" t="s">
        <v>203</v>
      </c>
      <c r="F352" s="33" t="s">
        <v>24</v>
      </c>
      <c r="G352" s="33" t="s">
        <v>225</v>
      </c>
      <c r="H352" s="33" t="s">
        <v>205</v>
      </c>
      <c r="I352" s="33" t="s">
        <v>206</v>
      </c>
      <c r="J352" s="33">
        <v>177.91</v>
      </c>
      <c r="K352" s="33">
        <v>1.21644</v>
      </c>
      <c r="L352" s="33">
        <v>0.53234999999999999</v>
      </c>
      <c r="Q352" s="33" t="s">
        <v>207</v>
      </c>
      <c r="R352" s="33">
        <v>2023</v>
      </c>
    </row>
    <row r="353" spans="1:18" ht="96.6" hidden="1" x14ac:dyDescent="0.25">
      <c r="A353" s="33" t="s">
        <v>123</v>
      </c>
      <c r="B353" s="33" t="s">
        <v>77</v>
      </c>
      <c r="C353" s="33" t="s">
        <v>202</v>
      </c>
      <c r="D353" s="33" t="s">
        <v>6</v>
      </c>
      <c r="E353" s="33" t="s">
        <v>203</v>
      </c>
      <c r="F353" s="33" t="s">
        <v>24</v>
      </c>
      <c r="G353" s="33" t="s">
        <v>225</v>
      </c>
      <c r="H353" s="33" t="s">
        <v>205</v>
      </c>
      <c r="I353" s="33" t="s">
        <v>206</v>
      </c>
      <c r="J353" s="33">
        <v>177.91</v>
      </c>
      <c r="K353" s="33">
        <v>1.21644</v>
      </c>
      <c r="L353" s="33">
        <v>0.53234999999999999</v>
      </c>
      <c r="Q353" s="33" t="s">
        <v>207</v>
      </c>
      <c r="R353" s="33">
        <v>2023</v>
      </c>
    </row>
    <row r="354" spans="1:18" ht="96.6" hidden="1" x14ac:dyDescent="0.25">
      <c r="A354" s="33" t="s">
        <v>113</v>
      </c>
      <c r="B354" s="33" t="s">
        <v>56</v>
      </c>
      <c r="C354" s="33" t="s">
        <v>202</v>
      </c>
      <c r="D354" s="33" t="s">
        <v>6</v>
      </c>
      <c r="E354" s="33" t="s">
        <v>203</v>
      </c>
      <c r="F354" s="33" t="s">
        <v>24</v>
      </c>
      <c r="G354" s="33" t="s">
        <v>225</v>
      </c>
      <c r="H354" s="33" t="s">
        <v>205</v>
      </c>
      <c r="I354" s="33" t="s">
        <v>206</v>
      </c>
      <c r="J354" s="33">
        <v>177.91</v>
      </c>
      <c r="K354" s="33">
        <v>1.21644</v>
      </c>
      <c r="L354" s="33">
        <v>0.53234999999999999</v>
      </c>
      <c r="Q354" s="33" t="s">
        <v>207</v>
      </c>
      <c r="R354" s="33">
        <v>2023</v>
      </c>
    </row>
    <row r="355" spans="1:18" ht="96.6" hidden="1" x14ac:dyDescent="0.25">
      <c r="A355" s="33" t="s">
        <v>113</v>
      </c>
      <c r="B355" s="33" t="s">
        <v>62</v>
      </c>
      <c r="C355" s="33" t="s">
        <v>202</v>
      </c>
      <c r="D355" s="33" t="s">
        <v>6</v>
      </c>
      <c r="E355" s="33" t="s">
        <v>203</v>
      </c>
      <c r="F355" s="33" t="s">
        <v>24</v>
      </c>
      <c r="G355" s="33" t="s">
        <v>225</v>
      </c>
      <c r="H355" s="33" t="s">
        <v>205</v>
      </c>
      <c r="I355" s="33" t="s">
        <v>206</v>
      </c>
      <c r="J355" s="33">
        <v>177.91</v>
      </c>
      <c r="K355" s="33">
        <v>1.21644</v>
      </c>
      <c r="L355" s="33">
        <v>0.53234999999999999</v>
      </c>
      <c r="Q355" s="33" t="s">
        <v>207</v>
      </c>
      <c r="R355" s="33">
        <v>2023</v>
      </c>
    </row>
    <row r="356" spans="1:18" ht="96.6" hidden="1" x14ac:dyDescent="0.25">
      <c r="A356" s="33" t="s">
        <v>113</v>
      </c>
      <c r="B356" s="33" t="s">
        <v>65</v>
      </c>
      <c r="C356" s="33" t="s">
        <v>202</v>
      </c>
      <c r="D356" s="33" t="s">
        <v>6</v>
      </c>
      <c r="E356" s="33" t="s">
        <v>203</v>
      </c>
      <c r="F356" s="33" t="s">
        <v>24</v>
      </c>
      <c r="G356" s="33" t="s">
        <v>225</v>
      </c>
      <c r="H356" s="33" t="s">
        <v>205</v>
      </c>
      <c r="I356" s="33" t="s">
        <v>206</v>
      </c>
      <c r="J356" s="33">
        <v>177.91</v>
      </c>
      <c r="K356" s="33">
        <v>1.21644</v>
      </c>
      <c r="L356" s="33">
        <v>0.53234999999999999</v>
      </c>
      <c r="Q356" s="33" t="s">
        <v>207</v>
      </c>
      <c r="R356" s="33">
        <v>2023</v>
      </c>
    </row>
    <row r="357" spans="1:18" ht="96.6" hidden="1" x14ac:dyDescent="0.25">
      <c r="A357" s="33" t="s">
        <v>172</v>
      </c>
      <c r="B357" s="33" t="s">
        <v>78</v>
      </c>
      <c r="C357" s="33" t="s">
        <v>202</v>
      </c>
      <c r="D357" s="33" t="s">
        <v>6</v>
      </c>
      <c r="E357" s="33" t="s">
        <v>203</v>
      </c>
      <c r="F357" s="33" t="s">
        <v>24</v>
      </c>
      <c r="G357" s="33" t="s">
        <v>225</v>
      </c>
      <c r="H357" s="33" t="s">
        <v>205</v>
      </c>
      <c r="I357" s="33" t="s">
        <v>206</v>
      </c>
      <c r="J357" s="33">
        <v>177.91</v>
      </c>
      <c r="K357" s="33">
        <v>1.21644</v>
      </c>
      <c r="L357" s="33">
        <v>0.53234999999999999</v>
      </c>
      <c r="Q357" s="33" t="s">
        <v>207</v>
      </c>
      <c r="R357" s="33">
        <v>2023</v>
      </c>
    </row>
    <row r="358" spans="1:18" ht="96.6" hidden="1" x14ac:dyDescent="0.25">
      <c r="A358" s="33" t="s">
        <v>118</v>
      </c>
      <c r="B358" s="33" t="s">
        <v>57</v>
      </c>
      <c r="C358" s="33" t="s">
        <v>202</v>
      </c>
      <c r="D358" s="33" t="s">
        <v>6</v>
      </c>
      <c r="E358" s="33" t="s">
        <v>203</v>
      </c>
      <c r="F358" s="33" t="s">
        <v>24</v>
      </c>
      <c r="G358" s="33" t="s">
        <v>225</v>
      </c>
      <c r="H358" s="33" t="s">
        <v>205</v>
      </c>
      <c r="I358" s="33" t="s">
        <v>206</v>
      </c>
      <c r="J358" s="33">
        <v>177.91</v>
      </c>
      <c r="K358" s="33">
        <v>1.21644</v>
      </c>
      <c r="L358" s="33">
        <v>0.53234999999999999</v>
      </c>
      <c r="Q358" s="33" t="s">
        <v>207</v>
      </c>
      <c r="R358" s="33">
        <v>2023</v>
      </c>
    </row>
    <row r="359" spans="1:18" ht="96.6" hidden="1" x14ac:dyDescent="0.25">
      <c r="A359" s="33" t="s">
        <v>118</v>
      </c>
      <c r="B359" s="33" t="s">
        <v>58</v>
      </c>
      <c r="C359" s="33" t="s">
        <v>202</v>
      </c>
      <c r="D359" s="33" t="s">
        <v>6</v>
      </c>
      <c r="E359" s="33" t="s">
        <v>203</v>
      </c>
      <c r="F359" s="33" t="s">
        <v>24</v>
      </c>
      <c r="G359" s="33" t="s">
        <v>225</v>
      </c>
      <c r="H359" s="33" t="s">
        <v>205</v>
      </c>
      <c r="I359" s="33" t="s">
        <v>206</v>
      </c>
      <c r="J359" s="33">
        <v>177.91</v>
      </c>
      <c r="K359" s="33">
        <v>1.21644</v>
      </c>
      <c r="L359" s="33">
        <v>0.53234999999999999</v>
      </c>
      <c r="Q359" s="33" t="s">
        <v>207</v>
      </c>
      <c r="R359" s="33">
        <v>2023</v>
      </c>
    </row>
    <row r="360" spans="1:18" ht="96.6" hidden="1" x14ac:dyDescent="0.25">
      <c r="A360" s="33" t="s">
        <v>118</v>
      </c>
      <c r="B360" s="33" t="s">
        <v>69</v>
      </c>
      <c r="C360" s="33" t="s">
        <v>202</v>
      </c>
      <c r="D360" s="33" t="s">
        <v>6</v>
      </c>
      <c r="E360" s="33" t="s">
        <v>203</v>
      </c>
      <c r="F360" s="33" t="s">
        <v>24</v>
      </c>
      <c r="G360" s="33" t="s">
        <v>225</v>
      </c>
      <c r="H360" s="33" t="s">
        <v>205</v>
      </c>
      <c r="I360" s="33" t="s">
        <v>206</v>
      </c>
      <c r="J360" s="33">
        <v>177.91</v>
      </c>
      <c r="K360" s="33">
        <v>1.21644</v>
      </c>
      <c r="L360" s="33">
        <v>0.53234999999999999</v>
      </c>
      <c r="Q360" s="33" t="s">
        <v>207</v>
      </c>
      <c r="R360" s="33">
        <v>2023</v>
      </c>
    </row>
    <row r="361" spans="1:18" ht="96.6" hidden="1" x14ac:dyDescent="0.25">
      <c r="A361" s="33" t="s">
        <v>118</v>
      </c>
      <c r="B361" s="33" t="s">
        <v>70</v>
      </c>
      <c r="C361" s="33" t="s">
        <v>202</v>
      </c>
      <c r="D361" s="33" t="s">
        <v>6</v>
      </c>
      <c r="E361" s="33" t="s">
        <v>203</v>
      </c>
      <c r="F361" s="33" t="s">
        <v>24</v>
      </c>
      <c r="G361" s="33" t="s">
        <v>225</v>
      </c>
      <c r="H361" s="33" t="s">
        <v>205</v>
      </c>
      <c r="I361" s="33" t="s">
        <v>206</v>
      </c>
      <c r="J361" s="33">
        <v>177.91</v>
      </c>
      <c r="K361" s="33">
        <v>1.21644</v>
      </c>
      <c r="L361" s="33">
        <v>0.53234999999999999</v>
      </c>
      <c r="Q361" s="33" t="s">
        <v>207</v>
      </c>
      <c r="R361" s="33">
        <v>2023</v>
      </c>
    </row>
    <row r="362" spans="1:18" ht="96.6" hidden="1" x14ac:dyDescent="0.25">
      <c r="A362" s="33" t="s">
        <v>118</v>
      </c>
      <c r="B362" s="33" t="s">
        <v>71</v>
      </c>
      <c r="C362" s="33" t="s">
        <v>202</v>
      </c>
      <c r="D362" s="33" t="s">
        <v>6</v>
      </c>
      <c r="E362" s="33" t="s">
        <v>203</v>
      </c>
      <c r="F362" s="33" t="s">
        <v>24</v>
      </c>
      <c r="G362" s="33" t="s">
        <v>225</v>
      </c>
      <c r="H362" s="33" t="s">
        <v>205</v>
      </c>
      <c r="I362" s="33" t="s">
        <v>206</v>
      </c>
      <c r="J362" s="33">
        <v>177.91</v>
      </c>
      <c r="K362" s="33">
        <v>1.21644</v>
      </c>
      <c r="L362" s="33">
        <v>0.53234999999999999</v>
      </c>
      <c r="Q362" s="33" t="s">
        <v>207</v>
      </c>
      <c r="R362" s="33">
        <v>2023</v>
      </c>
    </row>
    <row r="363" spans="1:18" ht="96.6" hidden="1" x14ac:dyDescent="0.25">
      <c r="A363" s="33" t="s">
        <v>118</v>
      </c>
      <c r="B363" s="33" t="s">
        <v>73</v>
      </c>
      <c r="C363" s="33" t="s">
        <v>202</v>
      </c>
      <c r="D363" s="33" t="s">
        <v>6</v>
      </c>
      <c r="E363" s="33" t="s">
        <v>203</v>
      </c>
      <c r="F363" s="33" t="s">
        <v>24</v>
      </c>
      <c r="G363" s="33" t="s">
        <v>225</v>
      </c>
      <c r="H363" s="33" t="s">
        <v>205</v>
      </c>
      <c r="I363" s="33" t="s">
        <v>206</v>
      </c>
      <c r="J363" s="33">
        <v>177.91</v>
      </c>
      <c r="K363" s="33">
        <v>1.21644</v>
      </c>
      <c r="L363" s="33">
        <v>0.53234999999999999</v>
      </c>
      <c r="Q363" s="33" t="s">
        <v>207</v>
      </c>
      <c r="R363" s="33">
        <v>2023</v>
      </c>
    </row>
    <row r="364" spans="1:18" ht="96.6" hidden="1" x14ac:dyDescent="0.25">
      <c r="A364" s="33" t="s">
        <v>118</v>
      </c>
      <c r="B364" s="33" t="s">
        <v>74</v>
      </c>
      <c r="C364" s="33" t="s">
        <v>202</v>
      </c>
      <c r="D364" s="33" t="s">
        <v>6</v>
      </c>
      <c r="E364" s="33" t="s">
        <v>203</v>
      </c>
      <c r="F364" s="33" t="s">
        <v>24</v>
      </c>
      <c r="G364" s="33" t="s">
        <v>225</v>
      </c>
      <c r="H364" s="33" t="s">
        <v>205</v>
      </c>
      <c r="I364" s="33" t="s">
        <v>206</v>
      </c>
      <c r="J364" s="33">
        <v>177.91</v>
      </c>
      <c r="K364" s="33">
        <v>1.21644</v>
      </c>
      <c r="L364" s="33">
        <v>0.53234999999999999</v>
      </c>
      <c r="Q364" s="33" t="s">
        <v>207</v>
      </c>
      <c r="R364" s="33">
        <v>2023</v>
      </c>
    </row>
    <row r="365" spans="1:18" ht="96.6" hidden="1" x14ac:dyDescent="0.25">
      <c r="A365" s="33" t="s">
        <v>118</v>
      </c>
      <c r="B365" s="33" t="s">
        <v>75</v>
      </c>
      <c r="C365" s="33" t="s">
        <v>202</v>
      </c>
      <c r="D365" s="33" t="s">
        <v>6</v>
      </c>
      <c r="E365" s="33" t="s">
        <v>203</v>
      </c>
      <c r="F365" s="33" t="s">
        <v>24</v>
      </c>
      <c r="G365" s="33" t="s">
        <v>225</v>
      </c>
      <c r="H365" s="33" t="s">
        <v>205</v>
      </c>
      <c r="I365" s="33" t="s">
        <v>206</v>
      </c>
      <c r="J365" s="33">
        <v>177.91</v>
      </c>
      <c r="K365" s="33">
        <v>1.21644</v>
      </c>
      <c r="L365" s="33">
        <v>0.53234999999999999</v>
      </c>
      <c r="Q365" s="33" t="s">
        <v>207</v>
      </c>
      <c r="R365" s="33">
        <v>2023</v>
      </c>
    </row>
    <row r="366" spans="1:18" ht="96.6" hidden="1" x14ac:dyDescent="0.25">
      <c r="A366" s="33" t="s">
        <v>118</v>
      </c>
      <c r="B366" s="33" t="s">
        <v>76</v>
      </c>
      <c r="C366" s="33" t="s">
        <v>202</v>
      </c>
      <c r="D366" s="33" t="s">
        <v>6</v>
      </c>
      <c r="E366" s="33" t="s">
        <v>203</v>
      </c>
      <c r="F366" s="33" t="s">
        <v>24</v>
      </c>
      <c r="G366" s="33" t="s">
        <v>225</v>
      </c>
      <c r="H366" s="33" t="s">
        <v>205</v>
      </c>
      <c r="I366" s="33" t="s">
        <v>206</v>
      </c>
      <c r="J366" s="33">
        <v>177.91</v>
      </c>
      <c r="K366" s="33">
        <v>1.21644</v>
      </c>
      <c r="L366" s="33">
        <v>0.53234999999999999</v>
      </c>
      <c r="Q366" s="33" t="s">
        <v>207</v>
      </c>
      <c r="R366" s="33">
        <v>2023</v>
      </c>
    </row>
    <row r="367" spans="1:18" ht="96.6" hidden="1" x14ac:dyDescent="0.25">
      <c r="A367" s="33" t="s">
        <v>108</v>
      </c>
      <c r="B367" s="33" t="s">
        <v>55</v>
      </c>
      <c r="C367" s="33" t="s">
        <v>202</v>
      </c>
      <c r="D367" s="33" t="s">
        <v>7</v>
      </c>
      <c r="E367" s="33" t="s">
        <v>203</v>
      </c>
      <c r="F367" s="33" t="s">
        <v>25</v>
      </c>
      <c r="G367" s="33" t="s">
        <v>252</v>
      </c>
      <c r="H367" s="33" t="s">
        <v>205</v>
      </c>
      <c r="I367" s="33" t="s">
        <v>206</v>
      </c>
      <c r="J367" s="33">
        <v>520.33474000000001</v>
      </c>
      <c r="Q367" s="33" t="s">
        <v>207</v>
      </c>
      <c r="R367" s="33">
        <v>2023</v>
      </c>
    </row>
    <row r="368" spans="1:18" ht="96.6" hidden="1" x14ac:dyDescent="0.25">
      <c r="A368" s="33" t="s">
        <v>108</v>
      </c>
      <c r="B368" s="33" t="s">
        <v>61</v>
      </c>
      <c r="C368" s="33" t="s">
        <v>202</v>
      </c>
      <c r="D368" s="33" t="s">
        <v>7</v>
      </c>
      <c r="E368" s="33" t="s">
        <v>203</v>
      </c>
      <c r="F368" s="33" t="s">
        <v>25</v>
      </c>
      <c r="G368" s="33" t="s">
        <v>252</v>
      </c>
      <c r="H368" s="33" t="s">
        <v>205</v>
      </c>
      <c r="I368" s="33" t="s">
        <v>206</v>
      </c>
      <c r="J368" s="33">
        <v>520.33474000000001</v>
      </c>
      <c r="Q368" s="33" t="s">
        <v>207</v>
      </c>
      <c r="R368" s="33">
        <v>2023</v>
      </c>
    </row>
    <row r="369" spans="1:18" ht="96.6" hidden="1" x14ac:dyDescent="0.25">
      <c r="A369" s="33" t="s">
        <v>157</v>
      </c>
      <c r="B369" s="33" t="s">
        <v>72</v>
      </c>
      <c r="C369" s="33" t="s">
        <v>202</v>
      </c>
      <c r="D369" s="33" t="s">
        <v>7</v>
      </c>
      <c r="E369" s="33" t="s">
        <v>203</v>
      </c>
      <c r="F369" s="33" t="s">
        <v>25</v>
      </c>
      <c r="G369" s="33" t="s">
        <v>252</v>
      </c>
      <c r="H369" s="33" t="s">
        <v>205</v>
      </c>
      <c r="I369" s="33" t="s">
        <v>206</v>
      </c>
      <c r="J369" s="33">
        <v>520.33474000000001</v>
      </c>
      <c r="Q369" s="33" t="s">
        <v>207</v>
      </c>
      <c r="R369" s="33">
        <v>2023</v>
      </c>
    </row>
    <row r="370" spans="1:18" ht="96.6" hidden="1" x14ac:dyDescent="0.25">
      <c r="A370" s="33" t="s">
        <v>123</v>
      </c>
      <c r="B370" s="33" t="s">
        <v>59</v>
      </c>
      <c r="C370" s="33" t="s">
        <v>202</v>
      </c>
      <c r="D370" s="33" t="s">
        <v>7</v>
      </c>
      <c r="E370" s="33" t="s">
        <v>203</v>
      </c>
      <c r="F370" s="33" t="s">
        <v>25</v>
      </c>
      <c r="G370" s="33" t="s">
        <v>252</v>
      </c>
      <c r="H370" s="33" t="s">
        <v>205</v>
      </c>
      <c r="I370" s="33" t="s">
        <v>206</v>
      </c>
      <c r="J370" s="33">
        <v>520.33474000000001</v>
      </c>
      <c r="Q370" s="33" t="s">
        <v>207</v>
      </c>
      <c r="R370" s="33">
        <v>2023</v>
      </c>
    </row>
    <row r="371" spans="1:18" ht="96.6" hidden="1" x14ac:dyDescent="0.25">
      <c r="A371" s="33" t="s">
        <v>123</v>
      </c>
      <c r="B371" s="33" t="s">
        <v>60</v>
      </c>
      <c r="C371" s="33" t="s">
        <v>202</v>
      </c>
      <c r="D371" s="33" t="s">
        <v>7</v>
      </c>
      <c r="E371" s="33" t="s">
        <v>203</v>
      </c>
      <c r="F371" s="33" t="s">
        <v>25</v>
      </c>
      <c r="G371" s="33" t="s">
        <v>252</v>
      </c>
      <c r="H371" s="33" t="s">
        <v>205</v>
      </c>
      <c r="I371" s="33" t="s">
        <v>206</v>
      </c>
      <c r="J371" s="33">
        <v>520.33474000000001</v>
      </c>
      <c r="Q371" s="33" t="s">
        <v>207</v>
      </c>
      <c r="R371" s="33">
        <v>2023</v>
      </c>
    </row>
    <row r="372" spans="1:18" ht="96.6" hidden="1" x14ac:dyDescent="0.25">
      <c r="A372" s="33" t="s">
        <v>123</v>
      </c>
      <c r="B372" s="33" t="s">
        <v>63</v>
      </c>
      <c r="C372" s="33" t="s">
        <v>202</v>
      </c>
      <c r="D372" s="33" t="s">
        <v>7</v>
      </c>
      <c r="E372" s="33" t="s">
        <v>203</v>
      </c>
      <c r="F372" s="33" t="s">
        <v>25</v>
      </c>
      <c r="G372" s="33" t="s">
        <v>252</v>
      </c>
      <c r="H372" s="33" t="s">
        <v>205</v>
      </c>
      <c r="I372" s="33" t="s">
        <v>206</v>
      </c>
      <c r="J372" s="33">
        <v>520.33474000000001</v>
      </c>
      <c r="Q372" s="33" t="s">
        <v>207</v>
      </c>
      <c r="R372" s="33">
        <v>2023</v>
      </c>
    </row>
    <row r="373" spans="1:18" ht="96.6" hidden="1" x14ac:dyDescent="0.25">
      <c r="A373" s="33" t="s">
        <v>123</v>
      </c>
      <c r="B373" s="33" t="s">
        <v>64</v>
      </c>
      <c r="C373" s="33" t="s">
        <v>202</v>
      </c>
      <c r="D373" s="33" t="s">
        <v>7</v>
      </c>
      <c r="E373" s="33" t="s">
        <v>203</v>
      </c>
      <c r="F373" s="33" t="s">
        <v>25</v>
      </c>
      <c r="G373" s="33" t="s">
        <v>252</v>
      </c>
      <c r="H373" s="33" t="s">
        <v>205</v>
      </c>
      <c r="I373" s="33" t="s">
        <v>206</v>
      </c>
      <c r="J373" s="33">
        <v>520.33474000000001</v>
      </c>
      <c r="Q373" s="33" t="s">
        <v>207</v>
      </c>
      <c r="R373" s="33">
        <v>2023</v>
      </c>
    </row>
    <row r="374" spans="1:18" ht="96.6" hidden="1" x14ac:dyDescent="0.25">
      <c r="A374" s="33" t="s">
        <v>123</v>
      </c>
      <c r="B374" s="33" t="s">
        <v>66</v>
      </c>
      <c r="C374" s="33" t="s">
        <v>202</v>
      </c>
      <c r="D374" s="33" t="s">
        <v>7</v>
      </c>
      <c r="E374" s="33" t="s">
        <v>203</v>
      </c>
      <c r="F374" s="33" t="s">
        <v>25</v>
      </c>
      <c r="G374" s="33" t="s">
        <v>252</v>
      </c>
      <c r="H374" s="33" t="s">
        <v>205</v>
      </c>
      <c r="I374" s="33" t="s">
        <v>206</v>
      </c>
      <c r="J374" s="33">
        <v>520.33474000000001</v>
      </c>
      <c r="Q374" s="33" t="s">
        <v>207</v>
      </c>
      <c r="R374" s="33">
        <v>2023</v>
      </c>
    </row>
    <row r="375" spans="1:18" ht="96.6" hidden="1" x14ac:dyDescent="0.25">
      <c r="A375" s="33" t="s">
        <v>123</v>
      </c>
      <c r="B375" s="33" t="s">
        <v>67</v>
      </c>
      <c r="C375" s="33" t="s">
        <v>202</v>
      </c>
      <c r="D375" s="33" t="s">
        <v>7</v>
      </c>
      <c r="E375" s="33" t="s">
        <v>203</v>
      </c>
      <c r="F375" s="33" t="s">
        <v>25</v>
      </c>
      <c r="G375" s="33" t="s">
        <v>252</v>
      </c>
      <c r="H375" s="33" t="s">
        <v>205</v>
      </c>
      <c r="I375" s="33" t="s">
        <v>206</v>
      </c>
      <c r="J375" s="33">
        <v>520.33474000000001</v>
      </c>
      <c r="Q375" s="33" t="s">
        <v>207</v>
      </c>
      <c r="R375" s="33">
        <v>2023</v>
      </c>
    </row>
    <row r="376" spans="1:18" ht="96.6" hidden="1" x14ac:dyDescent="0.25">
      <c r="A376" s="33" t="s">
        <v>123</v>
      </c>
      <c r="B376" s="33" t="s">
        <v>68</v>
      </c>
      <c r="C376" s="33" t="s">
        <v>202</v>
      </c>
      <c r="D376" s="33" t="s">
        <v>7</v>
      </c>
      <c r="E376" s="33" t="s">
        <v>203</v>
      </c>
      <c r="F376" s="33" t="s">
        <v>25</v>
      </c>
      <c r="G376" s="33" t="s">
        <v>252</v>
      </c>
      <c r="H376" s="33" t="s">
        <v>205</v>
      </c>
      <c r="I376" s="33" t="s">
        <v>206</v>
      </c>
      <c r="J376" s="33">
        <v>520.33474000000001</v>
      </c>
      <c r="Q376" s="33" t="s">
        <v>207</v>
      </c>
      <c r="R376" s="33">
        <v>2023</v>
      </c>
    </row>
    <row r="377" spans="1:18" ht="96.6" hidden="1" x14ac:dyDescent="0.25">
      <c r="A377" s="33" t="s">
        <v>123</v>
      </c>
      <c r="B377" s="33" t="s">
        <v>77</v>
      </c>
      <c r="C377" s="33" t="s">
        <v>202</v>
      </c>
      <c r="D377" s="33" t="s">
        <v>7</v>
      </c>
      <c r="E377" s="33" t="s">
        <v>203</v>
      </c>
      <c r="F377" s="33" t="s">
        <v>25</v>
      </c>
      <c r="G377" s="33" t="s">
        <v>252</v>
      </c>
      <c r="H377" s="33" t="s">
        <v>205</v>
      </c>
      <c r="I377" s="33" t="s">
        <v>206</v>
      </c>
      <c r="J377" s="33">
        <v>520.33474000000001</v>
      </c>
      <c r="Q377" s="33" t="s">
        <v>207</v>
      </c>
      <c r="R377" s="33">
        <v>2023</v>
      </c>
    </row>
    <row r="378" spans="1:18" ht="96.6" hidden="1" x14ac:dyDescent="0.25">
      <c r="A378" s="33" t="s">
        <v>113</v>
      </c>
      <c r="B378" s="33" t="s">
        <v>56</v>
      </c>
      <c r="C378" s="33" t="s">
        <v>202</v>
      </c>
      <c r="D378" s="33" t="s">
        <v>7</v>
      </c>
      <c r="E378" s="33" t="s">
        <v>203</v>
      </c>
      <c r="F378" s="33" t="s">
        <v>25</v>
      </c>
      <c r="G378" s="33" t="s">
        <v>252</v>
      </c>
      <c r="H378" s="33" t="s">
        <v>205</v>
      </c>
      <c r="I378" s="33" t="s">
        <v>206</v>
      </c>
      <c r="J378" s="33">
        <v>520.33474000000001</v>
      </c>
      <c r="Q378" s="33" t="s">
        <v>207</v>
      </c>
      <c r="R378" s="33">
        <v>2023</v>
      </c>
    </row>
    <row r="379" spans="1:18" ht="96.6" hidden="1" x14ac:dyDescent="0.25">
      <c r="A379" s="33" t="s">
        <v>113</v>
      </c>
      <c r="B379" s="33" t="s">
        <v>62</v>
      </c>
      <c r="C379" s="33" t="s">
        <v>202</v>
      </c>
      <c r="D379" s="33" t="s">
        <v>7</v>
      </c>
      <c r="E379" s="33" t="s">
        <v>203</v>
      </c>
      <c r="F379" s="33" t="s">
        <v>25</v>
      </c>
      <c r="G379" s="33" t="s">
        <v>252</v>
      </c>
      <c r="H379" s="33" t="s">
        <v>205</v>
      </c>
      <c r="I379" s="33" t="s">
        <v>206</v>
      </c>
      <c r="J379" s="33">
        <v>520.33474000000001</v>
      </c>
      <c r="Q379" s="33" t="s">
        <v>207</v>
      </c>
      <c r="R379" s="33">
        <v>2023</v>
      </c>
    </row>
    <row r="380" spans="1:18" ht="96.6" hidden="1" x14ac:dyDescent="0.25">
      <c r="A380" s="33" t="s">
        <v>113</v>
      </c>
      <c r="B380" s="33" t="s">
        <v>65</v>
      </c>
      <c r="C380" s="33" t="s">
        <v>202</v>
      </c>
      <c r="D380" s="33" t="s">
        <v>7</v>
      </c>
      <c r="E380" s="33" t="s">
        <v>203</v>
      </c>
      <c r="F380" s="33" t="s">
        <v>25</v>
      </c>
      <c r="G380" s="33" t="s">
        <v>252</v>
      </c>
      <c r="H380" s="33" t="s">
        <v>205</v>
      </c>
      <c r="I380" s="33" t="s">
        <v>206</v>
      </c>
      <c r="J380" s="33">
        <v>520.33474000000001</v>
      </c>
      <c r="Q380" s="33" t="s">
        <v>207</v>
      </c>
      <c r="R380" s="33">
        <v>2023</v>
      </c>
    </row>
    <row r="381" spans="1:18" ht="96.6" hidden="1" x14ac:dyDescent="0.25">
      <c r="A381" s="33" t="s">
        <v>172</v>
      </c>
      <c r="B381" s="33" t="s">
        <v>78</v>
      </c>
      <c r="C381" s="33" t="s">
        <v>202</v>
      </c>
      <c r="D381" s="33" t="s">
        <v>7</v>
      </c>
      <c r="E381" s="33" t="s">
        <v>203</v>
      </c>
      <c r="F381" s="33" t="s">
        <v>25</v>
      </c>
      <c r="G381" s="33" t="s">
        <v>252</v>
      </c>
      <c r="H381" s="33" t="s">
        <v>205</v>
      </c>
      <c r="I381" s="33" t="s">
        <v>206</v>
      </c>
      <c r="J381" s="33">
        <v>520.33474000000001</v>
      </c>
      <c r="Q381" s="33" t="s">
        <v>207</v>
      </c>
      <c r="R381" s="33">
        <v>2023</v>
      </c>
    </row>
    <row r="382" spans="1:18" ht="96.6" hidden="1" x14ac:dyDescent="0.25">
      <c r="A382" s="33" t="s">
        <v>118</v>
      </c>
      <c r="B382" s="33" t="s">
        <v>57</v>
      </c>
      <c r="C382" s="33" t="s">
        <v>202</v>
      </c>
      <c r="D382" s="33" t="s">
        <v>7</v>
      </c>
      <c r="E382" s="33" t="s">
        <v>203</v>
      </c>
      <c r="F382" s="33" t="s">
        <v>25</v>
      </c>
      <c r="G382" s="33" t="s">
        <v>252</v>
      </c>
      <c r="H382" s="33" t="s">
        <v>205</v>
      </c>
      <c r="I382" s="33" t="s">
        <v>206</v>
      </c>
      <c r="J382" s="33">
        <v>520.33474000000001</v>
      </c>
      <c r="Q382" s="33" t="s">
        <v>207</v>
      </c>
      <c r="R382" s="33">
        <v>2023</v>
      </c>
    </row>
    <row r="383" spans="1:18" ht="96.6" hidden="1" x14ac:dyDescent="0.25">
      <c r="A383" s="33" t="s">
        <v>118</v>
      </c>
      <c r="B383" s="33" t="s">
        <v>58</v>
      </c>
      <c r="C383" s="33" t="s">
        <v>202</v>
      </c>
      <c r="D383" s="33" t="s">
        <v>7</v>
      </c>
      <c r="E383" s="33" t="s">
        <v>203</v>
      </c>
      <c r="F383" s="33" t="s">
        <v>25</v>
      </c>
      <c r="G383" s="33" t="s">
        <v>252</v>
      </c>
      <c r="H383" s="33" t="s">
        <v>205</v>
      </c>
      <c r="I383" s="33" t="s">
        <v>206</v>
      </c>
      <c r="J383" s="33">
        <v>520.33474000000001</v>
      </c>
      <c r="Q383" s="33" t="s">
        <v>207</v>
      </c>
      <c r="R383" s="33">
        <v>2023</v>
      </c>
    </row>
    <row r="384" spans="1:18" ht="96.6" hidden="1" x14ac:dyDescent="0.25">
      <c r="A384" s="33" t="s">
        <v>118</v>
      </c>
      <c r="B384" s="33" t="s">
        <v>69</v>
      </c>
      <c r="C384" s="33" t="s">
        <v>202</v>
      </c>
      <c r="D384" s="33" t="s">
        <v>7</v>
      </c>
      <c r="E384" s="33" t="s">
        <v>203</v>
      </c>
      <c r="F384" s="33" t="s">
        <v>25</v>
      </c>
      <c r="G384" s="33" t="s">
        <v>252</v>
      </c>
      <c r="H384" s="33" t="s">
        <v>205</v>
      </c>
      <c r="I384" s="33" t="s">
        <v>206</v>
      </c>
      <c r="J384" s="33">
        <v>520.33474000000001</v>
      </c>
      <c r="Q384" s="33" t="s">
        <v>207</v>
      </c>
      <c r="R384" s="33">
        <v>2023</v>
      </c>
    </row>
    <row r="385" spans="1:18" ht="96.6" hidden="1" x14ac:dyDescent="0.25">
      <c r="A385" s="33" t="s">
        <v>118</v>
      </c>
      <c r="B385" s="33" t="s">
        <v>70</v>
      </c>
      <c r="C385" s="33" t="s">
        <v>202</v>
      </c>
      <c r="D385" s="33" t="s">
        <v>7</v>
      </c>
      <c r="E385" s="33" t="s">
        <v>203</v>
      </c>
      <c r="F385" s="33" t="s">
        <v>25</v>
      </c>
      <c r="G385" s="33" t="s">
        <v>252</v>
      </c>
      <c r="H385" s="33" t="s">
        <v>205</v>
      </c>
      <c r="I385" s="33" t="s">
        <v>206</v>
      </c>
      <c r="J385" s="33">
        <v>520.33474000000001</v>
      </c>
      <c r="Q385" s="33" t="s">
        <v>207</v>
      </c>
      <c r="R385" s="33">
        <v>2023</v>
      </c>
    </row>
    <row r="386" spans="1:18" ht="96.6" hidden="1" x14ac:dyDescent="0.25">
      <c r="A386" s="33" t="s">
        <v>118</v>
      </c>
      <c r="B386" s="33" t="s">
        <v>71</v>
      </c>
      <c r="C386" s="33" t="s">
        <v>202</v>
      </c>
      <c r="D386" s="33" t="s">
        <v>7</v>
      </c>
      <c r="E386" s="33" t="s">
        <v>203</v>
      </c>
      <c r="F386" s="33" t="s">
        <v>25</v>
      </c>
      <c r="G386" s="33" t="s">
        <v>252</v>
      </c>
      <c r="H386" s="33" t="s">
        <v>205</v>
      </c>
      <c r="I386" s="33" t="s">
        <v>206</v>
      </c>
      <c r="J386" s="33">
        <v>520.33474000000001</v>
      </c>
      <c r="Q386" s="33" t="s">
        <v>207</v>
      </c>
      <c r="R386" s="33">
        <v>2023</v>
      </c>
    </row>
    <row r="387" spans="1:18" ht="96.6" hidden="1" x14ac:dyDescent="0.25">
      <c r="A387" s="33" t="s">
        <v>118</v>
      </c>
      <c r="B387" s="33" t="s">
        <v>73</v>
      </c>
      <c r="C387" s="33" t="s">
        <v>202</v>
      </c>
      <c r="D387" s="33" t="s">
        <v>7</v>
      </c>
      <c r="E387" s="33" t="s">
        <v>203</v>
      </c>
      <c r="F387" s="33" t="s">
        <v>25</v>
      </c>
      <c r="G387" s="33" t="s">
        <v>252</v>
      </c>
      <c r="H387" s="33" t="s">
        <v>205</v>
      </c>
      <c r="I387" s="33" t="s">
        <v>206</v>
      </c>
      <c r="J387" s="33">
        <v>520.33474000000001</v>
      </c>
      <c r="Q387" s="33" t="s">
        <v>207</v>
      </c>
      <c r="R387" s="33">
        <v>2023</v>
      </c>
    </row>
    <row r="388" spans="1:18" ht="96.6" hidden="1" x14ac:dyDescent="0.25">
      <c r="A388" s="33" t="s">
        <v>118</v>
      </c>
      <c r="B388" s="33" t="s">
        <v>74</v>
      </c>
      <c r="C388" s="33" t="s">
        <v>202</v>
      </c>
      <c r="D388" s="33" t="s">
        <v>7</v>
      </c>
      <c r="E388" s="33" t="s">
        <v>203</v>
      </c>
      <c r="F388" s="33" t="s">
        <v>25</v>
      </c>
      <c r="G388" s="33" t="s">
        <v>252</v>
      </c>
      <c r="H388" s="33" t="s">
        <v>205</v>
      </c>
      <c r="I388" s="33" t="s">
        <v>206</v>
      </c>
      <c r="J388" s="33">
        <v>520.33474000000001</v>
      </c>
      <c r="Q388" s="33" t="s">
        <v>207</v>
      </c>
      <c r="R388" s="33">
        <v>2023</v>
      </c>
    </row>
    <row r="389" spans="1:18" ht="96.6" hidden="1" x14ac:dyDescent="0.25">
      <c r="A389" s="33" t="s">
        <v>118</v>
      </c>
      <c r="B389" s="33" t="s">
        <v>75</v>
      </c>
      <c r="C389" s="33" t="s">
        <v>202</v>
      </c>
      <c r="D389" s="33" t="s">
        <v>7</v>
      </c>
      <c r="E389" s="33" t="s">
        <v>203</v>
      </c>
      <c r="F389" s="33" t="s">
        <v>25</v>
      </c>
      <c r="G389" s="33" t="s">
        <v>252</v>
      </c>
      <c r="H389" s="33" t="s">
        <v>205</v>
      </c>
      <c r="I389" s="33" t="s">
        <v>206</v>
      </c>
      <c r="J389" s="33">
        <v>520.33474000000001</v>
      </c>
      <c r="Q389" s="33" t="s">
        <v>207</v>
      </c>
      <c r="R389" s="33">
        <v>2023</v>
      </c>
    </row>
    <row r="390" spans="1:18" ht="96.6" hidden="1" x14ac:dyDescent="0.25">
      <c r="A390" s="33" t="s">
        <v>118</v>
      </c>
      <c r="B390" s="33" t="s">
        <v>76</v>
      </c>
      <c r="C390" s="33" t="s">
        <v>202</v>
      </c>
      <c r="D390" s="33" t="s">
        <v>7</v>
      </c>
      <c r="E390" s="33" t="s">
        <v>203</v>
      </c>
      <c r="F390" s="33" t="s">
        <v>25</v>
      </c>
      <c r="G390" s="33" t="s">
        <v>252</v>
      </c>
      <c r="H390" s="33" t="s">
        <v>205</v>
      </c>
      <c r="I390" s="33" t="s">
        <v>206</v>
      </c>
      <c r="J390" s="33">
        <v>520.33474000000001</v>
      </c>
      <c r="Q390" s="33" t="s">
        <v>207</v>
      </c>
      <c r="R390" s="33">
        <v>2023</v>
      </c>
    </row>
    <row r="391" spans="1:18" ht="96.6" hidden="1" x14ac:dyDescent="0.25">
      <c r="A391" s="33" t="s">
        <v>108</v>
      </c>
      <c r="B391" s="33" t="s">
        <v>55</v>
      </c>
      <c r="C391" s="33" t="s">
        <v>202</v>
      </c>
      <c r="D391" s="33" t="s">
        <v>7</v>
      </c>
      <c r="E391" s="33" t="s">
        <v>203</v>
      </c>
      <c r="F391" s="33" t="s">
        <v>26</v>
      </c>
      <c r="G391" s="33" t="s">
        <v>252</v>
      </c>
      <c r="H391" s="33" t="s">
        <v>205</v>
      </c>
      <c r="I391" s="33" t="s">
        <v>206</v>
      </c>
      <c r="J391" s="33">
        <v>21.280809999999999</v>
      </c>
      <c r="Q391" s="33" t="s">
        <v>207</v>
      </c>
      <c r="R391" s="33">
        <v>2023</v>
      </c>
    </row>
    <row r="392" spans="1:18" ht="96.6" hidden="1" x14ac:dyDescent="0.25">
      <c r="A392" s="33" t="s">
        <v>108</v>
      </c>
      <c r="B392" s="33" t="s">
        <v>61</v>
      </c>
      <c r="C392" s="33" t="s">
        <v>202</v>
      </c>
      <c r="D392" s="33" t="s">
        <v>7</v>
      </c>
      <c r="E392" s="33" t="s">
        <v>203</v>
      </c>
      <c r="F392" s="33" t="s">
        <v>26</v>
      </c>
      <c r="G392" s="33" t="s">
        <v>252</v>
      </c>
      <c r="H392" s="33" t="s">
        <v>205</v>
      </c>
      <c r="I392" s="33" t="s">
        <v>206</v>
      </c>
      <c r="J392" s="33">
        <v>21.280809999999999</v>
      </c>
      <c r="Q392" s="33" t="s">
        <v>207</v>
      </c>
      <c r="R392" s="33">
        <v>2023</v>
      </c>
    </row>
    <row r="393" spans="1:18" ht="96.6" hidden="1" x14ac:dyDescent="0.25">
      <c r="A393" s="33" t="s">
        <v>157</v>
      </c>
      <c r="B393" s="33" t="s">
        <v>72</v>
      </c>
      <c r="C393" s="33" t="s">
        <v>202</v>
      </c>
      <c r="D393" s="33" t="s">
        <v>7</v>
      </c>
      <c r="E393" s="33" t="s">
        <v>203</v>
      </c>
      <c r="F393" s="33" t="s">
        <v>26</v>
      </c>
      <c r="G393" s="33" t="s">
        <v>252</v>
      </c>
      <c r="H393" s="33" t="s">
        <v>205</v>
      </c>
      <c r="I393" s="33" t="s">
        <v>206</v>
      </c>
      <c r="J393" s="33">
        <v>21.280809999999999</v>
      </c>
      <c r="Q393" s="33" t="s">
        <v>207</v>
      </c>
      <c r="R393" s="33">
        <v>2023</v>
      </c>
    </row>
    <row r="394" spans="1:18" ht="96.6" hidden="1" x14ac:dyDescent="0.25">
      <c r="A394" s="33" t="s">
        <v>123</v>
      </c>
      <c r="B394" s="33" t="s">
        <v>59</v>
      </c>
      <c r="C394" s="33" t="s">
        <v>202</v>
      </c>
      <c r="D394" s="33" t="s">
        <v>7</v>
      </c>
      <c r="E394" s="33" t="s">
        <v>203</v>
      </c>
      <c r="F394" s="33" t="s">
        <v>26</v>
      </c>
      <c r="G394" s="33" t="s">
        <v>252</v>
      </c>
      <c r="H394" s="33" t="s">
        <v>205</v>
      </c>
      <c r="I394" s="33" t="s">
        <v>206</v>
      </c>
      <c r="J394" s="33">
        <v>21.280809999999999</v>
      </c>
      <c r="Q394" s="33" t="s">
        <v>207</v>
      </c>
      <c r="R394" s="33">
        <v>2023</v>
      </c>
    </row>
    <row r="395" spans="1:18" ht="96.6" hidden="1" x14ac:dyDescent="0.25">
      <c r="A395" s="33" t="s">
        <v>123</v>
      </c>
      <c r="B395" s="33" t="s">
        <v>60</v>
      </c>
      <c r="C395" s="33" t="s">
        <v>202</v>
      </c>
      <c r="D395" s="33" t="s">
        <v>7</v>
      </c>
      <c r="E395" s="33" t="s">
        <v>203</v>
      </c>
      <c r="F395" s="33" t="s">
        <v>26</v>
      </c>
      <c r="G395" s="33" t="s">
        <v>252</v>
      </c>
      <c r="H395" s="33" t="s">
        <v>205</v>
      </c>
      <c r="I395" s="33" t="s">
        <v>206</v>
      </c>
      <c r="J395" s="33">
        <v>21.280809999999999</v>
      </c>
      <c r="Q395" s="33" t="s">
        <v>207</v>
      </c>
      <c r="R395" s="33">
        <v>2023</v>
      </c>
    </row>
    <row r="396" spans="1:18" ht="96.6" hidden="1" x14ac:dyDescent="0.25">
      <c r="A396" s="33" t="s">
        <v>123</v>
      </c>
      <c r="B396" s="33" t="s">
        <v>63</v>
      </c>
      <c r="C396" s="33" t="s">
        <v>202</v>
      </c>
      <c r="D396" s="33" t="s">
        <v>7</v>
      </c>
      <c r="E396" s="33" t="s">
        <v>203</v>
      </c>
      <c r="F396" s="33" t="s">
        <v>26</v>
      </c>
      <c r="G396" s="33" t="s">
        <v>252</v>
      </c>
      <c r="H396" s="33" t="s">
        <v>205</v>
      </c>
      <c r="I396" s="33" t="s">
        <v>206</v>
      </c>
      <c r="J396" s="33">
        <v>21.280809999999999</v>
      </c>
      <c r="Q396" s="33" t="s">
        <v>207</v>
      </c>
      <c r="R396" s="33">
        <v>2023</v>
      </c>
    </row>
    <row r="397" spans="1:18" ht="96.6" hidden="1" x14ac:dyDescent="0.25">
      <c r="A397" s="33" t="s">
        <v>123</v>
      </c>
      <c r="B397" s="33" t="s">
        <v>64</v>
      </c>
      <c r="C397" s="33" t="s">
        <v>202</v>
      </c>
      <c r="D397" s="33" t="s">
        <v>7</v>
      </c>
      <c r="E397" s="33" t="s">
        <v>203</v>
      </c>
      <c r="F397" s="33" t="s">
        <v>26</v>
      </c>
      <c r="G397" s="33" t="s">
        <v>252</v>
      </c>
      <c r="H397" s="33" t="s">
        <v>205</v>
      </c>
      <c r="I397" s="33" t="s">
        <v>206</v>
      </c>
      <c r="J397" s="33">
        <v>21.280809999999999</v>
      </c>
      <c r="Q397" s="33" t="s">
        <v>207</v>
      </c>
      <c r="R397" s="33">
        <v>2023</v>
      </c>
    </row>
    <row r="398" spans="1:18" ht="96.6" hidden="1" x14ac:dyDescent="0.25">
      <c r="A398" s="33" t="s">
        <v>123</v>
      </c>
      <c r="B398" s="33" t="s">
        <v>66</v>
      </c>
      <c r="C398" s="33" t="s">
        <v>202</v>
      </c>
      <c r="D398" s="33" t="s">
        <v>7</v>
      </c>
      <c r="E398" s="33" t="s">
        <v>203</v>
      </c>
      <c r="F398" s="33" t="s">
        <v>26</v>
      </c>
      <c r="G398" s="33" t="s">
        <v>252</v>
      </c>
      <c r="H398" s="33" t="s">
        <v>205</v>
      </c>
      <c r="I398" s="33" t="s">
        <v>206</v>
      </c>
      <c r="J398" s="33">
        <v>21.280809999999999</v>
      </c>
      <c r="Q398" s="33" t="s">
        <v>207</v>
      </c>
      <c r="R398" s="33">
        <v>2023</v>
      </c>
    </row>
    <row r="399" spans="1:18" ht="96.6" hidden="1" x14ac:dyDescent="0.25">
      <c r="A399" s="33" t="s">
        <v>123</v>
      </c>
      <c r="B399" s="33" t="s">
        <v>67</v>
      </c>
      <c r="C399" s="33" t="s">
        <v>202</v>
      </c>
      <c r="D399" s="33" t="s">
        <v>7</v>
      </c>
      <c r="E399" s="33" t="s">
        <v>203</v>
      </c>
      <c r="F399" s="33" t="s">
        <v>26</v>
      </c>
      <c r="G399" s="33" t="s">
        <v>252</v>
      </c>
      <c r="H399" s="33" t="s">
        <v>205</v>
      </c>
      <c r="I399" s="33" t="s">
        <v>206</v>
      </c>
      <c r="J399" s="33">
        <v>21.280809999999999</v>
      </c>
      <c r="Q399" s="33" t="s">
        <v>207</v>
      </c>
      <c r="R399" s="33">
        <v>2023</v>
      </c>
    </row>
    <row r="400" spans="1:18" ht="96.6" hidden="1" x14ac:dyDescent="0.25">
      <c r="A400" s="33" t="s">
        <v>123</v>
      </c>
      <c r="B400" s="33" t="s">
        <v>68</v>
      </c>
      <c r="C400" s="33" t="s">
        <v>202</v>
      </c>
      <c r="D400" s="33" t="s">
        <v>7</v>
      </c>
      <c r="E400" s="33" t="s">
        <v>203</v>
      </c>
      <c r="F400" s="33" t="s">
        <v>26</v>
      </c>
      <c r="G400" s="33" t="s">
        <v>252</v>
      </c>
      <c r="H400" s="33" t="s">
        <v>205</v>
      </c>
      <c r="I400" s="33" t="s">
        <v>206</v>
      </c>
      <c r="J400" s="33">
        <v>21.280809999999999</v>
      </c>
      <c r="Q400" s="33" t="s">
        <v>207</v>
      </c>
      <c r="R400" s="33">
        <v>2023</v>
      </c>
    </row>
    <row r="401" spans="1:18" ht="96.6" hidden="1" x14ac:dyDescent="0.25">
      <c r="A401" s="33" t="s">
        <v>123</v>
      </c>
      <c r="B401" s="33" t="s">
        <v>77</v>
      </c>
      <c r="C401" s="33" t="s">
        <v>202</v>
      </c>
      <c r="D401" s="33" t="s">
        <v>7</v>
      </c>
      <c r="E401" s="33" t="s">
        <v>203</v>
      </c>
      <c r="F401" s="33" t="s">
        <v>26</v>
      </c>
      <c r="G401" s="33" t="s">
        <v>252</v>
      </c>
      <c r="H401" s="33" t="s">
        <v>205</v>
      </c>
      <c r="I401" s="33" t="s">
        <v>206</v>
      </c>
      <c r="J401" s="33">
        <v>21.280809999999999</v>
      </c>
      <c r="Q401" s="33" t="s">
        <v>207</v>
      </c>
      <c r="R401" s="33">
        <v>2023</v>
      </c>
    </row>
    <row r="402" spans="1:18" ht="96.6" hidden="1" x14ac:dyDescent="0.25">
      <c r="A402" s="33" t="s">
        <v>113</v>
      </c>
      <c r="B402" s="33" t="s">
        <v>56</v>
      </c>
      <c r="C402" s="33" t="s">
        <v>202</v>
      </c>
      <c r="D402" s="33" t="s">
        <v>7</v>
      </c>
      <c r="E402" s="33" t="s">
        <v>203</v>
      </c>
      <c r="F402" s="33" t="s">
        <v>26</v>
      </c>
      <c r="G402" s="33" t="s">
        <v>252</v>
      </c>
      <c r="H402" s="33" t="s">
        <v>205</v>
      </c>
      <c r="I402" s="33" t="s">
        <v>206</v>
      </c>
      <c r="J402" s="33">
        <v>21.280809999999999</v>
      </c>
      <c r="Q402" s="33" t="s">
        <v>207</v>
      </c>
      <c r="R402" s="33">
        <v>2023</v>
      </c>
    </row>
    <row r="403" spans="1:18" ht="96.6" hidden="1" x14ac:dyDescent="0.25">
      <c r="A403" s="33" t="s">
        <v>113</v>
      </c>
      <c r="B403" s="33" t="s">
        <v>62</v>
      </c>
      <c r="C403" s="33" t="s">
        <v>202</v>
      </c>
      <c r="D403" s="33" t="s">
        <v>7</v>
      </c>
      <c r="E403" s="33" t="s">
        <v>203</v>
      </c>
      <c r="F403" s="33" t="s">
        <v>26</v>
      </c>
      <c r="G403" s="33" t="s">
        <v>252</v>
      </c>
      <c r="H403" s="33" t="s">
        <v>205</v>
      </c>
      <c r="I403" s="33" t="s">
        <v>206</v>
      </c>
      <c r="J403" s="33">
        <v>21.280809999999999</v>
      </c>
      <c r="Q403" s="33" t="s">
        <v>207</v>
      </c>
      <c r="R403" s="33">
        <v>2023</v>
      </c>
    </row>
    <row r="404" spans="1:18" ht="96.6" hidden="1" x14ac:dyDescent="0.25">
      <c r="A404" s="33" t="s">
        <v>113</v>
      </c>
      <c r="B404" s="33" t="s">
        <v>65</v>
      </c>
      <c r="C404" s="33" t="s">
        <v>202</v>
      </c>
      <c r="D404" s="33" t="s">
        <v>7</v>
      </c>
      <c r="E404" s="33" t="s">
        <v>203</v>
      </c>
      <c r="F404" s="33" t="s">
        <v>26</v>
      </c>
      <c r="G404" s="33" t="s">
        <v>252</v>
      </c>
      <c r="H404" s="33" t="s">
        <v>205</v>
      </c>
      <c r="I404" s="33" t="s">
        <v>206</v>
      </c>
      <c r="J404" s="33">
        <v>21.280809999999999</v>
      </c>
      <c r="Q404" s="33" t="s">
        <v>207</v>
      </c>
      <c r="R404" s="33">
        <v>2023</v>
      </c>
    </row>
    <row r="405" spans="1:18" ht="96.6" hidden="1" x14ac:dyDescent="0.25">
      <c r="A405" s="33" t="s">
        <v>172</v>
      </c>
      <c r="B405" s="33" t="s">
        <v>78</v>
      </c>
      <c r="C405" s="33" t="s">
        <v>202</v>
      </c>
      <c r="D405" s="33" t="s">
        <v>7</v>
      </c>
      <c r="E405" s="33" t="s">
        <v>203</v>
      </c>
      <c r="F405" s="33" t="s">
        <v>26</v>
      </c>
      <c r="G405" s="33" t="s">
        <v>252</v>
      </c>
      <c r="H405" s="33" t="s">
        <v>205</v>
      </c>
      <c r="I405" s="33" t="s">
        <v>206</v>
      </c>
      <c r="J405" s="33">
        <v>21.280809999999999</v>
      </c>
      <c r="Q405" s="33" t="s">
        <v>207</v>
      </c>
      <c r="R405" s="33">
        <v>2023</v>
      </c>
    </row>
    <row r="406" spans="1:18" ht="96.6" hidden="1" x14ac:dyDescent="0.25">
      <c r="A406" s="33" t="s">
        <v>118</v>
      </c>
      <c r="B406" s="33" t="s">
        <v>57</v>
      </c>
      <c r="C406" s="33" t="s">
        <v>202</v>
      </c>
      <c r="D406" s="33" t="s">
        <v>7</v>
      </c>
      <c r="E406" s="33" t="s">
        <v>203</v>
      </c>
      <c r="F406" s="33" t="s">
        <v>26</v>
      </c>
      <c r="G406" s="33" t="s">
        <v>252</v>
      </c>
      <c r="H406" s="33" t="s">
        <v>205</v>
      </c>
      <c r="I406" s="33" t="s">
        <v>206</v>
      </c>
      <c r="J406" s="33">
        <v>21.280809999999999</v>
      </c>
      <c r="Q406" s="33" t="s">
        <v>207</v>
      </c>
      <c r="R406" s="33">
        <v>2023</v>
      </c>
    </row>
    <row r="407" spans="1:18" ht="96.6" hidden="1" x14ac:dyDescent="0.25">
      <c r="A407" s="33" t="s">
        <v>118</v>
      </c>
      <c r="B407" s="33" t="s">
        <v>58</v>
      </c>
      <c r="C407" s="33" t="s">
        <v>202</v>
      </c>
      <c r="D407" s="33" t="s">
        <v>7</v>
      </c>
      <c r="E407" s="33" t="s">
        <v>203</v>
      </c>
      <c r="F407" s="33" t="s">
        <v>26</v>
      </c>
      <c r="G407" s="33" t="s">
        <v>252</v>
      </c>
      <c r="H407" s="33" t="s">
        <v>205</v>
      </c>
      <c r="I407" s="33" t="s">
        <v>206</v>
      </c>
      <c r="J407" s="33">
        <v>21.280809999999999</v>
      </c>
      <c r="Q407" s="33" t="s">
        <v>207</v>
      </c>
      <c r="R407" s="33">
        <v>2023</v>
      </c>
    </row>
    <row r="408" spans="1:18" ht="96.6" hidden="1" x14ac:dyDescent="0.25">
      <c r="A408" s="33" t="s">
        <v>118</v>
      </c>
      <c r="B408" s="33" t="s">
        <v>69</v>
      </c>
      <c r="C408" s="33" t="s">
        <v>202</v>
      </c>
      <c r="D408" s="33" t="s">
        <v>7</v>
      </c>
      <c r="E408" s="33" t="s">
        <v>203</v>
      </c>
      <c r="F408" s="33" t="s">
        <v>26</v>
      </c>
      <c r="G408" s="33" t="s">
        <v>252</v>
      </c>
      <c r="H408" s="33" t="s">
        <v>205</v>
      </c>
      <c r="I408" s="33" t="s">
        <v>206</v>
      </c>
      <c r="J408" s="33">
        <v>21.280809999999999</v>
      </c>
      <c r="Q408" s="33" t="s">
        <v>207</v>
      </c>
      <c r="R408" s="33">
        <v>2023</v>
      </c>
    </row>
    <row r="409" spans="1:18" ht="96.6" hidden="1" x14ac:dyDescent="0.25">
      <c r="A409" s="33" t="s">
        <v>118</v>
      </c>
      <c r="B409" s="33" t="s">
        <v>70</v>
      </c>
      <c r="C409" s="33" t="s">
        <v>202</v>
      </c>
      <c r="D409" s="33" t="s">
        <v>7</v>
      </c>
      <c r="E409" s="33" t="s">
        <v>203</v>
      </c>
      <c r="F409" s="33" t="s">
        <v>26</v>
      </c>
      <c r="G409" s="33" t="s">
        <v>252</v>
      </c>
      <c r="H409" s="33" t="s">
        <v>205</v>
      </c>
      <c r="I409" s="33" t="s">
        <v>206</v>
      </c>
      <c r="J409" s="33">
        <v>21.280809999999999</v>
      </c>
      <c r="Q409" s="33" t="s">
        <v>207</v>
      </c>
      <c r="R409" s="33">
        <v>2023</v>
      </c>
    </row>
    <row r="410" spans="1:18" ht="96.6" hidden="1" x14ac:dyDescent="0.25">
      <c r="A410" s="33" t="s">
        <v>118</v>
      </c>
      <c r="B410" s="33" t="s">
        <v>71</v>
      </c>
      <c r="C410" s="33" t="s">
        <v>202</v>
      </c>
      <c r="D410" s="33" t="s">
        <v>7</v>
      </c>
      <c r="E410" s="33" t="s">
        <v>203</v>
      </c>
      <c r="F410" s="33" t="s">
        <v>26</v>
      </c>
      <c r="G410" s="33" t="s">
        <v>252</v>
      </c>
      <c r="H410" s="33" t="s">
        <v>205</v>
      </c>
      <c r="I410" s="33" t="s">
        <v>206</v>
      </c>
      <c r="J410" s="33">
        <v>21.280809999999999</v>
      </c>
      <c r="Q410" s="33" t="s">
        <v>207</v>
      </c>
      <c r="R410" s="33">
        <v>2023</v>
      </c>
    </row>
    <row r="411" spans="1:18" ht="96.6" hidden="1" x14ac:dyDescent="0.25">
      <c r="A411" s="33" t="s">
        <v>118</v>
      </c>
      <c r="B411" s="33" t="s">
        <v>73</v>
      </c>
      <c r="C411" s="33" t="s">
        <v>202</v>
      </c>
      <c r="D411" s="33" t="s">
        <v>7</v>
      </c>
      <c r="E411" s="33" t="s">
        <v>203</v>
      </c>
      <c r="F411" s="33" t="s">
        <v>26</v>
      </c>
      <c r="G411" s="33" t="s">
        <v>252</v>
      </c>
      <c r="H411" s="33" t="s">
        <v>205</v>
      </c>
      <c r="I411" s="33" t="s">
        <v>206</v>
      </c>
      <c r="J411" s="33">
        <v>21.280809999999999</v>
      </c>
      <c r="Q411" s="33" t="s">
        <v>207</v>
      </c>
      <c r="R411" s="33">
        <v>2023</v>
      </c>
    </row>
    <row r="412" spans="1:18" ht="96.6" hidden="1" x14ac:dyDescent="0.25">
      <c r="A412" s="33" t="s">
        <v>118</v>
      </c>
      <c r="B412" s="33" t="s">
        <v>74</v>
      </c>
      <c r="C412" s="33" t="s">
        <v>202</v>
      </c>
      <c r="D412" s="33" t="s">
        <v>7</v>
      </c>
      <c r="E412" s="33" t="s">
        <v>203</v>
      </c>
      <c r="F412" s="33" t="s">
        <v>26</v>
      </c>
      <c r="G412" s="33" t="s">
        <v>252</v>
      </c>
      <c r="H412" s="33" t="s">
        <v>205</v>
      </c>
      <c r="I412" s="33" t="s">
        <v>206</v>
      </c>
      <c r="J412" s="33">
        <v>21.280809999999999</v>
      </c>
      <c r="Q412" s="33" t="s">
        <v>207</v>
      </c>
      <c r="R412" s="33">
        <v>2023</v>
      </c>
    </row>
    <row r="413" spans="1:18" ht="96.6" hidden="1" x14ac:dyDescent="0.25">
      <c r="A413" s="33" t="s">
        <v>118</v>
      </c>
      <c r="B413" s="33" t="s">
        <v>75</v>
      </c>
      <c r="C413" s="33" t="s">
        <v>202</v>
      </c>
      <c r="D413" s="33" t="s">
        <v>7</v>
      </c>
      <c r="E413" s="33" t="s">
        <v>203</v>
      </c>
      <c r="F413" s="33" t="s">
        <v>26</v>
      </c>
      <c r="G413" s="33" t="s">
        <v>252</v>
      </c>
      <c r="H413" s="33" t="s">
        <v>205</v>
      </c>
      <c r="I413" s="33" t="s">
        <v>206</v>
      </c>
      <c r="J413" s="33">
        <v>21.280809999999999</v>
      </c>
      <c r="Q413" s="33" t="s">
        <v>207</v>
      </c>
      <c r="R413" s="33">
        <v>2023</v>
      </c>
    </row>
    <row r="414" spans="1:18" ht="96.6" hidden="1" x14ac:dyDescent="0.25">
      <c r="A414" s="33" t="s">
        <v>118</v>
      </c>
      <c r="B414" s="33" t="s">
        <v>76</v>
      </c>
      <c r="C414" s="33" t="s">
        <v>202</v>
      </c>
      <c r="D414" s="33" t="s">
        <v>7</v>
      </c>
      <c r="E414" s="33" t="s">
        <v>203</v>
      </c>
      <c r="F414" s="33" t="s">
        <v>26</v>
      </c>
      <c r="G414" s="33" t="s">
        <v>252</v>
      </c>
      <c r="H414" s="33" t="s">
        <v>205</v>
      </c>
      <c r="I414" s="33" t="s">
        <v>206</v>
      </c>
      <c r="J414" s="33">
        <v>21.280809999999999</v>
      </c>
      <c r="Q414" s="33" t="s">
        <v>207</v>
      </c>
      <c r="R414" s="33">
        <v>2023</v>
      </c>
    </row>
    <row r="415" spans="1:18" hidden="1" x14ac:dyDescent="0.25">
      <c r="A415" s="33" t="s">
        <v>108</v>
      </c>
      <c r="B415" s="33" t="s">
        <v>55</v>
      </c>
      <c r="C415" s="33" t="s">
        <v>208</v>
      </c>
      <c r="D415" s="33" t="s">
        <v>7</v>
      </c>
      <c r="E415" s="33" t="s">
        <v>203</v>
      </c>
      <c r="F415" s="33" t="s">
        <v>27</v>
      </c>
      <c r="G415" s="33" t="s">
        <v>252</v>
      </c>
      <c r="H415" s="33" t="s">
        <v>209</v>
      </c>
      <c r="I415" s="33" t="s">
        <v>209</v>
      </c>
      <c r="J415" s="33">
        <v>520.3347</v>
      </c>
      <c r="R415" s="33" t="s">
        <v>208</v>
      </c>
    </row>
    <row r="416" spans="1:18" hidden="1" x14ac:dyDescent="0.25">
      <c r="A416" s="33" t="s">
        <v>108</v>
      </c>
      <c r="B416" s="33" t="s">
        <v>61</v>
      </c>
      <c r="C416" s="33" t="s">
        <v>208</v>
      </c>
      <c r="D416" s="33" t="s">
        <v>7</v>
      </c>
      <c r="E416" s="33" t="s">
        <v>203</v>
      </c>
      <c r="F416" s="33" t="s">
        <v>27</v>
      </c>
      <c r="G416" s="33" t="s">
        <v>252</v>
      </c>
      <c r="H416" s="33" t="s">
        <v>209</v>
      </c>
      <c r="I416" s="33" t="s">
        <v>209</v>
      </c>
      <c r="J416" s="33">
        <v>520.3347</v>
      </c>
      <c r="R416" s="33" t="s">
        <v>208</v>
      </c>
    </row>
    <row r="417" spans="1:18" hidden="1" x14ac:dyDescent="0.25">
      <c r="A417" s="33" t="s">
        <v>157</v>
      </c>
      <c r="B417" s="33" t="s">
        <v>72</v>
      </c>
      <c r="C417" s="33" t="s">
        <v>208</v>
      </c>
      <c r="D417" s="33" t="s">
        <v>7</v>
      </c>
      <c r="E417" s="33" t="s">
        <v>203</v>
      </c>
      <c r="F417" s="33" t="s">
        <v>27</v>
      </c>
      <c r="G417" s="33" t="s">
        <v>252</v>
      </c>
      <c r="H417" s="33" t="s">
        <v>209</v>
      </c>
      <c r="I417" s="33" t="s">
        <v>209</v>
      </c>
      <c r="J417" s="33">
        <v>520.3347</v>
      </c>
      <c r="R417" s="33" t="s">
        <v>208</v>
      </c>
    </row>
    <row r="418" spans="1:18" hidden="1" x14ac:dyDescent="0.25">
      <c r="A418" s="33" t="s">
        <v>123</v>
      </c>
      <c r="B418" s="33" t="s">
        <v>59</v>
      </c>
      <c r="C418" s="33" t="s">
        <v>208</v>
      </c>
      <c r="D418" s="33" t="s">
        <v>7</v>
      </c>
      <c r="E418" s="33" t="s">
        <v>203</v>
      </c>
      <c r="F418" s="33" t="s">
        <v>27</v>
      </c>
      <c r="G418" s="33" t="s">
        <v>252</v>
      </c>
      <c r="H418" s="33" t="s">
        <v>209</v>
      </c>
      <c r="I418" s="33" t="s">
        <v>209</v>
      </c>
      <c r="J418" s="33">
        <v>520.3347</v>
      </c>
      <c r="R418" s="33" t="s">
        <v>208</v>
      </c>
    </row>
    <row r="419" spans="1:18" hidden="1" x14ac:dyDescent="0.25">
      <c r="A419" s="33" t="s">
        <v>123</v>
      </c>
      <c r="B419" s="33" t="s">
        <v>60</v>
      </c>
      <c r="C419" s="33" t="s">
        <v>208</v>
      </c>
      <c r="D419" s="33" t="s">
        <v>7</v>
      </c>
      <c r="E419" s="33" t="s">
        <v>203</v>
      </c>
      <c r="F419" s="33" t="s">
        <v>27</v>
      </c>
      <c r="G419" s="33" t="s">
        <v>252</v>
      </c>
      <c r="H419" s="33" t="s">
        <v>209</v>
      </c>
      <c r="I419" s="33" t="s">
        <v>209</v>
      </c>
      <c r="J419" s="33">
        <v>520.3347</v>
      </c>
      <c r="R419" s="33" t="s">
        <v>208</v>
      </c>
    </row>
    <row r="420" spans="1:18" hidden="1" x14ac:dyDescent="0.25">
      <c r="A420" s="33" t="s">
        <v>123</v>
      </c>
      <c r="B420" s="33" t="s">
        <v>63</v>
      </c>
      <c r="C420" s="33" t="s">
        <v>208</v>
      </c>
      <c r="D420" s="33" t="s">
        <v>7</v>
      </c>
      <c r="E420" s="33" t="s">
        <v>203</v>
      </c>
      <c r="F420" s="33" t="s">
        <v>27</v>
      </c>
      <c r="G420" s="33" t="s">
        <v>252</v>
      </c>
      <c r="H420" s="33" t="s">
        <v>209</v>
      </c>
      <c r="I420" s="33" t="s">
        <v>209</v>
      </c>
      <c r="J420" s="33">
        <v>520.3347</v>
      </c>
      <c r="R420" s="33" t="s">
        <v>208</v>
      </c>
    </row>
    <row r="421" spans="1:18" hidden="1" x14ac:dyDescent="0.25">
      <c r="A421" s="33" t="s">
        <v>123</v>
      </c>
      <c r="B421" s="33" t="s">
        <v>64</v>
      </c>
      <c r="C421" s="33" t="s">
        <v>208</v>
      </c>
      <c r="D421" s="33" t="s">
        <v>7</v>
      </c>
      <c r="E421" s="33" t="s">
        <v>203</v>
      </c>
      <c r="F421" s="33" t="s">
        <v>27</v>
      </c>
      <c r="G421" s="33" t="s">
        <v>252</v>
      </c>
      <c r="H421" s="33" t="s">
        <v>209</v>
      </c>
      <c r="I421" s="33" t="s">
        <v>209</v>
      </c>
      <c r="J421" s="33">
        <v>520.3347</v>
      </c>
      <c r="R421" s="33" t="s">
        <v>208</v>
      </c>
    </row>
    <row r="422" spans="1:18" hidden="1" x14ac:dyDescent="0.25">
      <c r="A422" s="33" t="s">
        <v>123</v>
      </c>
      <c r="B422" s="33" t="s">
        <v>66</v>
      </c>
      <c r="C422" s="33" t="s">
        <v>208</v>
      </c>
      <c r="D422" s="33" t="s">
        <v>7</v>
      </c>
      <c r="E422" s="33" t="s">
        <v>203</v>
      </c>
      <c r="F422" s="33" t="s">
        <v>27</v>
      </c>
      <c r="G422" s="33" t="s">
        <v>252</v>
      </c>
      <c r="H422" s="33" t="s">
        <v>209</v>
      </c>
      <c r="I422" s="33" t="s">
        <v>209</v>
      </c>
      <c r="J422" s="33">
        <v>520.3347</v>
      </c>
      <c r="R422" s="33" t="s">
        <v>208</v>
      </c>
    </row>
    <row r="423" spans="1:18" hidden="1" x14ac:dyDescent="0.25">
      <c r="A423" s="33" t="s">
        <v>123</v>
      </c>
      <c r="B423" s="33" t="s">
        <v>67</v>
      </c>
      <c r="C423" s="33" t="s">
        <v>208</v>
      </c>
      <c r="D423" s="33" t="s">
        <v>7</v>
      </c>
      <c r="E423" s="33" t="s">
        <v>203</v>
      </c>
      <c r="F423" s="33" t="s">
        <v>27</v>
      </c>
      <c r="G423" s="33" t="s">
        <v>252</v>
      </c>
      <c r="H423" s="33" t="s">
        <v>209</v>
      </c>
      <c r="I423" s="33" t="s">
        <v>209</v>
      </c>
      <c r="J423" s="33">
        <v>520.3347</v>
      </c>
      <c r="R423" s="33" t="s">
        <v>208</v>
      </c>
    </row>
    <row r="424" spans="1:18" hidden="1" x14ac:dyDescent="0.25">
      <c r="A424" s="33" t="s">
        <v>123</v>
      </c>
      <c r="B424" s="33" t="s">
        <v>68</v>
      </c>
      <c r="C424" s="33" t="s">
        <v>208</v>
      </c>
      <c r="D424" s="33" t="s">
        <v>7</v>
      </c>
      <c r="E424" s="33" t="s">
        <v>203</v>
      </c>
      <c r="F424" s="33" t="s">
        <v>27</v>
      </c>
      <c r="G424" s="33" t="s">
        <v>252</v>
      </c>
      <c r="H424" s="33" t="s">
        <v>209</v>
      </c>
      <c r="I424" s="33" t="s">
        <v>209</v>
      </c>
      <c r="J424" s="33">
        <v>520.3347</v>
      </c>
      <c r="R424" s="33" t="s">
        <v>208</v>
      </c>
    </row>
    <row r="425" spans="1:18" hidden="1" x14ac:dyDescent="0.25">
      <c r="A425" s="33" t="s">
        <v>123</v>
      </c>
      <c r="B425" s="33" t="s">
        <v>77</v>
      </c>
      <c r="C425" s="33" t="s">
        <v>208</v>
      </c>
      <c r="D425" s="33" t="s">
        <v>7</v>
      </c>
      <c r="E425" s="33" t="s">
        <v>203</v>
      </c>
      <c r="F425" s="33" t="s">
        <v>27</v>
      </c>
      <c r="G425" s="33" t="s">
        <v>252</v>
      </c>
      <c r="H425" s="33" t="s">
        <v>209</v>
      </c>
      <c r="I425" s="33" t="s">
        <v>209</v>
      </c>
      <c r="J425" s="33">
        <v>520.3347</v>
      </c>
      <c r="R425" s="33" t="s">
        <v>208</v>
      </c>
    </row>
    <row r="426" spans="1:18" hidden="1" x14ac:dyDescent="0.25">
      <c r="A426" s="33" t="s">
        <v>113</v>
      </c>
      <c r="B426" s="33" t="s">
        <v>56</v>
      </c>
      <c r="C426" s="33" t="s">
        <v>208</v>
      </c>
      <c r="D426" s="33" t="s">
        <v>7</v>
      </c>
      <c r="E426" s="33" t="s">
        <v>203</v>
      </c>
      <c r="F426" s="33" t="s">
        <v>27</v>
      </c>
      <c r="G426" s="33" t="s">
        <v>252</v>
      </c>
      <c r="H426" s="33" t="s">
        <v>209</v>
      </c>
      <c r="I426" s="33" t="s">
        <v>209</v>
      </c>
      <c r="J426" s="33">
        <v>520.3347</v>
      </c>
      <c r="R426" s="33" t="s">
        <v>208</v>
      </c>
    </row>
    <row r="427" spans="1:18" hidden="1" x14ac:dyDescent="0.25">
      <c r="A427" s="33" t="s">
        <v>113</v>
      </c>
      <c r="B427" s="33" t="s">
        <v>62</v>
      </c>
      <c r="C427" s="33" t="s">
        <v>208</v>
      </c>
      <c r="D427" s="33" t="s">
        <v>7</v>
      </c>
      <c r="E427" s="33" t="s">
        <v>203</v>
      </c>
      <c r="F427" s="33" t="s">
        <v>27</v>
      </c>
      <c r="G427" s="33" t="s">
        <v>252</v>
      </c>
      <c r="H427" s="33" t="s">
        <v>209</v>
      </c>
      <c r="I427" s="33" t="s">
        <v>209</v>
      </c>
      <c r="J427" s="33">
        <v>520.3347</v>
      </c>
      <c r="R427" s="33" t="s">
        <v>208</v>
      </c>
    </row>
    <row r="428" spans="1:18" hidden="1" x14ac:dyDescent="0.25">
      <c r="A428" s="33" t="s">
        <v>113</v>
      </c>
      <c r="B428" s="33" t="s">
        <v>65</v>
      </c>
      <c r="C428" s="33" t="s">
        <v>208</v>
      </c>
      <c r="D428" s="33" t="s">
        <v>7</v>
      </c>
      <c r="E428" s="33" t="s">
        <v>203</v>
      </c>
      <c r="F428" s="33" t="s">
        <v>27</v>
      </c>
      <c r="G428" s="33" t="s">
        <v>252</v>
      </c>
      <c r="H428" s="33" t="s">
        <v>209</v>
      </c>
      <c r="I428" s="33" t="s">
        <v>209</v>
      </c>
      <c r="J428" s="33">
        <v>520.3347</v>
      </c>
      <c r="R428" s="33" t="s">
        <v>208</v>
      </c>
    </row>
    <row r="429" spans="1:18" hidden="1" x14ac:dyDescent="0.25">
      <c r="A429" s="33" t="s">
        <v>172</v>
      </c>
      <c r="B429" s="33" t="s">
        <v>78</v>
      </c>
      <c r="C429" s="33" t="s">
        <v>208</v>
      </c>
      <c r="D429" s="33" t="s">
        <v>7</v>
      </c>
      <c r="E429" s="33" t="s">
        <v>203</v>
      </c>
      <c r="F429" s="33" t="s">
        <v>27</v>
      </c>
      <c r="G429" s="33" t="s">
        <v>252</v>
      </c>
      <c r="H429" s="33" t="s">
        <v>209</v>
      </c>
      <c r="I429" s="33" t="s">
        <v>209</v>
      </c>
      <c r="J429" s="33">
        <v>520.3347</v>
      </c>
      <c r="R429" s="33" t="s">
        <v>208</v>
      </c>
    </row>
    <row r="430" spans="1:18" hidden="1" x14ac:dyDescent="0.25">
      <c r="A430" s="33" t="s">
        <v>118</v>
      </c>
      <c r="B430" s="33" t="s">
        <v>57</v>
      </c>
      <c r="C430" s="33" t="s">
        <v>208</v>
      </c>
      <c r="D430" s="33" t="s">
        <v>7</v>
      </c>
      <c r="E430" s="33" t="s">
        <v>203</v>
      </c>
      <c r="F430" s="33" t="s">
        <v>27</v>
      </c>
      <c r="G430" s="33" t="s">
        <v>252</v>
      </c>
      <c r="H430" s="33" t="s">
        <v>209</v>
      </c>
      <c r="I430" s="33" t="s">
        <v>209</v>
      </c>
      <c r="J430" s="33">
        <v>520.3347</v>
      </c>
      <c r="R430" s="33" t="s">
        <v>208</v>
      </c>
    </row>
    <row r="431" spans="1:18" hidden="1" x14ac:dyDescent="0.25">
      <c r="A431" s="33" t="s">
        <v>118</v>
      </c>
      <c r="B431" s="33" t="s">
        <v>58</v>
      </c>
      <c r="C431" s="33" t="s">
        <v>208</v>
      </c>
      <c r="D431" s="33" t="s">
        <v>7</v>
      </c>
      <c r="E431" s="33" t="s">
        <v>203</v>
      </c>
      <c r="F431" s="33" t="s">
        <v>27</v>
      </c>
      <c r="G431" s="33" t="s">
        <v>252</v>
      </c>
      <c r="H431" s="33" t="s">
        <v>209</v>
      </c>
      <c r="I431" s="33" t="s">
        <v>209</v>
      </c>
      <c r="J431" s="33">
        <v>520.3347</v>
      </c>
      <c r="R431" s="33" t="s">
        <v>208</v>
      </c>
    </row>
    <row r="432" spans="1:18" hidden="1" x14ac:dyDescent="0.25">
      <c r="A432" s="33" t="s">
        <v>118</v>
      </c>
      <c r="B432" s="33" t="s">
        <v>69</v>
      </c>
      <c r="C432" s="33" t="s">
        <v>208</v>
      </c>
      <c r="D432" s="33" t="s">
        <v>7</v>
      </c>
      <c r="E432" s="33" t="s">
        <v>203</v>
      </c>
      <c r="F432" s="33" t="s">
        <v>27</v>
      </c>
      <c r="G432" s="33" t="s">
        <v>252</v>
      </c>
      <c r="H432" s="33" t="s">
        <v>209</v>
      </c>
      <c r="I432" s="33" t="s">
        <v>209</v>
      </c>
      <c r="J432" s="33">
        <v>520.3347</v>
      </c>
      <c r="R432" s="33" t="s">
        <v>208</v>
      </c>
    </row>
    <row r="433" spans="1:18" hidden="1" x14ac:dyDescent="0.25">
      <c r="A433" s="33" t="s">
        <v>118</v>
      </c>
      <c r="B433" s="33" t="s">
        <v>70</v>
      </c>
      <c r="C433" s="33" t="s">
        <v>208</v>
      </c>
      <c r="D433" s="33" t="s">
        <v>7</v>
      </c>
      <c r="E433" s="33" t="s">
        <v>203</v>
      </c>
      <c r="F433" s="33" t="s">
        <v>27</v>
      </c>
      <c r="G433" s="33" t="s">
        <v>252</v>
      </c>
      <c r="H433" s="33" t="s">
        <v>209</v>
      </c>
      <c r="I433" s="33" t="s">
        <v>209</v>
      </c>
      <c r="J433" s="33">
        <v>520.3347</v>
      </c>
      <c r="R433" s="33" t="s">
        <v>208</v>
      </c>
    </row>
    <row r="434" spans="1:18" hidden="1" x14ac:dyDescent="0.25">
      <c r="A434" s="33" t="s">
        <v>118</v>
      </c>
      <c r="B434" s="33" t="s">
        <v>71</v>
      </c>
      <c r="C434" s="33" t="s">
        <v>208</v>
      </c>
      <c r="D434" s="33" t="s">
        <v>7</v>
      </c>
      <c r="E434" s="33" t="s">
        <v>203</v>
      </c>
      <c r="F434" s="33" t="s">
        <v>27</v>
      </c>
      <c r="G434" s="33" t="s">
        <v>252</v>
      </c>
      <c r="H434" s="33" t="s">
        <v>209</v>
      </c>
      <c r="I434" s="33" t="s">
        <v>209</v>
      </c>
      <c r="J434" s="33">
        <v>520.3347</v>
      </c>
      <c r="R434" s="33" t="s">
        <v>208</v>
      </c>
    </row>
    <row r="435" spans="1:18" hidden="1" x14ac:dyDescent="0.25">
      <c r="A435" s="33" t="s">
        <v>118</v>
      </c>
      <c r="B435" s="33" t="s">
        <v>73</v>
      </c>
      <c r="C435" s="33" t="s">
        <v>208</v>
      </c>
      <c r="D435" s="33" t="s">
        <v>7</v>
      </c>
      <c r="E435" s="33" t="s">
        <v>203</v>
      </c>
      <c r="F435" s="33" t="s">
        <v>27</v>
      </c>
      <c r="G435" s="33" t="s">
        <v>252</v>
      </c>
      <c r="H435" s="33" t="s">
        <v>209</v>
      </c>
      <c r="I435" s="33" t="s">
        <v>209</v>
      </c>
      <c r="J435" s="33">
        <v>520.3347</v>
      </c>
      <c r="R435" s="33" t="s">
        <v>208</v>
      </c>
    </row>
    <row r="436" spans="1:18" hidden="1" x14ac:dyDescent="0.25">
      <c r="A436" s="33" t="s">
        <v>118</v>
      </c>
      <c r="B436" s="33" t="s">
        <v>74</v>
      </c>
      <c r="C436" s="33" t="s">
        <v>208</v>
      </c>
      <c r="D436" s="33" t="s">
        <v>7</v>
      </c>
      <c r="E436" s="33" t="s">
        <v>203</v>
      </c>
      <c r="F436" s="33" t="s">
        <v>27</v>
      </c>
      <c r="G436" s="33" t="s">
        <v>252</v>
      </c>
      <c r="H436" s="33" t="s">
        <v>209</v>
      </c>
      <c r="I436" s="33" t="s">
        <v>209</v>
      </c>
      <c r="J436" s="33">
        <v>520.3347</v>
      </c>
      <c r="R436" s="33" t="s">
        <v>208</v>
      </c>
    </row>
    <row r="437" spans="1:18" hidden="1" x14ac:dyDescent="0.25">
      <c r="A437" s="33" t="s">
        <v>118</v>
      </c>
      <c r="B437" s="33" t="s">
        <v>75</v>
      </c>
      <c r="C437" s="33" t="s">
        <v>208</v>
      </c>
      <c r="D437" s="33" t="s">
        <v>7</v>
      </c>
      <c r="E437" s="33" t="s">
        <v>203</v>
      </c>
      <c r="F437" s="33" t="s">
        <v>27</v>
      </c>
      <c r="G437" s="33" t="s">
        <v>252</v>
      </c>
      <c r="H437" s="33" t="s">
        <v>209</v>
      </c>
      <c r="I437" s="33" t="s">
        <v>209</v>
      </c>
      <c r="J437" s="33">
        <v>520.3347</v>
      </c>
      <c r="R437" s="33" t="s">
        <v>208</v>
      </c>
    </row>
    <row r="438" spans="1:18" hidden="1" x14ac:dyDescent="0.25">
      <c r="A438" s="33" t="s">
        <v>118</v>
      </c>
      <c r="B438" s="33" t="s">
        <v>76</v>
      </c>
      <c r="C438" s="33" t="s">
        <v>208</v>
      </c>
      <c r="D438" s="33" t="s">
        <v>7</v>
      </c>
      <c r="E438" s="33" t="s">
        <v>203</v>
      </c>
      <c r="F438" s="33" t="s">
        <v>27</v>
      </c>
      <c r="G438" s="33" t="s">
        <v>252</v>
      </c>
      <c r="H438" s="33" t="s">
        <v>209</v>
      </c>
      <c r="I438" s="33" t="s">
        <v>209</v>
      </c>
      <c r="J438" s="33">
        <v>520.3347</v>
      </c>
      <c r="R438" s="33" t="s">
        <v>208</v>
      </c>
    </row>
    <row r="439" spans="1:18" ht="96.6" hidden="1" x14ac:dyDescent="0.25">
      <c r="A439" s="33" t="s">
        <v>108</v>
      </c>
      <c r="B439" s="33" t="s">
        <v>55</v>
      </c>
      <c r="C439" s="33" t="s">
        <v>202</v>
      </c>
      <c r="D439" s="33" t="s">
        <v>7</v>
      </c>
      <c r="E439" s="33" t="s">
        <v>203</v>
      </c>
      <c r="F439" s="33" t="s">
        <v>28</v>
      </c>
      <c r="G439" s="33" t="s">
        <v>252</v>
      </c>
      <c r="H439" s="33" t="s">
        <v>205</v>
      </c>
      <c r="I439" s="33" t="s">
        <v>206</v>
      </c>
      <c r="J439" s="33">
        <v>21.280809999999999</v>
      </c>
      <c r="Q439" s="33" t="s">
        <v>207</v>
      </c>
      <c r="R439" s="33">
        <v>2023</v>
      </c>
    </row>
    <row r="440" spans="1:18" ht="96.6" hidden="1" x14ac:dyDescent="0.25">
      <c r="A440" s="33" t="s">
        <v>108</v>
      </c>
      <c r="B440" s="33" t="s">
        <v>61</v>
      </c>
      <c r="C440" s="33" t="s">
        <v>202</v>
      </c>
      <c r="D440" s="33" t="s">
        <v>7</v>
      </c>
      <c r="E440" s="33" t="s">
        <v>203</v>
      </c>
      <c r="F440" s="33" t="s">
        <v>28</v>
      </c>
      <c r="G440" s="33" t="s">
        <v>252</v>
      </c>
      <c r="H440" s="33" t="s">
        <v>205</v>
      </c>
      <c r="I440" s="33" t="s">
        <v>206</v>
      </c>
      <c r="J440" s="33">
        <v>21.280809999999999</v>
      </c>
      <c r="Q440" s="33" t="s">
        <v>207</v>
      </c>
      <c r="R440" s="33">
        <v>2023</v>
      </c>
    </row>
    <row r="441" spans="1:18" ht="96.6" hidden="1" x14ac:dyDescent="0.25">
      <c r="A441" s="33" t="s">
        <v>157</v>
      </c>
      <c r="B441" s="33" t="s">
        <v>72</v>
      </c>
      <c r="C441" s="33" t="s">
        <v>202</v>
      </c>
      <c r="D441" s="33" t="s">
        <v>7</v>
      </c>
      <c r="E441" s="33" t="s">
        <v>203</v>
      </c>
      <c r="F441" s="33" t="s">
        <v>28</v>
      </c>
      <c r="G441" s="33" t="s">
        <v>252</v>
      </c>
      <c r="H441" s="33" t="s">
        <v>205</v>
      </c>
      <c r="I441" s="33" t="s">
        <v>206</v>
      </c>
      <c r="J441" s="33">
        <v>21.280809999999999</v>
      </c>
      <c r="Q441" s="33" t="s">
        <v>207</v>
      </c>
      <c r="R441" s="33">
        <v>2023</v>
      </c>
    </row>
    <row r="442" spans="1:18" ht="96.6" hidden="1" x14ac:dyDescent="0.25">
      <c r="A442" s="33" t="s">
        <v>123</v>
      </c>
      <c r="B442" s="33" t="s">
        <v>59</v>
      </c>
      <c r="C442" s="33" t="s">
        <v>202</v>
      </c>
      <c r="D442" s="33" t="s">
        <v>7</v>
      </c>
      <c r="E442" s="33" t="s">
        <v>203</v>
      </c>
      <c r="F442" s="33" t="s">
        <v>28</v>
      </c>
      <c r="G442" s="33" t="s">
        <v>252</v>
      </c>
      <c r="H442" s="33" t="s">
        <v>205</v>
      </c>
      <c r="I442" s="33" t="s">
        <v>206</v>
      </c>
      <c r="J442" s="33">
        <v>21.280809999999999</v>
      </c>
      <c r="Q442" s="33" t="s">
        <v>207</v>
      </c>
      <c r="R442" s="33">
        <v>2023</v>
      </c>
    </row>
    <row r="443" spans="1:18" ht="96.6" hidden="1" x14ac:dyDescent="0.25">
      <c r="A443" s="33" t="s">
        <v>123</v>
      </c>
      <c r="B443" s="33" t="s">
        <v>60</v>
      </c>
      <c r="C443" s="33" t="s">
        <v>202</v>
      </c>
      <c r="D443" s="33" t="s">
        <v>7</v>
      </c>
      <c r="E443" s="33" t="s">
        <v>203</v>
      </c>
      <c r="F443" s="33" t="s">
        <v>28</v>
      </c>
      <c r="G443" s="33" t="s">
        <v>252</v>
      </c>
      <c r="H443" s="33" t="s">
        <v>205</v>
      </c>
      <c r="I443" s="33" t="s">
        <v>206</v>
      </c>
      <c r="J443" s="33">
        <v>21.280809999999999</v>
      </c>
      <c r="Q443" s="33" t="s">
        <v>207</v>
      </c>
      <c r="R443" s="33">
        <v>2023</v>
      </c>
    </row>
    <row r="444" spans="1:18" ht="96.6" hidden="1" x14ac:dyDescent="0.25">
      <c r="A444" s="33" t="s">
        <v>123</v>
      </c>
      <c r="B444" s="33" t="s">
        <v>63</v>
      </c>
      <c r="C444" s="33" t="s">
        <v>202</v>
      </c>
      <c r="D444" s="33" t="s">
        <v>7</v>
      </c>
      <c r="E444" s="33" t="s">
        <v>203</v>
      </c>
      <c r="F444" s="33" t="s">
        <v>28</v>
      </c>
      <c r="G444" s="33" t="s">
        <v>252</v>
      </c>
      <c r="H444" s="33" t="s">
        <v>205</v>
      </c>
      <c r="I444" s="33" t="s">
        <v>206</v>
      </c>
      <c r="J444" s="33">
        <v>21.280809999999999</v>
      </c>
      <c r="Q444" s="33" t="s">
        <v>207</v>
      </c>
      <c r="R444" s="33">
        <v>2023</v>
      </c>
    </row>
    <row r="445" spans="1:18" ht="96.6" hidden="1" x14ac:dyDescent="0.25">
      <c r="A445" s="33" t="s">
        <v>123</v>
      </c>
      <c r="B445" s="33" t="s">
        <v>64</v>
      </c>
      <c r="C445" s="33" t="s">
        <v>202</v>
      </c>
      <c r="D445" s="33" t="s">
        <v>7</v>
      </c>
      <c r="E445" s="33" t="s">
        <v>203</v>
      </c>
      <c r="F445" s="33" t="s">
        <v>28</v>
      </c>
      <c r="G445" s="33" t="s">
        <v>252</v>
      </c>
      <c r="H445" s="33" t="s">
        <v>205</v>
      </c>
      <c r="I445" s="33" t="s">
        <v>206</v>
      </c>
      <c r="J445" s="33">
        <v>21.280809999999999</v>
      </c>
      <c r="Q445" s="33" t="s">
        <v>207</v>
      </c>
      <c r="R445" s="33">
        <v>2023</v>
      </c>
    </row>
    <row r="446" spans="1:18" ht="96.6" hidden="1" x14ac:dyDescent="0.25">
      <c r="A446" s="33" t="s">
        <v>123</v>
      </c>
      <c r="B446" s="33" t="s">
        <v>66</v>
      </c>
      <c r="C446" s="33" t="s">
        <v>202</v>
      </c>
      <c r="D446" s="33" t="s">
        <v>7</v>
      </c>
      <c r="E446" s="33" t="s">
        <v>203</v>
      </c>
      <c r="F446" s="33" t="s">
        <v>28</v>
      </c>
      <c r="G446" s="33" t="s">
        <v>252</v>
      </c>
      <c r="H446" s="33" t="s">
        <v>205</v>
      </c>
      <c r="I446" s="33" t="s">
        <v>206</v>
      </c>
      <c r="J446" s="33">
        <v>21.280809999999999</v>
      </c>
      <c r="Q446" s="33" t="s">
        <v>207</v>
      </c>
      <c r="R446" s="33">
        <v>2023</v>
      </c>
    </row>
    <row r="447" spans="1:18" ht="96.6" hidden="1" x14ac:dyDescent="0.25">
      <c r="A447" s="33" t="s">
        <v>123</v>
      </c>
      <c r="B447" s="33" t="s">
        <v>67</v>
      </c>
      <c r="C447" s="33" t="s">
        <v>202</v>
      </c>
      <c r="D447" s="33" t="s">
        <v>7</v>
      </c>
      <c r="E447" s="33" t="s">
        <v>203</v>
      </c>
      <c r="F447" s="33" t="s">
        <v>28</v>
      </c>
      <c r="G447" s="33" t="s">
        <v>252</v>
      </c>
      <c r="H447" s="33" t="s">
        <v>205</v>
      </c>
      <c r="I447" s="33" t="s">
        <v>206</v>
      </c>
      <c r="J447" s="33">
        <v>21.280809999999999</v>
      </c>
      <c r="Q447" s="33" t="s">
        <v>207</v>
      </c>
      <c r="R447" s="33">
        <v>2023</v>
      </c>
    </row>
    <row r="448" spans="1:18" ht="96.6" hidden="1" x14ac:dyDescent="0.25">
      <c r="A448" s="33" t="s">
        <v>123</v>
      </c>
      <c r="B448" s="33" t="s">
        <v>68</v>
      </c>
      <c r="C448" s="33" t="s">
        <v>202</v>
      </c>
      <c r="D448" s="33" t="s">
        <v>7</v>
      </c>
      <c r="E448" s="33" t="s">
        <v>203</v>
      </c>
      <c r="F448" s="33" t="s">
        <v>28</v>
      </c>
      <c r="G448" s="33" t="s">
        <v>252</v>
      </c>
      <c r="H448" s="33" t="s">
        <v>205</v>
      </c>
      <c r="I448" s="33" t="s">
        <v>206</v>
      </c>
      <c r="J448" s="33">
        <v>21.280809999999999</v>
      </c>
      <c r="Q448" s="33" t="s">
        <v>207</v>
      </c>
      <c r="R448" s="33">
        <v>2023</v>
      </c>
    </row>
    <row r="449" spans="1:18" ht="96.6" hidden="1" x14ac:dyDescent="0.25">
      <c r="A449" s="33" t="s">
        <v>123</v>
      </c>
      <c r="B449" s="33" t="s">
        <v>77</v>
      </c>
      <c r="C449" s="33" t="s">
        <v>202</v>
      </c>
      <c r="D449" s="33" t="s">
        <v>7</v>
      </c>
      <c r="E449" s="33" t="s">
        <v>203</v>
      </c>
      <c r="F449" s="33" t="s">
        <v>28</v>
      </c>
      <c r="G449" s="33" t="s">
        <v>252</v>
      </c>
      <c r="H449" s="33" t="s">
        <v>205</v>
      </c>
      <c r="I449" s="33" t="s">
        <v>206</v>
      </c>
      <c r="J449" s="33">
        <v>21.280809999999999</v>
      </c>
      <c r="Q449" s="33" t="s">
        <v>207</v>
      </c>
      <c r="R449" s="33">
        <v>2023</v>
      </c>
    </row>
    <row r="450" spans="1:18" ht="96.6" hidden="1" x14ac:dyDescent="0.25">
      <c r="A450" s="33" t="s">
        <v>113</v>
      </c>
      <c r="B450" s="33" t="s">
        <v>56</v>
      </c>
      <c r="C450" s="33" t="s">
        <v>202</v>
      </c>
      <c r="D450" s="33" t="s">
        <v>7</v>
      </c>
      <c r="E450" s="33" t="s">
        <v>203</v>
      </c>
      <c r="F450" s="33" t="s">
        <v>28</v>
      </c>
      <c r="G450" s="33" t="s">
        <v>252</v>
      </c>
      <c r="H450" s="33" t="s">
        <v>205</v>
      </c>
      <c r="I450" s="33" t="s">
        <v>206</v>
      </c>
      <c r="J450" s="33">
        <v>21.280809999999999</v>
      </c>
      <c r="Q450" s="33" t="s">
        <v>207</v>
      </c>
      <c r="R450" s="33">
        <v>2023</v>
      </c>
    </row>
    <row r="451" spans="1:18" ht="96.6" hidden="1" x14ac:dyDescent="0.25">
      <c r="A451" s="33" t="s">
        <v>113</v>
      </c>
      <c r="B451" s="33" t="s">
        <v>62</v>
      </c>
      <c r="C451" s="33" t="s">
        <v>202</v>
      </c>
      <c r="D451" s="33" t="s">
        <v>7</v>
      </c>
      <c r="E451" s="33" t="s">
        <v>203</v>
      </c>
      <c r="F451" s="33" t="s">
        <v>28</v>
      </c>
      <c r="G451" s="33" t="s">
        <v>252</v>
      </c>
      <c r="H451" s="33" t="s">
        <v>205</v>
      </c>
      <c r="I451" s="33" t="s">
        <v>206</v>
      </c>
      <c r="J451" s="33">
        <v>21.280809999999999</v>
      </c>
      <c r="Q451" s="33" t="s">
        <v>207</v>
      </c>
      <c r="R451" s="33">
        <v>2023</v>
      </c>
    </row>
    <row r="452" spans="1:18" ht="96.6" hidden="1" x14ac:dyDescent="0.25">
      <c r="A452" s="33" t="s">
        <v>113</v>
      </c>
      <c r="B452" s="33" t="s">
        <v>65</v>
      </c>
      <c r="C452" s="33" t="s">
        <v>202</v>
      </c>
      <c r="D452" s="33" t="s">
        <v>7</v>
      </c>
      <c r="E452" s="33" t="s">
        <v>203</v>
      </c>
      <c r="F452" s="33" t="s">
        <v>28</v>
      </c>
      <c r="G452" s="33" t="s">
        <v>252</v>
      </c>
      <c r="H452" s="33" t="s">
        <v>205</v>
      </c>
      <c r="I452" s="33" t="s">
        <v>206</v>
      </c>
      <c r="J452" s="33">
        <v>21.280809999999999</v>
      </c>
      <c r="Q452" s="33" t="s">
        <v>207</v>
      </c>
      <c r="R452" s="33">
        <v>2023</v>
      </c>
    </row>
    <row r="453" spans="1:18" ht="96.6" hidden="1" x14ac:dyDescent="0.25">
      <c r="A453" s="33" t="s">
        <v>172</v>
      </c>
      <c r="B453" s="33" t="s">
        <v>78</v>
      </c>
      <c r="C453" s="33" t="s">
        <v>202</v>
      </c>
      <c r="D453" s="33" t="s">
        <v>7</v>
      </c>
      <c r="E453" s="33" t="s">
        <v>203</v>
      </c>
      <c r="F453" s="33" t="s">
        <v>28</v>
      </c>
      <c r="G453" s="33" t="s">
        <v>252</v>
      </c>
      <c r="H453" s="33" t="s">
        <v>205</v>
      </c>
      <c r="I453" s="33" t="s">
        <v>206</v>
      </c>
      <c r="J453" s="33">
        <v>21.280809999999999</v>
      </c>
      <c r="Q453" s="33" t="s">
        <v>207</v>
      </c>
      <c r="R453" s="33">
        <v>2023</v>
      </c>
    </row>
    <row r="454" spans="1:18" ht="96.6" hidden="1" x14ac:dyDescent="0.25">
      <c r="A454" s="33" t="s">
        <v>118</v>
      </c>
      <c r="B454" s="33" t="s">
        <v>57</v>
      </c>
      <c r="C454" s="33" t="s">
        <v>202</v>
      </c>
      <c r="D454" s="33" t="s">
        <v>7</v>
      </c>
      <c r="E454" s="33" t="s">
        <v>203</v>
      </c>
      <c r="F454" s="33" t="s">
        <v>28</v>
      </c>
      <c r="G454" s="33" t="s">
        <v>252</v>
      </c>
      <c r="H454" s="33" t="s">
        <v>205</v>
      </c>
      <c r="I454" s="33" t="s">
        <v>206</v>
      </c>
      <c r="J454" s="33">
        <v>21.280809999999999</v>
      </c>
      <c r="Q454" s="33" t="s">
        <v>207</v>
      </c>
      <c r="R454" s="33">
        <v>2023</v>
      </c>
    </row>
    <row r="455" spans="1:18" ht="96.6" hidden="1" x14ac:dyDescent="0.25">
      <c r="A455" s="33" t="s">
        <v>118</v>
      </c>
      <c r="B455" s="33" t="s">
        <v>58</v>
      </c>
      <c r="C455" s="33" t="s">
        <v>202</v>
      </c>
      <c r="D455" s="33" t="s">
        <v>7</v>
      </c>
      <c r="E455" s="33" t="s">
        <v>203</v>
      </c>
      <c r="F455" s="33" t="s">
        <v>28</v>
      </c>
      <c r="G455" s="33" t="s">
        <v>252</v>
      </c>
      <c r="H455" s="33" t="s">
        <v>205</v>
      </c>
      <c r="I455" s="33" t="s">
        <v>206</v>
      </c>
      <c r="J455" s="33">
        <v>21.280809999999999</v>
      </c>
      <c r="Q455" s="33" t="s">
        <v>207</v>
      </c>
      <c r="R455" s="33">
        <v>2023</v>
      </c>
    </row>
    <row r="456" spans="1:18" ht="96.6" hidden="1" x14ac:dyDescent="0.25">
      <c r="A456" s="33" t="s">
        <v>118</v>
      </c>
      <c r="B456" s="33" t="s">
        <v>69</v>
      </c>
      <c r="C456" s="33" t="s">
        <v>202</v>
      </c>
      <c r="D456" s="33" t="s">
        <v>7</v>
      </c>
      <c r="E456" s="33" t="s">
        <v>203</v>
      </c>
      <c r="F456" s="33" t="s">
        <v>28</v>
      </c>
      <c r="G456" s="33" t="s">
        <v>252</v>
      </c>
      <c r="H456" s="33" t="s">
        <v>205</v>
      </c>
      <c r="I456" s="33" t="s">
        <v>206</v>
      </c>
      <c r="J456" s="33">
        <v>21.280809999999999</v>
      </c>
      <c r="Q456" s="33" t="s">
        <v>207</v>
      </c>
      <c r="R456" s="33">
        <v>2023</v>
      </c>
    </row>
    <row r="457" spans="1:18" ht="96.6" hidden="1" x14ac:dyDescent="0.25">
      <c r="A457" s="33" t="s">
        <v>118</v>
      </c>
      <c r="B457" s="33" t="s">
        <v>70</v>
      </c>
      <c r="C457" s="33" t="s">
        <v>202</v>
      </c>
      <c r="D457" s="33" t="s">
        <v>7</v>
      </c>
      <c r="E457" s="33" t="s">
        <v>203</v>
      </c>
      <c r="F457" s="33" t="s">
        <v>28</v>
      </c>
      <c r="G457" s="33" t="s">
        <v>252</v>
      </c>
      <c r="H457" s="33" t="s">
        <v>205</v>
      </c>
      <c r="I457" s="33" t="s">
        <v>206</v>
      </c>
      <c r="J457" s="33">
        <v>21.280809999999999</v>
      </c>
      <c r="Q457" s="33" t="s">
        <v>207</v>
      </c>
      <c r="R457" s="33">
        <v>2023</v>
      </c>
    </row>
    <row r="458" spans="1:18" ht="96.6" hidden="1" x14ac:dyDescent="0.25">
      <c r="A458" s="33" t="s">
        <v>118</v>
      </c>
      <c r="B458" s="33" t="s">
        <v>71</v>
      </c>
      <c r="C458" s="33" t="s">
        <v>202</v>
      </c>
      <c r="D458" s="33" t="s">
        <v>7</v>
      </c>
      <c r="E458" s="33" t="s">
        <v>203</v>
      </c>
      <c r="F458" s="33" t="s">
        <v>28</v>
      </c>
      <c r="G458" s="33" t="s">
        <v>252</v>
      </c>
      <c r="H458" s="33" t="s">
        <v>205</v>
      </c>
      <c r="I458" s="33" t="s">
        <v>206</v>
      </c>
      <c r="J458" s="33">
        <v>21.280809999999999</v>
      </c>
      <c r="Q458" s="33" t="s">
        <v>207</v>
      </c>
      <c r="R458" s="33">
        <v>2023</v>
      </c>
    </row>
    <row r="459" spans="1:18" ht="96.6" hidden="1" x14ac:dyDescent="0.25">
      <c r="A459" s="33" t="s">
        <v>118</v>
      </c>
      <c r="B459" s="33" t="s">
        <v>73</v>
      </c>
      <c r="C459" s="33" t="s">
        <v>202</v>
      </c>
      <c r="D459" s="33" t="s">
        <v>7</v>
      </c>
      <c r="E459" s="33" t="s">
        <v>203</v>
      </c>
      <c r="F459" s="33" t="s">
        <v>28</v>
      </c>
      <c r="G459" s="33" t="s">
        <v>252</v>
      </c>
      <c r="H459" s="33" t="s">
        <v>205</v>
      </c>
      <c r="I459" s="33" t="s">
        <v>206</v>
      </c>
      <c r="J459" s="33">
        <v>21.280809999999999</v>
      </c>
      <c r="Q459" s="33" t="s">
        <v>207</v>
      </c>
      <c r="R459" s="33">
        <v>2023</v>
      </c>
    </row>
    <row r="460" spans="1:18" ht="96.6" hidden="1" x14ac:dyDescent="0.25">
      <c r="A460" s="33" t="s">
        <v>118</v>
      </c>
      <c r="B460" s="33" t="s">
        <v>74</v>
      </c>
      <c r="C460" s="33" t="s">
        <v>202</v>
      </c>
      <c r="D460" s="33" t="s">
        <v>7</v>
      </c>
      <c r="E460" s="33" t="s">
        <v>203</v>
      </c>
      <c r="F460" s="33" t="s">
        <v>28</v>
      </c>
      <c r="G460" s="33" t="s">
        <v>252</v>
      </c>
      <c r="H460" s="33" t="s">
        <v>205</v>
      </c>
      <c r="I460" s="33" t="s">
        <v>206</v>
      </c>
      <c r="J460" s="33">
        <v>21.280809999999999</v>
      </c>
      <c r="Q460" s="33" t="s">
        <v>207</v>
      </c>
      <c r="R460" s="33">
        <v>2023</v>
      </c>
    </row>
    <row r="461" spans="1:18" ht="96.6" hidden="1" x14ac:dyDescent="0.25">
      <c r="A461" s="33" t="s">
        <v>118</v>
      </c>
      <c r="B461" s="33" t="s">
        <v>75</v>
      </c>
      <c r="C461" s="33" t="s">
        <v>202</v>
      </c>
      <c r="D461" s="33" t="s">
        <v>7</v>
      </c>
      <c r="E461" s="33" t="s">
        <v>203</v>
      </c>
      <c r="F461" s="33" t="s">
        <v>28</v>
      </c>
      <c r="G461" s="33" t="s">
        <v>252</v>
      </c>
      <c r="H461" s="33" t="s">
        <v>205</v>
      </c>
      <c r="I461" s="33" t="s">
        <v>206</v>
      </c>
      <c r="J461" s="33">
        <v>21.280809999999999</v>
      </c>
      <c r="Q461" s="33" t="s">
        <v>207</v>
      </c>
      <c r="R461" s="33">
        <v>2023</v>
      </c>
    </row>
    <row r="462" spans="1:18" ht="96.6" hidden="1" x14ac:dyDescent="0.25">
      <c r="A462" s="33" t="s">
        <v>118</v>
      </c>
      <c r="B462" s="33" t="s">
        <v>76</v>
      </c>
      <c r="C462" s="33" t="s">
        <v>202</v>
      </c>
      <c r="D462" s="33" t="s">
        <v>7</v>
      </c>
      <c r="E462" s="33" t="s">
        <v>203</v>
      </c>
      <c r="F462" s="33" t="s">
        <v>28</v>
      </c>
      <c r="G462" s="33" t="s">
        <v>252</v>
      </c>
      <c r="H462" s="33" t="s">
        <v>205</v>
      </c>
      <c r="I462" s="33" t="s">
        <v>206</v>
      </c>
      <c r="J462" s="33">
        <v>21.280809999999999</v>
      </c>
      <c r="Q462" s="33" t="s">
        <v>207</v>
      </c>
      <c r="R462" s="33">
        <v>2023</v>
      </c>
    </row>
    <row r="463" spans="1:18" ht="96.6" hidden="1" x14ac:dyDescent="0.25">
      <c r="A463" s="33" t="s">
        <v>108</v>
      </c>
      <c r="B463" s="33" t="s">
        <v>55</v>
      </c>
      <c r="C463" s="33" t="s">
        <v>202</v>
      </c>
      <c r="D463" s="33" t="s">
        <v>7</v>
      </c>
      <c r="E463" s="33" t="s">
        <v>203</v>
      </c>
      <c r="F463" s="33" t="s">
        <v>29</v>
      </c>
      <c r="G463" s="33" t="s">
        <v>252</v>
      </c>
      <c r="H463" s="33" t="s">
        <v>205</v>
      </c>
      <c r="I463" s="33" t="s">
        <v>206</v>
      </c>
      <c r="J463" s="33">
        <v>520.33474000000001</v>
      </c>
      <c r="Q463" s="33" t="s">
        <v>207</v>
      </c>
      <c r="R463" s="33">
        <v>2023</v>
      </c>
    </row>
    <row r="464" spans="1:18" ht="96.6" hidden="1" x14ac:dyDescent="0.25">
      <c r="A464" s="33" t="s">
        <v>108</v>
      </c>
      <c r="B464" s="33" t="s">
        <v>61</v>
      </c>
      <c r="C464" s="33" t="s">
        <v>202</v>
      </c>
      <c r="D464" s="33" t="s">
        <v>7</v>
      </c>
      <c r="E464" s="33" t="s">
        <v>203</v>
      </c>
      <c r="F464" s="33" t="s">
        <v>29</v>
      </c>
      <c r="G464" s="33" t="s">
        <v>252</v>
      </c>
      <c r="H464" s="33" t="s">
        <v>205</v>
      </c>
      <c r="I464" s="33" t="s">
        <v>206</v>
      </c>
      <c r="J464" s="33">
        <v>520.33474000000001</v>
      </c>
      <c r="Q464" s="33" t="s">
        <v>207</v>
      </c>
      <c r="R464" s="33">
        <v>2023</v>
      </c>
    </row>
    <row r="465" spans="1:18" ht="96.6" hidden="1" x14ac:dyDescent="0.25">
      <c r="A465" s="33" t="s">
        <v>157</v>
      </c>
      <c r="B465" s="33" t="s">
        <v>72</v>
      </c>
      <c r="C465" s="33" t="s">
        <v>202</v>
      </c>
      <c r="D465" s="33" t="s">
        <v>7</v>
      </c>
      <c r="E465" s="33" t="s">
        <v>203</v>
      </c>
      <c r="F465" s="33" t="s">
        <v>29</v>
      </c>
      <c r="G465" s="33" t="s">
        <v>252</v>
      </c>
      <c r="H465" s="33" t="s">
        <v>205</v>
      </c>
      <c r="I465" s="33" t="s">
        <v>206</v>
      </c>
      <c r="J465" s="33">
        <v>520.33474000000001</v>
      </c>
      <c r="Q465" s="33" t="s">
        <v>207</v>
      </c>
      <c r="R465" s="33">
        <v>2023</v>
      </c>
    </row>
    <row r="466" spans="1:18" ht="96.6" hidden="1" x14ac:dyDescent="0.25">
      <c r="A466" s="33" t="s">
        <v>123</v>
      </c>
      <c r="B466" s="33" t="s">
        <v>59</v>
      </c>
      <c r="C466" s="33" t="s">
        <v>202</v>
      </c>
      <c r="D466" s="33" t="s">
        <v>7</v>
      </c>
      <c r="E466" s="33" t="s">
        <v>203</v>
      </c>
      <c r="F466" s="33" t="s">
        <v>29</v>
      </c>
      <c r="G466" s="33" t="s">
        <v>252</v>
      </c>
      <c r="H466" s="33" t="s">
        <v>205</v>
      </c>
      <c r="I466" s="33" t="s">
        <v>206</v>
      </c>
      <c r="J466" s="33">
        <v>520.33474000000001</v>
      </c>
      <c r="Q466" s="33" t="s">
        <v>207</v>
      </c>
      <c r="R466" s="33">
        <v>2023</v>
      </c>
    </row>
    <row r="467" spans="1:18" ht="96.6" hidden="1" x14ac:dyDescent="0.25">
      <c r="A467" s="33" t="s">
        <v>123</v>
      </c>
      <c r="B467" s="33" t="s">
        <v>60</v>
      </c>
      <c r="C467" s="33" t="s">
        <v>202</v>
      </c>
      <c r="D467" s="33" t="s">
        <v>7</v>
      </c>
      <c r="E467" s="33" t="s">
        <v>203</v>
      </c>
      <c r="F467" s="33" t="s">
        <v>29</v>
      </c>
      <c r="G467" s="33" t="s">
        <v>252</v>
      </c>
      <c r="H467" s="33" t="s">
        <v>205</v>
      </c>
      <c r="I467" s="33" t="s">
        <v>206</v>
      </c>
      <c r="J467" s="33">
        <v>520.33474000000001</v>
      </c>
      <c r="Q467" s="33" t="s">
        <v>207</v>
      </c>
      <c r="R467" s="33">
        <v>2023</v>
      </c>
    </row>
    <row r="468" spans="1:18" ht="96.6" hidden="1" x14ac:dyDescent="0.25">
      <c r="A468" s="33" t="s">
        <v>123</v>
      </c>
      <c r="B468" s="33" t="s">
        <v>63</v>
      </c>
      <c r="C468" s="33" t="s">
        <v>202</v>
      </c>
      <c r="D468" s="33" t="s">
        <v>7</v>
      </c>
      <c r="E468" s="33" t="s">
        <v>203</v>
      </c>
      <c r="F468" s="33" t="s">
        <v>29</v>
      </c>
      <c r="G468" s="33" t="s">
        <v>252</v>
      </c>
      <c r="H468" s="33" t="s">
        <v>205</v>
      </c>
      <c r="I468" s="33" t="s">
        <v>206</v>
      </c>
      <c r="J468" s="33">
        <v>520.33474000000001</v>
      </c>
      <c r="Q468" s="33" t="s">
        <v>207</v>
      </c>
      <c r="R468" s="33">
        <v>2023</v>
      </c>
    </row>
    <row r="469" spans="1:18" ht="96.6" hidden="1" x14ac:dyDescent="0.25">
      <c r="A469" s="33" t="s">
        <v>123</v>
      </c>
      <c r="B469" s="33" t="s">
        <v>64</v>
      </c>
      <c r="C469" s="33" t="s">
        <v>202</v>
      </c>
      <c r="D469" s="33" t="s">
        <v>7</v>
      </c>
      <c r="E469" s="33" t="s">
        <v>203</v>
      </c>
      <c r="F469" s="33" t="s">
        <v>29</v>
      </c>
      <c r="G469" s="33" t="s">
        <v>252</v>
      </c>
      <c r="H469" s="33" t="s">
        <v>205</v>
      </c>
      <c r="I469" s="33" t="s">
        <v>206</v>
      </c>
      <c r="J469" s="33">
        <v>520.33474000000001</v>
      </c>
      <c r="Q469" s="33" t="s">
        <v>207</v>
      </c>
      <c r="R469" s="33">
        <v>2023</v>
      </c>
    </row>
    <row r="470" spans="1:18" ht="96.6" hidden="1" x14ac:dyDescent="0.25">
      <c r="A470" s="33" t="s">
        <v>123</v>
      </c>
      <c r="B470" s="33" t="s">
        <v>66</v>
      </c>
      <c r="C470" s="33" t="s">
        <v>202</v>
      </c>
      <c r="D470" s="33" t="s">
        <v>7</v>
      </c>
      <c r="E470" s="33" t="s">
        <v>203</v>
      </c>
      <c r="F470" s="33" t="s">
        <v>29</v>
      </c>
      <c r="G470" s="33" t="s">
        <v>252</v>
      </c>
      <c r="H470" s="33" t="s">
        <v>205</v>
      </c>
      <c r="I470" s="33" t="s">
        <v>206</v>
      </c>
      <c r="J470" s="33">
        <v>520.33474000000001</v>
      </c>
      <c r="Q470" s="33" t="s">
        <v>207</v>
      </c>
      <c r="R470" s="33">
        <v>2023</v>
      </c>
    </row>
    <row r="471" spans="1:18" ht="96.6" hidden="1" x14ac:dyDescent="0.25">
      <c r="A471" s="33" t="s">
        <v>123</v>
      </c>
      <c r="B471" s="33" t="s">
        <v>67</v>
      </c>
      <c r="C471" s="33" t="s">
        <v>202</v>
      </c>
      <c r="D471" s="33" t="s">
        <v>7</v>
      </c>
      <c r="E471" s="33" t="s">
        <v>203</v>
      </c>
      <c r="F471" s="33" t="s">
        <v>29</v>
      </c>
      <c r="G471" s="33" t="s">
        <v>252</v>
      </c>
      <c r="H471" s="33" t="s">
        <v>205</v>
      </c>
      <c r="I471" s="33" t="s">
        <v>206</v>
      </c>
      <c r="J471" s="33">
        <v>520.33474000000001</v>
      </c>
      <c r="Q471" s="33" t="s">
        <v>207</v>
      </c>
      <c r="R471" s="33">
        <v>2023</v>
      </c>
    </row>
    <row r="472" spans="1:18" ht="96.6" hidden="1" x14ac:dyDescent="0.25">
      <c r="A472" s="33" t="s">
        <v>123</v>
      </c>
      <c r="B472" s="33" t="s">
        <v>68</v>
      </c>
      <c r="C472" s="33" t="s">
        <v>202</v>
      </c>
      <c r="D472" s="33" t="s">
        <v>7</v>
      </c>
      <c r="E472" s="33" t="s">
        <v>203</v>
      </c>
      <c r="F472" s="33" t="s">
        <v>29</v>
      </c>
      <c r="G472" s="33" t="s">
        <v>252</v>
      </c>
      <c r="H472" s="33" t="s">
        <v>205</v>
      </c>
      <c r="I472" s="33" t="s">
        <v>206</v>
      </c>
      <c r="J472" s="33">
        <v>520.33474000000001</v>
      </c>
      <c r="Q472" s="33" t="s">
        <v>207</v>
      </c>
      <c r="R472" s="33">
        <v>2023</v>
      </c>
    </row>
    <row r="473" spans="1:18" ht="96.6" hidden="1" x14ac:dyDescent="0.25">
      <c r="A473" s="33" t="s">
        <v>123</v>
      </c>
      <c r="B473" s="33" t="s">
        <v>77</v>
      </c>
      <c r="C473" s="33" t="s">
        <v>202</v>
      </c>
      <c r="D473" s="33" t="s">
        <v>7</v>
      </c>
      <c r="E473" s="33" t="s">
        <v>203</v>
      </c>
      <c r="F473" s="33" t="s">
        <v>29</v>
      </c>
      <c r="G473" s="33" t="s">
        <v>252</v>
      </c>
      <c r="H473" s="33" t="s">
        <v>205</v>
      </c>
      <c r="I473" s="33" t="s">
        <v>206</v>
      </c>
      <c r="J473" s="33">
        <v>520.33474000000001</v>
      </c>
      <c r="Q473" s="33" t="s">
        <v>207</v>
      </c>
      <c r="R473" s="33">
        <v>2023</v>
      </c>
    </row>
    <row r="474" spans="1:18" ht="96.6" hidden="1" x14ac:dyDescent="0.25">
      <c r="A474" s="33" t="s">
        <v>113</v>
      </c>
      <c r="B474" s="33" t="s">
        <v>56</v>
      </c>
      <c r="C474" s="33" t="s">
        <v>202</v>
      </c>
      <c r="D474" s="33" t="s">
        <v>7</v>
      </c>
      <c r="E474" s="33" t="s">
        <v>203</v>
      </c>
      <c r="F474" s="33" t="s">
        <v>29</v>
      </c>
      <c r="G474" s="33" t="s">
        <v>252</v>
      </c>
      <c r="H474" s="33" t="s">
        <v>205</v>
      </c>
      <c r="I474" s="33" t="s">
        <v>206</v>
      </c>
      <c r="J474" s="33">
        <v>520.33474000000001</v>
      </c>
      <c r="Q474" s="33" t="s">
        <v>207</v>
      </c>
      <c r="R474" s="33">
        <v>2023</v>
      </c>
    </row>
    <row r="475" spans="1:18" ht="96.6" hidden="1" x14ac:dyDescent="0.25">
      <c r="A475" s="33" t="s">
        <v>113</v>
      </c>
      <c r="B475" s="33" t="s">
        <v>62</v>
      </c>
      <c r="C475" s="33" t="s">
        <v>202</v>
      </c>
      <c r="D475" s="33" t="s">
        <v>7</v>
      </c>
      <c r="E475" s="33" t="s">
        <v>203</v>
      </c>
      <c r="F475" s="33" t="s">
        <v>29</v>
      </c>
      <c r="G475" s="33" t="s">
        <v>252</v>
      </c>
      <c r="H475" s="33" t="s">
        <v>205</v>
      </c>
      <c r="I475" s="33" t="s">
        <v>206</v>
      </c>
      <c r="J475" s="33">
        <v>520.33474000000001</v>
      </c>
      <c r="Q475" s="33" t="s">
        <v>207</v>
      </c>
      <c r="R475" s="33">
        <v>2023</v>
      </c>
    </row>
    <row r="476" spans="1:18" ht="96.6" hidden="1" x14ac:dyDescent="0.25">
      <c r="A476" s="33" t="s">
        <v>113</v>
      </c>
      <c r="B476" s="33" t="s">
        <v>65</v>
      </c>
      <c r="C476" s="33" t="s">
        <v>202</v>
      </c>
      <c r="D476" s="33" t="s">
        <v>7</v>
      </c>
      <c r="E476" s="33" t="s">
        <v>203</v>
      </c>
      <c r="F476" s="33" t="s">
        <v>29</v>
      </c>
      <c r="G476" s="33" t="s">
        <v>252</v>
      </c>
      <c r="H476" s="33" t="s">
        <v>205</v>
      </c>
      <c r="I476" s="33" t="s">
        <v>206</v>
      </c>
      <c r="J476" s="33">
        <v>520.33474000000001</v>
      </c>
      <c r="Q476" s="33" t="s">
        <v>207</v>
      </c>
      <c r="R476" s="33">
        <v>2023</v>
      </c>
    </row>
    <row r="477" spans="1:18" ht="96.6" hidden="1" x14ac:dyDescent="0.25">
      <c r="A477" s="33" t="s">
        <v>172</v>
      </c>
      <c r="B477" s="33" t="s">
        <v>78</v>
      </c>
      <c r="C477" s="33" t="s">
        <v>202</v>
      </c>
      <c r="D477" s="33" t="s">
        <v>7</v>
      </c>
      <c r="E477" s="33" t="s">
        <v>203</v>
      </c>
      <c r="F477" s="33" t="s">
        <v>29</v>
      </c>
      <c r="G477" s="33" t="s">
        <v>252</v>
      </c>
      <c r="H477" s="33" t="s">
        <v>205</v>
      </c>
      <c r="I477" s="33" t="s">
        <v>206</v>
      </c>
      <c r="J477" s="33">
        <v>520.33474000000001</v>
      </c>
      <c r="Q477" s="33" t="s">
        <v>207</v>
      </c>
      <c r="R477" s="33">
        <v>2023</v>
      </c>
    </row>
    <row r="478" spans="1:18" ht="96.6" hidden="1" x14ac:dyDescent="0.25">
      <c r="A478" s="33" t="s">
        <v>118</v>
      </c>
      <c r="B478" s="33" t="s">
        <v>57</v>
      </c>
      <c r="C478" s="33" t="s">
        <v>202</v>
      </c>
      <c r="D478" s="33" t="s">
        <v>7</v>
      </c>
      <c r="E478" s="33" t="s">
        <v>203</v>
      </c>
      <c r="F478" s="33" t="s">
        <v>29</v>
      </c>
      <c r="G478" s="33" t="s">
        <v>252</v>
      </c>
      <c r="H478" s="33" t="s">
        <v>205</v>
      </c>
      <c r="I478" s="33" t="s">
        <v>206</v>
      </c>
      <c r="J478" s="33">
        <v>520.33474000000001</v>
      </c>
      <c r="Q478" s="33" t="s">
        <v>207</v>
      </c>
      <c r="R478" s="33">
        <v>2023</v>
      </c>
    </row>
    <row r="479" spans="1:18" ht="96.6" hidden="1" x14ac:dyDescent="0.25">
      <c r="A479" s="33" t="s">
        <v>118</v>
      </c>
      <c r="B479" s="33" t="s">
        <v>58</v>
      </c>
      <c r="C479" s="33" t="s">
        <v>202</v>
      </c>
      <c r="D479" s="33" t="s">
        <v>7</v>
      </c>
      <c r="E479" s="33" t="s">
        <v>203</v>
      </c>
      <c r="F479" s="33" t="s">
        <v>29</v>
      </c>
      <c r="G479" s="33" t="s">
        <v>252</v>
      </c>
      <c r="H479" s="33" t="s">
        <v>205</v>
      </c>
      <c r="I479" s="33" t="s">
        <v>206</v>
      </c>
      <c r="J479" s="33">
        <v>520.33474000000001</v>
      </c>
      <c r="Q479" s="33" t="s">
        <v>207</v>
      </c>
      <c r="R479" s="33">
        <v>2023</v>
      </c>
    </row>
    <row r="480" spans="1:18" ht="96.6" hidden="1" x14ac:dyDescent="0.25">
      <c r="A480" s="33" t="s">
        <v>118</v>
      </c>
      <c r="B480" s="33" t="s">
        <v>69</v>
      </c>
      <c r="C480" s="33" t="s">
        <v>202</v>
      </c>
      <c r="D480" s="33" t="s">
        <v>7</v>
      </c>
      <c r="E480" s="33" t="s">
        <v>203</v>
      </c>
      <c r="F480" s="33" t="s">
        <v>29</v>
      </c>
      <c r="G480" s="33" t="s">
        <v>252</v>
      </c>
      <c r="H480" s="33" t="s">
        <v>205</v>
      </c>
      <c r="I480" s="33" t="s">
        <v>206</v>
      </c>
      <c r="J480" s="33">
        <v>520.33474000000001</v>
      </c>
      <c r="Q480" s="33" t="s">
        <v>207</v>
      </c>
      <c r="R480" s="33">
        <v>2023</v>
      </c>
    </row>
    <row r="481" spans="1:18" ht="96.6" hidden="1" x14ac:dyDescent="0.25">
      <c r="A481" s="33" t="s">
        <v>118</v>
      </c>
      <c r="B481" s="33" t="s">
        <v>70</v>
      </c>
      <c r="C481" s="33" t="s">
        <v>202</v>
      </c>
      <c r="D481" s="33" t="s">
        <v>7</v>
      </c>
      <c r="E481" s="33" t="s">
        <v>203</v>
      </c>
      <c r="F481" s="33" t="s">
        <v>29</v>
      </c>
      <c r="G481" s="33" t="s">
        <v>252</v>
      </c>
      <c r="H481" s="33" t="s">
        <v>205</v>
      </c>
      <c r="I481" s="33" t="s">
        <v>206</v>
      </c>
      <c r="J481" s="33">
        <v>520.33474000000001</v>
      </c>
      <c r="Q481" s="33" t="s">
        <v>207</v>
      </c>
      <c r="R481" s="33">
        <v>2023</v>
      </c>
    </row>
    <row r="482" spans="1:18" ht="96.6" hidden="1" x14ac:dyDescent="0.25">
      <c r="A482" s="33" t="s">
        <v>118</v>
      </c>
      <c r="B482" s="33" t="s">
        <v>71</v>
      </c>
      <c r="C482" s="33" t="s">
        <v>202</v>
      </c>
      <c r="D482" s="33" t="s">
        <v>7</v>
      </c>
      <c r="E482" s="33" t="s">
        <v>203</v>
      </c>
      <c r="F482" s="33" t="s">
        <v>29</v>
      </c>
      <c r="G482" s="33" t="s">
        <v>252</v>
      </c>
      <c r="H482" s="33" t="s">
        <v>205</v>
      </c>
      <c r="I482" s="33" t="s">
        <v>206</v>
      </c>
      <c r="J482" s="33">
        <v>520.33474000000001</v>
      </c>
      <c r="Q482" s="33" t="s">
        <v>207</v>
      </c>
      <c r="R482" s="33">
        <v>2023</v>
      </c>
    </row>
    <row r="483" spans="1:18" ht="96.6" hidden="1" x14ac:dyDescent="0.25">
      <c r="A483" s="33" t="s">
        <v>118</v>
      </c>
      <c r="B483" s="33" t="s">
        <v>73</v>
      </c>
      <c r="C483" s="33" t="s">
        <v>202</v>
      </c>
      <c r="D483" s="33" t="s">
        <v>7</v>
      </c>
      <c r="E483" s="33" t="s">
        <v>203</v>
      </c>
      <c r="F483" s="33" t="s">
        <v>29</v>
      </c>
      <c r="G483" s="33" t="s">
        <v>252</v>
      </c>
      <c r="H483" s="33" t="s">
        <v>205</v>
      </c>
      <c r="I483" s="33" t="s">
        <v>206</v>
      </c>
      <c r="J483" s="33">
        <v>520.33474000000001</v>
      </c>
      <c r="Q483" s="33" t="s">
        <v>207</v>
      </c>
      <c r="R483" s="33">
        <v>2023</v>
      </c>
    </row>
    <row r="484" spans="1:18" ht="96.6" hidden="1" x14ac:dyDescent="0.25">
      <c r="A484" s="33" t="s">
        <v>118</v>
      </c>
      <c r="B484" s="33" t="s">
        <v>74</v>
      </c>
      <c r="C484" s="33" t="s">
        <v>202</v>
      </c>
      <c r="D484" s="33" t="s">
        <v>7</v>
      </c>
      <c r="E484" s="33" t="s">
        <v>203</v>
      </c>
      <c r="F484" s="33" t="s">
        <v>29</v>
      </c>
      <c r="G484" s="33" t="s">
        <v>252</v>
      </c>
      <c r="H484" s="33" t="s">
        <v>205</v>
      </c>
      <c r="I484" s="33" t="s">
        <v>206</v>
      </c>
      <c r="J484" s="33">
        <v>520.33474000000001</v>
      </c>
      <c r="Q484" s="33" t="s">
        <v>207</v>
      </c>
      <c r="R484" s="33">
        <v>2023</v>
      </c>
    </row>
    <row r="485" spans="1:18" ht="96.6" hidden="1" x14ac:dyDescent="0.25">
      <c r="A485" s="33" t="s">
        <v>118</v>
      </c>
      <c r="B485" s="33" t="s">
        <v>75</v>
      </c>
      <c r="C485" s="33" t="s">
        <v>202</v>
      </c>
      <c r="D485" s="33" t="s">
        <v>7</v>
      </c>
      <c r="E485" s="33" t="s">
        <v>203</v>
      </c>
      <c r="F485" s="33" t="s">
        <v>29</v>
      </c>
      <c r="G485" s="33" t="s">
        <v>252</v>
      </c>
      <c r="H485" s="33" t="s">
        <v>205</v>
      </c>
      <c r="I485" s="33" t="s">
        <v>206</v>
      </c>
      <c r="J485" s="33">
        <v>520.33474000000001</v>
      </c>
      <c r="Q485" s="33" t="s">
        <v>207</v>
      </c>
      <c r="R485" s="33">
        <v>2023</v>
      </c>
    </row>
    <row r="486" spans="1:18" ht="96.6" hidden="1" x14ac:dyDescent="0.25">
      <c r="A486" s="33" t="s">
        <v>118</v>
      </c>
      <c r="B486" s="33" t="s">
        <v>76</v>
      </c>
      <c r="C486" s="33" t="s">
        <v>202</v>
      </c>
      <c r="D486" s="33" t="s">
        <v>7</v>
      </c>
      <c r="E486" s="33" t="s">
        <v>203</v>
      </c>
      <c r="F486" s="33" t="s">
        <v>29</v>
      </c>
      <c r="G486" s="33" t="s">
        <v>252</v>
      </c>
      <c r="H486" s="33" t="s">
        <v>205</v>
      </c>
      <c r="I486" s="33" t="s">
        <v>206</v>
      </c>
      <c r="J486" s="33">
        <v>520.33474000000001</v>
      </c>
      <c r="Q486" s="33" t="s">
        <v>207</v>
      </c>
      <c r="R486" s="33">
        <v>2023</v>
      </c>
    </row>
    <row r="487" spans="1:18" ht="96.6" hidden="1" x14ac:dyDescent="0.25">
      <c r="A487" s="33" t="s">
        <v>108</v>
      </c>
      <c r="B487" s="33" t="s">
        <v>55</v>
      </c>
      <c r="C487" s="33" t="s">
        <v>202</v>
      </c>
      <c r="D487" s="33" t="s">
        <v>7</v>
      </c>
      <c r="E487" s="33" t="s">
        <v>203</v>
      </c>
      <c r="F487" s="33" t="s">
        <v>30</v>
      </c>
      <c r="G487" s="33" t="s">
        <v>252</v>
      </c>
      <c r="H487" s="33" t="s">
        <v>205</v>
      </c>
      <c r="I487" s="33" t="s">
        <v>206</v>
      </c>
      <c r="J487" s="33">
        <v>520.33474000000001</v>
      </c>
      <c r="Q487" s="33" t="s">
        <v>207</v>
      </c>
      <c r="R487" s="33">
        <v>2023</v>
      </c>
    </row>
    <row r="488" spans="1:18" ht="96.6" hidden="1" x14ac:dyDescent="0.25">
      <c r="A488" s="33" t="s">
        <v>108</v>
      </c>
      <c r="B488" s="33" t="s">
        <v>61</v>
      </c>
      <c r="C488" s="33" t="s">
        <v>202</v>
      </c>
      <c r="D488" s="33" t="s">
        <v>7</v>
      </c>
      <c r="E488" s="33" t="s">
        <v>203</v>
      </c>
      <c r="F488" s="33" t="s">
        <v>30</v>
      </c>
      <c r="G488" s="33" t="s">
        <v>252</v>
      </c>
      <c r="H488" s="33" t="s">
        <v>205</v>
      </c>
      <c r="I488" s="33" t="s">
        <v>206</v>
      </c>
      <c r="J488" s="33">
        <v>520.33474000000001</v>
      </c>
      <c r="Q488" s="33" t="s">
        <v>207</v>
      </c>
      <c r="R488" s="33">
        <v>2023</v>
      </c>
    </row>
    <row r="489" spans="1:18" ht="96.6" hidden="1" x14ac:dyDescent="0.25">
      <c r="A489" s="33" t="s">
        <v>157</v>
      </c>
      <c r="B489" s="33" t="s">
        <v>72</v>
      </c>
      <c r="C489" s="33" t="s">
        <v>202</v>
      </c>
      <c r="D489" s="33" t="s">
        <v>7</v>
      </c>
      <c r="E489" s="33" t="s">
        <v>203</v>
      </c>
      <c r="F489" s="33" t="s">
        <v>30</v>
      </c>
      <c r="G489" s="33" t="s">
        <v>252</v>
      </c>
      <c r="H489" s="33" t="s">
        <v>205</v>
      </c>
      <c r="I489" s="33" t="s">
        <v>206</v>
      </c>
      <c r="J489" s="33">
        <v>520.33474000000001</v>
      </c>
      <c r="Q489" s="33" t="s">
        <v>207</v>
      </c>
      <c r="R489" s="33">
        <v>2023</v>
      </c>
    </row>
    <row r="490" spans="1:18" ht="96.6" hidden="1" x14ac:dyDescent="0.25">
      <c r="A490" s="33" t="s">
        <v>123</v>
      </c>
      <c r="B490" s="33" t="s">
        <v>59</v>
      </c>
      <c r="C490" s="33" t="s">
        <v>202</v>
      </c>
      <c r="D490" s="33" t="s">
        <v>7</v>
      </c>
      <c r="E490" s="33" t="s">
        <v>203</v>
      </c>
      <c r="F490" s="33" t="s">
        <v>30</v>
      </c>
      <c r="G490" s="33" t="s">
        <v>252</v>
      </c>
      <c r="H490" s="33" t="s">
        <v>205</v>
      </c>
      <c r="I490" s="33" t="s">
        <v>206</v>
      </c>
      <c r="J490" s="33">
        <v>520.33474000000001</v>
      </c>
      <c r="Q490" s="33" t="s">
        <v>207</v>
      </c>
      <c r="R490" s="33">
        <v>2023</v>
      </c>
    </row>
    <row r="491" spans="1:18" ht="96.6" hidden="1" x14ac:dyDescent="0.25">
      <c r="A491" s="33" t="s">
        <v>123</v>
      </c>
      <c r="B491" s="33" t="s">
        <v>60</v>
      </c>
      <c r="C491" s="33" t="s">
        <v>202</v>
      </c>
      <c r="D491" s="33" t="s">
        <v>7</v>
      </c>
      <c r="E491" s="33" t="s">
        <v>203</v>
      </c>
      <c r="F491" s="33" t="s">
        <v>30</v>
      </c>
      <c r="G491" s="33" t="s">
        <v>252</v>
      </c>
      <c r="H491" s="33" t="s">
        <v>205</v>
      </c>
      <c r="I491" s="33" t="s">
        <v>206</v>
      </c>
      <c r="J491" s="33">
        <v>520.33474000000001</v>
      </c>
      <c r="Q491" s="33" t="s">
        <v>207</v>
      </c>
      <c r="R491" s="33">
        <v>2023</v>
      </c>
    </row>
    <row r="492" spans="1:18" ht="96.6" hidden="1" x14ac:dyDescent="0.25">
      <c r="A492" s="33" t="s">
        <v>123</v>
      </c>
      <c r="B492" s="33" t="s">
        <v>63</v>
      </c>
      <c r="C492" s="33" t="s">
        <v>202</v>
      </c>
      <c r="D492" s="33" t="s">
        <v>7</v>
      </c>
      <c r="E492" s="33" t="s">
        <v>203</v>
      </c>
      <c r="F492" s="33" t="s">
        <v>30</v>
      </c>
      <c r="G492" s="33" t="s">
        <v>252</v>
      </c>
      <c r="H492" s="33" t="s">
        <v>205</v>
      </c>
      <c r="I492" s="33" t="s">
        <v>206</v>
      </c>
      <c r="J492" s="33">
        <v>520.33474000000001</v>
      </c>
      <c r="Q492" s="33" t="s">
        <v>207</v>
      </c>
      <c r="R492" s="33">
        <v>2023</v>
      </c>
    </row>
    <row r="493" spans="1:18" ht="96.6" hidden="1" x14ac:dyDescent="0.25">
      <c r="A493" s="33" t="s">
        <v>123</v>
      </c>
      <c r="B493" s="33" t="s">
        <v>64</v>
      </c>
      <c r="C493" s="33" t="s">
        <v>202</v>
      </c>
      <c r="D493" s="33" t="s">
        <v>7</v>
      </c>
      <c r="E493" s="33" t="s">
        <v>203</v>
      </c>
      <c r="F493" s="33" t="s">
        <v>30</v>
      </c>
      <c r="G493" s="33" t="s">
        <v>252</v>
      </c>
      <c r="H493" s="33" t="s">
        <v>205</v>
      </c>
      <c r="I493" s="33" t="s">
        <v>206</v>
      </c>
      <c r="J493" s="33">
        <v>520.33474000000001</v>
      </c>
      <c r="Q493" s="33" t="s">
        <v>207</v>
      </c>
      <c r="R493" s="33">
        <v>2023</v>
      </c>
    </row>
    <row r="494" spans="1:18" ht="96.6" hidden="1" x14ac:dyDescent="0.25">
      <c r="A494" s="33" t="s">
        <v>123</v>
      </c>
      <c r="B494" s="33" t="s">
        <v>66</v>
      </c>
      <c r="C494" s="33" t="s">
        <v>202</v>
      </c>
      <c r="D494" s="33" t="s">
        <v>7</v>
      </c>
      <c r="E494" s="33" t="s">
        <v>203</v>
      </c>
      <c r="F494" s="33" t="s">
        <v>30</v>
      </c>
      <c r="G494" s="33" t="s">
        <v>252</v>
      </c>
      <c r="H494" s="33" t="s">
        <v>205</v>
      </c>
      <c r="I494" s="33" t="s">
        <v>206</v>
      </c>
      <c r="J494" s="33">
        <v>520.33474000000001</v>
      </c>
      <c r="Q494" s="33" t="s">
        <v>207</v>
      </c>
      <c r="R494" s="33">
        <v>2023</v>
      </c>
    </row>
    <row r="495" spans="1:18" ht="96.6" hidden="1" x14ac:dyDescent="0.25">
      <c r="A495" s="33" t="s">
        <v>123</v>
      </c>
      <c r="B495" s="33" t="s">
        <v>67</v>
      </c>
      <c r="C495" s="33" t="s">
        <v>202</v>
      </c>
      <c r="D495" s="33" t="s">
        <v>7</v>
      </c>
      <c r="E495" s="33" t="s">
        <v>203</v>
      </c>
      <c r="F495" s="33" t="s">
        <v>30</v>
      </c>
      <c r="G495" s="33" t="s">
        <v>252</v>
      </c>
      <c r="H495" s="33" t="s">
        <v>205</v>
      </c>
      <c r="I495" s="33" t="s">
        <v>206</v>
      </c>
      <c r="J495" s="33">
        <v>520.33474000000001</v>
      </c>
      <c r="Q495" s="33" t="s">
        <v>207</v>
      </c>
      <c r="R495" s="33">
        <v>2023</v>
      </c>
    </row>
    <row r="496" spans="1:18" ht="96.6" hidden="1" x14ac:dyDescent="0.25">
      <c r="A496" s="33" t="s">
        <v>123</v>
      </c>
      <c r="B496" s="33" t="s">
        <v>68</v>
      </c>
      <c r="C496" s="33" t="s">
        <v>202</v>
      </c>
      <c r="D496" s="33" t="s">
        <v>7</v>
      </c>
      <c r="E496" s="33" t="s">
        <v>203</v>
      </c>
      <c r="F496" s="33" t="s">
        <v>30</v>
      </c>
      <c r="G496" s="33" t="s">
        <v>252</v>
      </c>
      <c r="H496" s="33" t="s">
        <v>205</v>
      </c>
      <c r="I496" s="33" t="s">
        <v>206</v>
      </c>
      <c r="J496" s="33">
        <v>520.33474000000001</v>
      </c>
      <c r="Q496" s="33" t="s">
        <v>207</v>
      </c>
      <c r="R496" s="33">
        <v>2023</v>
      </c>
    </row>
    <row r="497" spans="1:18" ht="96.6" hidden="1" x14ac:dyDescent="0.25">
      <c r="A497" s="33" t="s">
        <v>123</v>
      </c>
      <c r="B497" s="33" t="s">
        <v>77</v>
      </c>
      <c r="C497" s="33" t="s">
        <v>202</v>
      </c>
      <c r="D497" s="33" t="s">
        <v>7</v>
      </c>
      <c r="E497" s="33" t="s">
        <v>203</v>
      </c>
      <c r="F497" s="33" t="s">
        <v>30</v>
      </c>
      <c r="G497" s="33" t="s">
        <v>252</v>
      </c>
      <c r="H497" s="33" t="s">
        <v>205</v>
      </c>
      <c r="I497" s="33" t="s">
        <v>206</v>
      </c>
      <c r="J497" s="33">
        <v>520.33474000000001</v>
      </c>
      <c r="Q497" s="33" t="s">
        <v>207</v>
      </c>
      <c r="R497" s="33">
        <v>2023</v>
      </c>
    </row>
    <row r="498" spans="1:18" ht="96.6" hidden="1" x14ac:dyDescent="0.25">
      <c r="A498" s="33" t="s">
        <v>113</v>
      </c>
      <c r="B498" s="33" t="s">
        <v>56</v>
      </c>
      <c r="C498" s="33" t="s">
        <v>202</v>
      </c>
      <c r="D498" s="33" t="s">
        <v>7</v>
      </c>
      <c r="E498" s="33" t="s">
        <v>203</v>
      </c>
      <c r="F498" s="33" t="s">
        <v>30</v>
      </c>
      <c r="G498" s="33" t="s">
        <v>252</v>
      </c>
      <c r="H498" s="33" t="s">
        <v>205</v>
      </c>
      <c r="I498" s="33" t="s">
        <v>206</v>
      </c>
      <c r="J498" s="33">
        <v>520.33474000000001</v>
      </c>
      <c r="Q498" s="33" t="s">
        <v>207</v>
      </c>
      <c r="R498" s="33">
        <v>2023</v>
      </c>
    </row>
    <row r="499" spans="1:18" ht="96.6" hidden="1" x14ac:dyDescent="0.25">
      <c r="A499" s="33" t="s">
        <v>113</v>
      </c>
      <c r="B499" s="33" t="s">
        <v>62</v>
      </c>
      <c r="C499" s="33" t="s">
        <v>202</v>
      </c>
      <c r="D499" s="33" t="s">
        <v>7</v>
      </c>
      <c r="E499" s="33" t="s">
        <v>203</v>
      </c>
      <c r="F499" s="33" t="s">
        <v>30</v>
      </c>
      <c r="G499" s="33" t="s">
        <v>252</v>
      </c>
      <c r="H499" s="33" t="s">
        <v>205</v>
      </c>
      <c r="I499" s="33" t="s">
        <v>206</v>
      </c>
      <c r="J499" s="33">
        <v>520.33474000000001</v>
      </c>
      <c r="Q499" s="33" t="s">
        <v>207</v>
      </c>
      <c r="R499" s="33">
        <v>2023</v>
      </c>
    </row>
    <row r="500" spans="1:18" ht="96.6" hidden="1" x14ac:dyDescent="0.25">
      <c r="A500" s="33" t="s">
        <v>113</v>
      </c>
      <c r="B500" s="33" t="s">
        <v>65</v>
      </c>
      <c r="C500" s="33" t="s">
        <v>202</v>
      </c>
      <c r="D500" s="33" t="s">
        <v>7</v>
      </c>
      <c r="E500" s="33" t="s">
        <v>203</v>
      </c>
      <c r="F500" s="33" t="s">
        <v>30</v>
      </c>
      <c r="G500" s="33" t="s">
        <v>252</v>
      </c>
      <c r="H500" s="33" t="s">
        <v>205</v>
      </c>
      <c r="I500" s="33" t="s">
        <v>206</v>
      </c>
      <c r="J500" s="33">
        <v>520.33474000000001</v>
      </c>
      <c r="Q500" s="33" t="s">
        <v>207</v>
      </c>
      <c r="R500" s="33">
        <v>2023</v>
      </c>
    </row>
    <row r="501" spans="1:18" ht="96.6" hidden="1" x14ac:dyDescent="0.25">
      <c r="A501" s="33" t="s">
        <v>172</v>
      </c>
      <c r="B501" s="33" t="s">
        <v>78</v>
      </c>
      <c r="C501" s="33" t="s">
        <v>202</v>
      </c>
      <c r="D501" s="33" t="s">
        <v>7</v>
      </c>
      <c r="E501" s="33" t="s">
        <v>203</v>
      </c>
      <c r="F501" s="33" t="s">
        <v>30</v>
      </c>
      <c r="G501" s="33" t="s">
        <v>252</v>
      </c>
      <c r="H501" s="33" t="s">
        <v>205</v>
      </c>
      <c r="I501" s="33" t="s">
        <v>206</v>
      </c>
      <c r="J501" s="33">
        <v>520.33474000000001</v>
      </c>
      <c r="Q501" s="33" t="s">
        <v>207</v>
      </c>
      <c r="R501" s="33">
        <v>2023</v>
      </c>
    </row>
    <row r="502" spans="1:18" ht="96.6" hidden="1" x14ac:dyDescent="0.25">
      <c r="A502" s="33" t="s">
        <v>118</v>
      </c>
      <c r="B502" s="33" t="s">
        <v>57</v>
      </c>
      <c r="C502" s="33" t="s">
        <v>202</v>
      </c>
      <c r="D502" s="33" t="s">
        <v>7</v>
      </c>
      <c r="E502" s="33" t="s">
        <v>203</v>
      </c>
      <c r="F502" s="33" t="s">
        <v>30</v>
      </c>
      <c r="G502" s="33" t="s">
        <v>252</v>
      </c>
      <c r="H502" s="33" t="s">
        <v>205</v>
      </c>
      <c r="I502" s="33" t="s">
        <v>206</v>
      </c>
      <c r="J502" s="33">
        <v>520.33474000000001</v>
      </c>
      <c r="Q502" s="33" t="s">
        <v>207</v>
      </c>
      <c r="R502" s="33">
        <v>2023</v>
      </c>
    </row>
    <row r="503" spans="1:18" ht="96.6" hidden="1" x14ac:dyDescent="0.25">
      <c r="A503" s="33" t="s">
        <v>118</v>
      </c>
      <c r="B503" s="33" t="s">
        <v>58</v>
      </c>
      <c r="C503" s="33" t="s">
        <v>202</v>
      </c>
      <c r="D503" s="33" t="s">
        <v>7</v>
      </c>
      <c r="E503" s="33" t="s">
        <v>203</v>
      </c>
      <c r="F503" s="33" t="s">
        <v>30</v>
      </c>
      <c r="G503" s="33" t="s">
        <v>252</v>
      </c>
      <c r="H503" s="33" t="s">
        <v>205</v>
      </c>
      <c r="I503" s="33" t="s">
        <v>206</v>
      </c>
      <c r="J503" s="33">
        <v>520.33474000000001</v>
      </c>
      <c r="Q503" s="33" t="s">
        <v>207</v>
      </c>
      <c r="R503" s="33">
        <v>2023</v>
      </c>
    </row>
    <row r="504" spans="1:18" ht="96.6" hidden="1" x14ac:dyDescent="0.25">
      <c r="A504" s="33" t="s">
        <v>118</v>
      </c>
      <c r="B504" s="33" t="s">
        <v>69</v>
      </c>
      <c r="C504" s="33" t="s">
        <v>202</v>
      </c>
      <c r="D504" s="33" t="s">
        <v>7</v>
      </c>
      <c r="E504" s="33" t="s">
        <v>203</v>
      </c>
      <c r="F504" s="33" t="s">
        <v>30</v>
      </c>
      <c r="G504" s="33" t="s">
        <v>252</v>
      </c>
      <c r="H504" s="33" t="s">
        <v>205</v>
      </c>
      <c r="I504" s="33" t="s">
        <v>206</v>
      </c>
      <c r="J504" s="33">
        <v>520.33474000000001</v>
      </c>
      <c r="Q504" s="33" t="s">
        <v>207</v>
      </c>
      <c r="R504" s="33">
        <v>2023</v>
      </c>
    </row>
    <row r="505" spans="1:18" ht="96.6" hidden="1" x14ac:dyDescent="0.25">
      <c r="A505" s="33" t="s">
        <v>118</v>
      </c>
      <c r="B505" s="33" t="s">
        <v>70</v>
      </c>
      <c r="C505" s="33" t="s">
        <v>202</v>
      </c>
      <c r="D505" s="33" t="s">
        <v>7</v>
      </c>
      <c r="E505" s="33" t="s">
        <v>203</v>
      </c>
      <c r="F505" s="33" t="s">
        <v>30</v>
      </c>
      <c r="G505" s="33" t="s">
        <v>252</v>
      </c>
      <c r="H505" s="33" t="s">
        <v>205</v>
      </c>
      <c r="I505" s="33" t="s">
        <v>206</v>
      </c>
      <c r="J505" s="33">
        <v>520.33474000000001</v>
      </c>
      <c r="Q505" s="33" t="s">
        <v>207</v>
      </c>
      <c r="R505" s="33">
        <v>2023</v>
      </c>
    </row>
    <row r="506" spans="1:18" ht="96.6" hidden="1" x14ac:dyDescent="0.25">
      <c r="A506" s="33" t="s">
        <v>118</v>
      </c>
      <c r="B506" s="33" t="s">
        <v>71</v>
      </c>
      <c r="C506" s="33" t="s">
        <v>202</v>
      </c>
      <c r="D506" s="33" t="s">
        <v>7</v>
      </c>
      <c r="E506" s="33" t="s">
        <v>203</v>
      </c>
      <c r="F506" s="33" t="s">
        <v>30</v>
      </c>
      <c r="G506" s="33" t="s">
        <v>252</v>
      </c>
      <c r="H506" s="33" t="s">
        <v>205</v>
      </c>
      <c r="I506" s="33" t="s">
        <v>206</v>
      </c>
      <c r="J506" s="33">
        <v>520.33474000000001</v>
      </c>
      <c r="Q506" s="33" t="s">
        <v>207</v>
      </c>
      <c r="R506" s="33">
        <v>2023</v>
      </c>
    </row>
    <row r="507" spans="1:18" ht="96.6" hidden="1" x14ac:dyDescent="0.25">
      <c r="A507" s="33" t="s">
        <v>118</v>
      </c>
      <c r="B507" s="33" t="s">
        <v>73</v>
      </c>
      <c r="C507" s="33" t="s">
        <v>202</v>
      </c>
      <c r="D507" s="33" t="s">
        <v>7</v>
      </c>
      <c r="E507" s="33" t="s">
        <v>203</v>
      </c>
      <c r="F507" s="33" t="s">
        <v>30</v>
      </c>
      <c r="G507" s="33" t="s">
        <v>252</v>
      </c>
      <c r="H507" s="33" t="s">
        <v>205</v>
      </c>
      <c r="I507" s="33" t="s">
        <v>206</v>
      </c>
      <c r="J507" s="33">
        <v>520.33474000000001</v>
      </c>
      <c r="Q507" s="33" t="s">
        <v>207</v>
      </c>
      <c r="R507" s="33">
        <v>2023</v>
      </c>
    </row>
    <row r="508" spans="1:18" ht="96.6" hidden="1" x14ac:dyDescent="0.25">
      <c r="A508" s="33" t="s">
        <v>118</v>
      </c>
      <c r="B508" s="33" t="s">
        <v>74</v>
      </c>
      <c r="C508" s="33" t="s">
        <v>202</v>
      </c>
      <c r="D508" s="33" t="s">
        <v>7</v>
      </c>
      <c r="E508" s="33" t="s">
        <v>203</v>
      </c>
      <c r="F508" s="33" t="s">
        <v>30</v>
      </c>
      <c r="G508" s="33" t="s">
        <v>252</v>
      </c>
      <c r="H508" s="33" t="s">
        <v>205</v>
      </c>
      <c r="I508" s="33" t="s">
        <v>206</v>
      </c>
      <c r="J508" s="33">
        <v>520.33474000000001</v>
      </c>
      <c r="Q508" s="33" t="s">
        <v>207</v>
      </c>
      <c r="R508" s="33">
        <v>2023</v>
      </c>
    </row>
    <row r="509" spans="1:18" ht="96.6" hidden="1" x14ac:dyDescent="0.25">
      <c r="A509" s="33" t="s">
        <v>118</v>
      </c>
      <c r="B509" s="33" t="s">
        <v>75</v>
      </c>
      <c r="C509" s="33" t="s">
        <v>202</v>
      </c>
      <c r="D509" s="33" t="s">
        <v>7</v>
      </c>
      <c r="E509" s="33" t="s">
        <v>203</v>
      </c>
      <c r="F509" s="33" t="s">
        <v>30</v>
      </c>
      <c r="G509" s="33" t="s">
        <v>252</v>
      </c>
      <c r="H509" s="33" t="s">
        <v>205</v>
      </c>
      <c r="I509" s="33" t="s">
        <v>206</v>
      </c>
      <c r="J509" s="33">
        <v>520.33474000000001</v>
      </c>
      <c r="Q509" s="33" t="s">
        <v>207</v>
      </c>
      <c r="R509" s="33">
        <v>2023</v>
      </c>
    </row>
    <row r="510" spans="1:18" ht="96.6" hidden="1" x14ac:dyDescent="0.25">
      <c r="A510" s="33" t="s">
        <v>118</v>
      </c>
      <c r="B510" s="33" t="s">
        <v>76</v>
      </c>
      <c r="C510" s="33" t="s">
        <v>202</v>
      </c>
      <c r="D510" s="33" t="s">
        <v>7</v>
      </c>
      <c r="E510" s="33" t="s">
        <v>203</v>
      </c>
      <c r="F510" s="33" t="s">
        <v>30</v>
      </c>
      <c r="G510" s="33" t="s">
        <v>252</v>
      </c>
      <c r="H510" s="33" t="s">
        <v>205</v>
      </c>
      <c r="I510" s="33" t="s">
        <v>206</v>
      </c>
      <c r="J510" s="33">
        <v>520.33474000000001</v>
      </c>
      <c r="Q510" s="33" t="s">
        <v>207</v>
      </c>
      <c r="R510" s="33">
        <v>2023</v>
      </c>
    </row>
  </sheetData>
  <autoFilter ref="A6:R510" xr:uid="{00000000-0009-0000-0000-000005000000}">
    <filterColumn colId="5">
      <filters>
        <filter val="Refrigerant"/>
      </filters>
    </filterColumn>
  </autoFilter>
  <mergeCells count="5">
    <mergeCell ref="A1:R1"/>
    <mergeCell ref="A2:R2"/>
    <mergeCell ref="A3:R3"/>
    <mergeCell ref="A4:R4"/>
    <mergeCell ref="A5:R5"/>
  </mergeCells>
  <pageMargins left="0.7" right="0.7" top="0.75" bottom="0.75" header="0.3" footer="0.3"/>
  <headerFooter>
    <oddFooter>&amp;C_x000D_&amp;1#&amp;"Calibri"&amp;6&amp;K626469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R510"/>
  <sheetViews>
    <sheetView workbookViewId="0">
      <selection activeCell="F367" sqref="F367"/>
    </sheetView>
  </sheetViews>
  <sheetFormatPr defaultColWidth="8.88671875" defaultRowHeight="13.8" x14ac:dyDescent="0.25"/>
  <cols>
    <col min="1" max="9" width="20.6640625" style="33" customWidth="1"/>
    <col min="10" max="18" width="22.6640625" style="33" customWidth="1"/>
    <col min="19" max="16384" width="8.88671875" style="33"/>
  </cols>
  <sheetData>
    <row r="1" spans="1:18" x14ac:dyDescent="0.25">
      <c r="A1" s="52" t="s">
        <v>84</v>
      </c>
      <c r="B1" s="52" t="s">
        <v>84</v>
      </c>
      <c r="C1" s="52" t="s">
        <v>84</v>
      </c>
      <c r="D1" s="52" t="s">
        <v>84</v>
      </c>
      <c r="E1" s="52" t="s">
        <v>84</v>
      </c>
      <c r="F1" s="52" t="s">
        <v>84</v>
      </c>
      <c r="G1" s="52" t="s">
        <v>84</v>
      </c>
      <c r="H1" s="52" t="s">
        <v>84</v>
      </c>
      <c r="I1" s="52" t="s">
        <v>84</v>
      </c>
      <c r="J1" s="52" t="s">
        <v>84</v>
      </c>
      <c r="K1" s="52" t="s">
        <v>84</v>
      </c>
      <c r="L1" s="52" t="s">
        <v>84</v>
      </c>
      <c r="M1" s="52" t="s">
        <v>84</v>
      </c>
      <c r="N1" s="52" t="s">
        <v>84</v>
      </c>
      <c r="O1" s="52" t="s">
        <v>84</v>
      </c>
      <c r="P1" s="52" t="s">
        <v>84</v>
      </c>
      <c r="Q1" s="52" t="s">
        <v>84</v>
      </c>
      <c r="R1" s="52" t="s">
        <v>84</v>
      </c>
    </row>
    <row r="2" spans="1:18" x14ac:dyDescent="0.25">
      <c r="A2" s="52" t="s">
        <v>184</v>
      </c>
      <c r="B2" s="52" t="s">
        <v>184</v>
      </c>
      <c r="C2" s="52" t="s">
        <v>184</v>
      </c>
      <c r="D2" s="52" t="s">
        <v>184</v>
      </c>
      <c r="E2" s="52" t="s">
        <v>184</v>
      </c>
      <c r="F2" s="52" t="s">
        <v>184</v>
      </c>
      <c r="G2" s="52" t="s">
        <v>184</v>
      </c>
      <c r="H2" s="52" t="s">
        <v>184</v>
      </c>
      <c r="I2" s="52" t="s">
        <v>184</v>
      </c>
      <c r="J2" s="52" t="s">
        <v>184</v>
      </c>
      <c r="K2" s="52" t="s">
        <v>184</v>
      </c>
      <c r="L2" s="52" t="s">
        <v>184</v>
      </c>
      <c r="M2" s="52" t="s">
        <v>184</v>
      </c>
      <c r="N2" s="52" t="s">
        <v>184</v>
      </c>
      <c r="O2" s="52" t="s">
        <v>184</v>
      </c>
      <c r="P2" s="52" t="s">
        <v>184</v>
      </c>
      <c r="Q2" s="52" t="s">
        <v>184</v>
      </c>
      <c r="R2" s="52" t="s">
        <v>184</v>
      </c>
    </row>
    <row r="3" spans="1:18" x14ac:dyDescent="0.25">
      <c r="A3" s="52" t="s">
        <v>185</v>
      </c>
      <c r="B3" s="52" t="s">
        <v>185</v>
      </c>
      <c r="C3" s="52" t="s">
        <v>185</v>
      </c>
      <c r="D3" s="52" t="s">
        <v>185</v>
      </c>
      <c r="E3" s="52" t="s">
        <v>185</v>
      </c>
      <c r="F3" s="52" t="s">
        <v>185</v>
      </c>
      <c r="G3" s="52" t="s">
        <v>185</v>
      </c>
      <c r="H3" s="52" t="s">
        <v>185</v>
      </c>
      <c r="I3" s="52" t="s">
        <v>185</v>
      </c>
      <c r="J3" s="52" t="s">
        <v>185</v>
      </c>
      <c r="K3" s="52" t="s">
        <v>185</v>
      </c>
      <c r="L3" s="52" t="s">
        <v>185</v>
      </c>
      <c r="M3" s="52" t="s">
        <v>185</v>
      </c>
      <c r="N3" s="52" t="s">
        <v>185</v>
      </c>
      <c r="O3" s="52" t="s">
        <v>185</v>
      </c>
      <c r="P3" s="52" t="s">
        <v>185</v>
      </c>
      <c r="Q3" s="52" t="s">
        <v>185</v>
      </c>
      <c r="R3" s="52" t="s">
        <v>185</v>
      </c>
    </row>
    <row r="4" spans="1:18" x14ac:dyDescent="0.25">
      <c r="A4" s="52" t="s">
        <v>253</v>
      </c>
      <c r="B4" s="52" t="s">
        <v>253</v>
      </c>
      <c r="C4" s="52" t="s">
        <v>253</v>
      </c>
      <c r="D4" s="52" t="s">
        <v>253</v>
      </c>
      <c r="E4" s="52" t="s">
        <v>253</v>
      </c>
      <c r="F4" s="52" t="s">
        <v>253</v>
      </c>
      <c r="G4" s="52" t="s">
        <v>253</v>
      </c>
      <c r="H4" s="52" t="s">
        <v>253</v>
      </c>
      <c r="I4" s="52" t="s">
        <v>253</v>
      </c>
      <c r="J4" s="52" t="s">
        <v>253</v>
      </c>
      <c r="K4" s="52" t="s">
        <v>253</v>
      </c>
      <c r="L4" s="52" t="s">
        <v>253</v>
      </c>
      <c r="M4" s="52" t="s">
        <v>253</v>
      </c>
      <c r="N4" s="52" t="s">
        <v>253</v>
      </c>
      <c r="O4" s="52" t="s">
        <v>253</v>
      </c>
      <c r="P4" s="52" t="s">
        <v>253</v>
      </c>
      <c r="Q4" s="52" t="s">
        <v>253</v>
      </c>
      <c r="R4" s="52" t="s">
        <v>253</v>
      </c>
    </row>
    <row r="5" spans="1:18" x14ac:dyDescent="0.25">
      <c r="A5" s="53" t="s">
        <v>187</v>
      </c>
      <c r="B5" s="53" t="s">
        <v>187</v>
      </c>
      <c r="C5" s="53" t="s">
        <v>187</v>
      </c>
      <c r="D5" s="53" t="s">
        <v>187</v>
      </c>
      <c r="E5" s="53" t="s">
        <v>187</v>
      </c>
      <c r="F5" s="53" t="s">
        <v>187</v>
      </c>
      <c r="G5" s="53" t="s">
        <v>187</v>
      </c>
      <c r="H5" s="53" t="s">
        <v>187</v>
      </c>
      <c r="I5" s="53" t="s">
        <v>187</v>
      </c>
      <c r="J5" s="53" t="s">
        <v>187</v>
      </c>
      <c r="K5" s="53" t="s">
        <v>187</v>
      </c>
      <c r="L5" s="53" t="s">
        <v>187</v>
      </c>
      <c r="M5" s="53" t="s">
        <v>187</v>
      </c>
      <c r="N5" s="53" t="s">
        <v>187</v>
      </c>
      <c r="O5" s="53" t="s">
        <v>187</v>
      </c>
      <c r="P5" s="53" t="s">
        <v>187</v>
      </c>
      <c r="Q5" s="53" t="s">
        <v>187</v>
      </c>
      <c r="R5" s="53" t="s">
        <v>187</v>
      </c>
    </row>
    <row r="6" spans="1:18" x14ac:dyDescent="0.25">
      <c r="A6" s="34" t="s">
        <v>92</v>
      </c>
      <c r="B6" s="34" t="s">
        <v>86</v>
      </c>
      <c r="C6" s="34" t="s">
        <v>188</v>
      </c>
      <c r="D6" s="34" t="s">
        <v>2</v>
      </c>
      <c r="E6" s="34" t="s">
        <v>189</v>
      </c>
      <c r="F6" s="34" t="s">
        <v>10</v>
      </c>
      <c r="G6" s="34" t="s">
        <v>190</v>
      </c>
      <c r="H6" s="34" t="s">
        <v>191</v>
      </c>
      <c r="I6" s="34" t="s">
        <v>192</v>
      </c>
      <c r="J6" s="34" t="s">
        <v>193</v>
      </c>
      <c r="K6" s="34" t="s">
        <v>194</v>
      </c>
      <c r="L6" s="34" t="s">
        <v>195</v>
      </c>
      <c r="M6" s="34" t="s">
        <v>196</v>
      </c>
      <c r="N6" s="34" t="s">
        <v>197</v>
      </c>
      <c r="O6" s="34" t="s">
        <v>198</v>
      </c>
      <c r="P6" s="34" t="s">
        <v>199</v>
      </c>
      <c r="Q6" s="34" t="s">
        <v>200</v>
      </c>
      <c r="R6" s="34" t="s">
        <v>201</v>
      </c>
    </row>
    <row r="7" spans="1:18" ht="96.6" hidden="1" x14ac:dyDescent="0.25">
      <c r="A7" s="33" t="s">
        <v>108</v>
      </c>
      <c r="B7" s="33" t="s">
        <v>55</v>
      </c>
      <c r="C7" s="33" t="s">
        <v>202</v>
      </c>
      <c r="D7" s="33" t="s">
        <v>5</v>
      </c>
      <c r="E7" s="33" t="s">
        <v>203</v>
      </c>
      <c r="F7" s="33" t="s">
        <v>11</v>
      </c>
      <c r="G7" s="33" t="s">
        <v>204</v>
      </c>
      <c r="H7" s="33" t="s">
        <v>205</v>
      </c>
      <c r="I7" s="33" t="s">
        <v>206</v>
      </c>
      <c r="J7" s="33">
        <v>2478.87</v>
      </c>
      <c r="K7" s="33">
        <v>0.30991999999999997</v>
      </c>
      <c r="L7" s="33">
        <v>33.895679999999999</v>
      </c>
      <c r="Q7" s="33" t="s">
        <v>207</v>
      </c>
      <c r="R7" s="33">
        <v>2023</v>
      </c>
    </row>
    <row r="8" spans="1:18" ht="96.6" hidden="1" x14ac:dyDescent="0.25">
      <c r="A8" s="33" t="s">
        <v>108</v>
      </c>
      <c r="B8" s="33" t="s">
        <v>61</v>
      </c>
      <c r="C8" s="33" t="s">
        <v>202</v>
      </c>
      <c r="D8" s="33" t="s">
        <v>5</v>
      </c>
      <c r="E8" s="33" t="s">
        <v>203</v>
      </c>
      <c r="F8" s="33" t="s">
        <v>11</v>
      </c>
      <c r="G8" s="33" t="s">
        <v>204</v>
      </c>
      <c r="H8" s="33" t="s">
        <v>205</v>
      </c>
      <c r="I8" s="33" t="s">
        <v>206</v>
      </c>
      <c r="J8" s="33">
        <v>2478.87</v>
      </c>
      <c r="K8" s="33">
        <v>0.30991999999999997</v>
      </c>
      <c r="L8" s="33">
        <v>33.895679999999999</v>
      </c>
      <c r="Q8" s="33" t="s">
        <v>207</v>
      </c>
      <c r="R8" s="33">
        <v>2023</v>
      </c>
    </row>
    <row r="9" spans="1:18" ht="96.6" hidden="1" x14ac:dyDescent="0.25">
      <c r="A9" s="33" t="s">
        <v>157</v>
      </c>
      <c r="B9" s="33" t="s">
        <v>72</v>
      </c>
      <c r="C9" s="33" t="s">
        <v>202</v>
      </c>
      <c r="D9" s="33" t="s">
        <v>5</v>
      </c>
      <c r="E9" s="33" t="s">
        <v>203</v>
      </c>
      <c r="F9" s="33" t="s">
        <v>11</v>
      </c>
      <c r="G9" s="33" t="s">
        <v>204</v>
      </c>
      <c r="H9" s="33" t="s">
        <v>205</v>
      </c>
      <c r="I9" s="33" t="s">
        <v>206</v>
      </c>
      <c r="J9" s="33">
        <v>2478.87</v>
      </c>
      <c r="K9" s="33">
        <v>0.30991999999999997</v>
      </c>
      <c r="L9" s="33">
        <v>33.895679999999999</v>
      </c>
      <c r="Q9" s="33" t="s">
        <v>207</v>
      </c>
      <c r="R9" s="33">
        <v>2023</v>
      </c>
    </row>
    <row r="10" spans="1:18" ht="96.6" hidden="1" x14ac:dyDescent="0.25">
      <c r="A10" s="33" t="s">
        <v>123</v>
      </c>
      <c r="B10" s="33" t="s">
        <v>59</v>
      </c>
      <c r="C10" s="33" t="s">
        <v>202</v>
      </c>
      <c r="D10" s="33" t="s">
        <v>5</v>
      </c>
      <c r="E10" s="33" t="s">
        <v>203</v>
      </c>
      <c r="F10" s="33" t="s">
        <v>11</v>
      </c>
      <c r="G10" s="33" t="s">
        <v>204</v>
      </c>
      <c r="H10" s="33" t="s">
        <v>205</v>
      </c>
      <c r="I10" s="33" t="s">
        <v>206</v>
      </c>
      <c r="J10" s="33">
        <v>2478.87</v>
      </c>
      <c r="K10" s="33">
        <v>0.30991999999999997</v>
      </c>
      <c r="L10" s="33">
        <v>33.895679999999999</v>
      </c>
      <c r="Q10" s="33" t="s">
        <v>207</v>
      </c>
      <c r="R10" s="33">
        <v>2023</v>
      </c>
    </row>
    <row r="11" spans="1:18" ht="96.6" hidden="1" x14ac:dyDescent="0.25">
      <c r="A11" s="33" t="s">
        <v>123</v>
      </c>
      <c r="B11" s="33" t="s">
        <v>60</v>
      </c>
      <c r="C11" s="33" t="s">
        <v>202</v>
      </c>
      <c r="D11" s="33" t="s">
        <v>5</v>
      </c>
      <c r="E11" s="33" t="s">
        <v>203</v>
      </c>
      <c r="F11" s="33" t="s">
        <v>11</v>
      </c>
      <c r="G11" s="33" t="s">
        <v>204</v>
      </c>
      <c r="H11" s="33" t="s">
        <v>205</v>
      </c>
      <c r="I11" s="33" t="s">
        <v>206</v>
      </c>
      <c r="J11" s="33">
        <v>2478.87</v>
      </c>
      <c r="K11" s="33">
        <v>0.30991999999999997</v>
      </c>
      <c r="L11" s="33">
        <v>33.895679999999999</v>
      </c>
      <c r="Q11" s="33" t="s">
        <v>207</v>
      </c>
      <c r="R11" s="33">
        <v>2023</v>
      </c>
    </row>
    <row r="12" spans="1:18" ht="96.6" hidden="1" x14ac:dyDescent="0.25">
      <c r="A12" s="33" t="s">
        <v>123</v>
      </c>
      <c r="B12" s="33" t="s">
        <v>63</v>
      </c>
      <c r="C12" s="33" t="s">
        <v>202</v>
      </c>
      <c r="D12" s="33" t="s">
        <v>5</v>
      </c>
      <c r="E12" s="33" t="s">
        <v>203</v>
      </c>
      <c r="F12" s="33" t="s">
        <v>11</v>
      </c>
      <c r="G12" s="33" t="s">
        <v>204</v>
      </c>
      <c r="H12" s="33" t="s">
        <v>205</v>
      </c>
      <c r="I12" s="33" t="s">
        <v>206</v>
      </c>
      <c r="J12" s="33">
        <v>2478.87</v>
      </c>
      <c r="K12" s="33">
        <v>0.30991999999999997</v>
      </c>
      <c r="L12" s="33">
        <v>33.895679999999999</v>
      </c>
      <c r="Q12" s="33" t="s">
        <v>207</v>
      </c>
      <c r="R12" s="33">
        <v>2023</v>
      </c>
    </row>
    <row r="13" spans="1:18" ht="96.6" hidden="1" x14ac:dyDescent="0.25">
      <c r="A13" s="33" t="s">
        <v>123</v>
      </c>
      <c r="B13" s="33" t="s">
        <v>64</v>
      </c>
      <c r="C13" s="33" t="s">
        <v>202</v>
      </c>
      <c r="D13" s="33" t="s">
        <v>5</v>
      </c>
      <c r="E13" s="33" t="s">
        <v>203</v>
      </c>
      <c r="F13" s="33" t="s">
        <v>11</v>
      </c>
      <c r="G13" s="33" t="s">
        <v>204</v>
      </c>
      <c r="H13" s="33" t="s">
        <v>205</v>
      </c>
      <c r="I13" s="33" t="s">
        <v>206</v>
      </c>
      <c r="J13" s="33">
        <v>2478.87</v>
      </c>
      <c r="K13" s="33">
        <v>0.30991999999999997</v>
      </c>
      <c r="L13" s="33">
        <v>33.895679999999999</v>
      </c>
      <c r="Q13" s="33" t="s">
        <v>207</v>
      </c>
      <c r="R13" s="33">
        <v>2023</v>
      </c>
    </row>
    <row r="14" spans="1:18" ht="96.6" hidden="1" x14ac:dyDescent="0.25">
      <c r="A14" s="33" t="s">
        <v>123</v>
      </c>
      <c r="B14" s="33" t="s">
        <v>66</v>
      </c>
      <c r="C14" s="33" t="s">
        <v>202</v>
      </c>
      <c r="D14" s="33" t="s">
        <v>5</v>
      </c>
      <c r="E14" s="33" t="s">
        <v>203</v>
      </c>
      <c r="F14" s="33" t="s">
        <v>11</v>
      </c>
      <c r="G14" s="33" t="s">
        <v>204</v>
      </c>
      <c r="H14" s="33" t="s">
        <v>205</v>
      </c>
      <c r="I14" s="33" t="s">
        <v>206</v>
      </c>
      <c r="J14" s="33">
        <v>2478.87</v>
      </c>
      <c r="K14" s="33">
        <v>0.30991999999999997</v>
      </c>
      <c r="L14" s="33">
        <v>33.895679999999999</v>
      </c>
      <c r="Q14" s="33" t="s">
        <v>207</v>
      </c>
      <c r="R14" s="33">
        <v>2023</v>
      </c>
    </row>
    <row r="15" spans="1:18" ht="96.6" hidden="1" x14ac:dyDescent="0.25">
      <c r="A15" s="33" t="s">
        <v>123</v>
      </c>
      <c r="B15" s="33" t="s">
        <v>67</v>
      </c>
      <c r="C15" s="33" t="s">
        <v>202</v>
      </c>
      <c r="D15" s="33" t="s">
        <v>5</v>
      </c>
      <c r="E15" s="33" t="s">
        <v>203</v>
      </c>
      <c r="F15" s="33" t="s">
        <v>11</v>
      </c>
      <c r="G15" s="33" t="s">
        <v>204</v>
      </c>
      <c r="H15" s="33" t="s">
        <v>205</v>
      </c>
      <c r="I15" s="33" t="s">
        <v>206</v>
      </c>
      <c r="J15" s="33">
        <v>2478.87</v>
      </c>
      <c r="K15" s="33">
        <v>0.30991999999999997</v>
      </c>
      <c r="L15" s="33">
        <v>33.895679999999999</v>
      </c>
      <c r="Q15" s="33" t="s">
        <v>207</v>
      </c>
      <c r="R15" s="33">
        <v>2023</v>
      </c>
    </row>
    <row r="16" spans="1:18" ht="96.6" x14ac:dyDescent="0.25">
      <c r="A16" s="33" t="s">
        <v>123</v>
      </c>
      <c r="B16" s="33" t="s">
        <v>68</v>
      </c>
      <c r="C16" s="33" t="s">
        <v>202</v>
      </c>
      <c r="D16" s="33" t="s">
        <v>5</v>
      </c>
      <c r="E16" s="33" t="s">
        <v>203</v>
      </c>
      <c r="F16" s="33" t="s">
        <v>11</v>
      </c>
      <c r="G16" s="33" t="s">
        <v>204</v>
      </c>
      <c r="H16" s="33" t="s">
        <v>205</v>
      </c>
      <c r="I16" s="33" t="s">
        <v>206</v>
      </c>
      <c r="J16" s="33">
        <v>2478.87</v>
      </c>
      <c r="K16" s="33">
        <v>0.30991999999999997</v>
      </c>
      <c r="L16" s="33">
        <v>33.895679999999999</v>
      </c>
      <c r="Q16" s="33" t="s">
        <v>207</v>
      </c>
      <c r="R16" s="33">
        <v>2023</v>
      </c>
    </row>
    <row r="17" spans="1:18" ht="96.6" hidden="1" x14ac:dyDescent="0.25">
      <c r="A17" s="33" t="s">
        <v>123</v>
      </c>
      <c r="B17" s="33" t="s">
        <v>77</v>
      </c>
      <c r="C17" s="33" t="s">
        <v>202</v>
      </c>
      <c r="D17" s="33" t="s">
        <v>5</v>
      </c>
      <c r="E17" s="33" t="s">
        <v>203</v>
      </c>
      <c r="F17" s="33" t="s">
        <v>11</v>
      </c>
      <c r="G17" s="33" t="s">
        <v>204</v>
      </c>
      <c r="H17" s="33" t="s">
        <v>205</v>
      </c>
      <c r="I17" s="33" t="s">
        <v>206</v>
      </c>
      <c r="J17" s="33">
        <v>2478.87</v>
      </c>
      <c r="K17" s="33">
        <v>0.30991999999999997</v>
      </c>
      <c r="L17" s="33">
        <v>33.895679999999999</v>
      </c>
      <c r="Q17" s="33" t="s">
        <v>207</v>
      </c>
      <c r="R17" s="33">
        <v>2023</v>
      </c>
    </row>
    <row r="18" spans="1:18" ht="96.6" hidden="1" x14ac:dyDescent="0.25">
      <c r="A18" s="33" t="s">
        <v>113</v>
      </c>
      <c r="B18" s="33" t="s">
        <v>56</v>
      </c>
      <c r="C18" s="33" t="s">
        <v>202</v>
      </c>
      <c r="D18" s="33" t="s">
        <v>5</v>
      </c>
      <c r="E18" s="33" t="s">
        <v>203</v>
      </c>
      <c r="F18" s="33" t="s">
        <v>11</v>
      </c>
      <c r="G18" s="33" t="s">
        <v>204</v>
      </c>
      <c r="H18" s="33" t="s">
        <v>205</v>
      </c>
      <c r="I18" s="33" t="s">
        <v>206</v>
      </c>
      <c r="J18" s="33">
        <v>2478.87</v>
      </c>
      <c r="K18" s="33">
        <v>0.30991999999999997</v>
      </c>
      <c r="L18" s="33">
        <v>33.895679999999999</v>
      </c>
      <c r="Q18" s="33" t="s">
        <v>207</v>
      </c>
      <c r="R18" s="33">
        <v>2023</v>
      </c>
    </row>
    <row r="19" spans="1:18" ht="96.6" hidden="1" x14ac:dyDescent="0.25">
      <c r="A19" s="33" t="s">
        <v>113</v>
      </c>
      <c r="B19" s="33" t="s">
        <v>62</v>
      </c>
      <c r="C19" s="33" t="s">
        <v>202</v>
      </c>
      <c r="D19" s="33" t="s">
        <v>5</v>
      </c>
      <c r="E19" s="33" t="s">
        <v>203</v>
      </c>
      <c r="F19" s="33" t="s">
        <v>11</v>
      </c>
      <c r="G19" s="33" t="s">
        <v>204</v>
      </c>
      <c r="H19" s="33" t="s">
        <v>205</v>
      </c>
      <c r="I19" s="33" t="s">
        <v>206</v>
      </c>
      <c r="J19" s="33">
        <v>2478.87</v>
      </c>
      <c r="K19" s="33">
        <v>0.30991999999999997</v>
      </c>
      <c r="L19" s="33">
        <v>33.895679999999999</v>
      </c>
      <c r="Q19" s="33" t="s">
        <v>207</v>
      </c>
      <c r="R19" s="33">
        <v>2023</v>
      </c>
    </row>
    <row r="20" spans="1:18" ht="96.6" hidden="1" x14ac:dyDescent="0.25">
      <c r="A20" s="33" t="s">
        <v>113</v>
      </c>
      <c r="B20" s="33" t="s">
        <v>65</v>
      </c>
      <c r="C20" s="33" t="s">
        <v>202</v>
      </c>
      <c r="D20" s="33" t="s">
        <v>5</v>
      </c>
      <c r="E20" s="33" t="s">
        <v>203</v>
      </c>
      <c r="F20" s="33" t="s">
        <v>11</v>
      </c>
      <c r="G20" s="33" t="s">
        <v>204</v>
      </c>
      <c r="H20" s="33" t="s">
        <v>205</v>
      </c>
      <c r="I20" s="33" t="s">
        <v>206</v>
      </c>
      <c r="J20" s="33">
        <v>2478.87</v>
      </c>
      <c r="K20" s="33">
        <v>0.30991999999999997</v>
      </c>
      <c r="L20" s="33">
        <v>33.895679999999999</v>
      </c>
      <c r="Q20" s="33" t="s">
        <v>207</v>
      </c>
      <c r="R20" s="33">
        <v>2023</v>
      </c>
    </row>
    <row r="21" spans="1:18" ht="96.6" hidden="1" x14ac:dyDescent="0.25">
      <c r="A21" s="33" t="s">
        <v>172</v>
      </c>
      <c r="B21" s="33" t="s">
        <v>78</v>
      </c>
      <c r="C21" s="33" t="s">
        <v>202</v>
      </c>
      <c r="D21" s="33" t="s">
        <v>5</v>
      </c>
      <c r="E21" s="33" t="s">
        <v>203</v>
      </c>
      <c r="F21" s="33" t="s">
        <v>11</v>
      </c>
      <c r="G21" s="33" t="s">
        <v>204</v>
      </c>
      <c r="H21" s="33" t="s">
        <v>205</v>
      </c>
      <c r="I21" s="33" t="s">
        <v>206</v>
      </c>
      <c r="J21" s="33">
        <v>2478.87</v>
      </c>
      <c r="K21" s="33">
        <v>0.30991999999999997</v>
      </c>
      <c r="L21" s="33">
        <v>33.895679999999999</v>
      </c>
      <c r="Q21" s="33" t="s">
        <v>207</v>
      </c>
      <c r="R21" s="33">
        <v>2023</v>
      </c>
    </row>
    <row r="22" spans="1:18" ht="96.6" hidden="1" x14ac:dyDescent="0.25">
      <c r="A22" s="33" t="s">
        <v>118</v>
      </c>
      <c r="B22" s="33" t="s">
        <v>57</v>
      </c>
      <c r="C22" s="33" t="s">
        <v>202</v>
      </c>
      <c r="D22" s="33" t="s">
        <v>5</v>
      </c>
      <c r="E22" s="33" t="s">
        <v>203</v>
      </c>
      <c r="F22" s="33" t="s">
        <v>11</v>
      </c>
      <c r="G22" s="33" t="s">
        <v>204</v>
      </c>
      <c r="H22" s="33" t="s">
        <v>205</v>
      </c>
      <c r="I22" s="33" t="s">
        <v>206</v>
      </c>
      <c r="J22" s="33">
        <v>2478.87</v>
      </c>
      <c r="K22" s="33">
        <v>0.30991999999999997</v>
      </c>
      <c r="L22" s="33">
        <v>33.895679999999999</v>
      </c>
      <c r="Q22" s="33" t="s">
        <v>207</v>
      </c>
      <c r="R22" s="33">
        <v>2023</v>
      </c>
    </row>
    <row r="23" spans="1:18" ht="96.6" hidden="1" x14ac:dyDescent="0.25">
      <c r="A23" s="33" t="s">
        <v>118</v>
      </c>
      <c r="B23" s="33" t="s">
        <v>58</v>
      </c>
      <c r="C23" s="33" t="s">
        <v>202</v>
      </c>
      <c r="D23" s="33" t="s">
        <v>5</v>
      </c>
      <c r="E23" s="33" t="s">
        <v>203</v>
      </c>
      <c r="F23" s="33" t="s">
        <v>11</v>
      </c>
      <c r="G23" s="33" t="s">
        <v>204</v>
      </c>
      <c r="H23" s="33" t="s">
        <v>205</v>
      </c>
      <c r="I23" s="33" t="s">
        <v>206</v>
      </c>
      <c r="J23" s="33">
        <v>2478.87</v>
      </c>
      <c r="K23" s="33">
        <v>0.30991999999999997</v>
      </c>
      <c r="L23" s="33">
        <v>33.895679999999999</v>
      </c>
      <c r="Q23" s="33" t="s">
        <v>207</v>
      </c>
      <c r="R23" s="33">
        <v>2023</v>
      </c>
    </row>
    <row r="24" spans="1:18" ht="96.6" hidden="1" x14ac:dyDescent="0.25">
      <c r="A24" s="33" t="s">
        <v>118</v>
      </c>
      <c r="B24" s="33" t="s">
        <v>69</v>
      </c>
      <c r="C24" s="33" t="s">
        <v>202</v>
      </c>
      <c r="D24" s="33" t="s">
        <v>5</v>
      </c>
      <c r="E24" s="33" t="s">
        <v>203</v>
      </c>
      <c r="F24" s="33" t="s">
        <v>11</v>
      </c>
      <c r="G24" s="33" t="s">
        <v>204</v>
      </c>
      <c r="H24" s="33" t="s">
        <v>205</v>
      </c>
      <c r="I24" s="33" t="s">
        <v>206</v>
      </c>
      <c r="J24" s="33">
        <v>2478.87</v>
      </c>
      <c r="K24" s="33">
        <v>0.30991999999999997</v>
      </c>
      <c r="L24" s="33">
        <v>33.895679999999999</v>
      </c>
      <c r="Q24" s="33" t="s">
        <v>207</v>
      </c>
      <c r="R24" s="33">
        <v>2023</v>
      </c>
    </row>
    <row r="25" spans="1:18" ht="96.6" hidden="1" x14ac:dyDescent="0.25">
      <c r="A25" s="33" t="s">
        <v>118</v>
      </c>
      <c r="B25" s="33" t="s">
        <v>70</v>
      </c>
      <c r="C25" s="33" t="s">
        <v>202</v>
      </c>
      <c r="D25" s="33" t="s">
        <v>5</v>
      </c>
      <c r="E25" s="33" t="s">
        <v>203</v>
      </c>
      <c r="F25" s="33" t="s">
        <v>11</v>
      </c>
      <c r="G25" s="33" t="s">
        <v>204</v>
      </c>
      <c r="H25" s="33" t="s">
        <v>205</v>
      </c>
      <c r="I25" s="33" t="s">
        <v>206</v>
      </c>
      <c r="J25" s="33">
        <v>2478.87</v>
      </c>
      <c r="K25" s="33">
        <v>0.30991999999999997</v>
      </c>
      <c r="L25" s="33">
        <v>33.895679999999999</v>
      </c>
      <c r="Q25" s="33" t="s">
        <v>207</v>
      </c>
      <c r="R25" s="33">
        <v>2023</v>
      </c>
    </row>
    <row r="26" spans="1:18" ht="96.6" hidden="1" x14ac:dyDescent="0.25">
      <c r="A26" s="33" t="s">
        <v>118</v>
      </c>
      <c r="B26" s="33" t="s">
        <v>71</v>
      </c>
      <c r="C26" s="33" t="s">
        <v>202</v>
      </c>
      <c r="D26" s="33" t="s">
        <v>5</v>
      </c>
      <c r="E26" s="33" t="s">
        <v>203</v>
      </c>
      <c r="F26" s="33" t="s">
        <v>11</v>
      </c>
      <c r="G26" s="33" t="s">
        <v>204</v>
      </c>
      <c r="H26" s="33" t="s">
        <v>205</v>
      </c>
      <c r="I26" s="33" t="s">
        <v>206</v>
      </c>
      <c r="J26" s="33">
        <v>2478.87</v>
      </c>
      <c r="K26" s="33">
        <v>0.30991999999999997</v>
      </c>
      <c r="L26" s="33">
        <v>33.895679999999999</v>
      </c>
      <c r="Q26" s="33" t="s">
        <v>207</v>
      </c>
      <c r="R26" s="33">
        <v>2023</v>
      </c>
    </row>
    <row r="27" spans="1:18" ht="96.6" hidden="1" x14ac:dyDescent="0.25">
      <c r="A27" s="33" t="s">
        <v>118</v>
      </c>
      <c r="B27" s="33" t="s">
        <v>73</v>
      </c>
      <c r="C27" s="33" t="s">
        <v>202</v>
      </c>
      <c r="D27" s="33" t="s">
        <v>5</v>
      </c>
      <c r="E27" s="33" t="s">
        <v>203</v>
      </c>
      <c r="F27" s="33" t="s">
        <v>11</v>
      </c>
      <c r="G27" s="33" t="s">
        <v>204</v>
      </c>
      <c r="H27" s="33" t="s">
        <v>205</v>
      </c>
      <c r="I27" s="33" t="s">
        <v>206</v>
      </c>
      <c r="J27" s="33">
        <v>2478.87</v>
      </c>
      <c r="K27" s="33">
        <v>0.30991999999999997</v>
      </c>
      <c r="L27" s="33">
        <v>33.895679999999999</v>
      </c>
      <c r="Q27" s="33" t="s">
        <v>207</v>
      </c>
      <c r="R27" s="33">
        <v>2023</v>
      </c>
    </row>
    <row r="28" spans="1:18" ht="96.6" hidden="1" x14ac:dyDescent="0.25">
      <c r="A28" s="33" t="s">
        <v>118</v>
      </c>
      <c r="B28" s="33" t="s">
        <v>74</v>
      </c>
      <c r="C28" s="33" t="s">
        <v>202</v>
      </c>
      <c r="D28" s="33" t="s">
        <v>5</v>
      </c>
      <c r="E28" s="33" t="s">
        <v>203</v>
      </c>
      <c r="F28" s="33" t="s">
        <v>11</v>
      </c>
      <c r="G28" s="33" t="s">
        <v>204</v>
      </c>
      <c r="H28" s="33" t="s">
        <v>205</v>
      </c>
      <c r="I28" s="33" t="s">
        <v>206</v>
      </c>
      <c r="J28" s="33">
        <v>2478.87</v>
      </c>
      <c r="K28" s="33">
        <v>0.30991999999999997</v>
      </c>
      <c r="L28" s="33">
        <v>33.895679999999999</v>
      </c>
      <c r="Q28" s="33" t="s">
        <v>207</v>
      </c>
      <c r="R28" s="33">
        <v>2023</v>
      </c>
    </row>
    <row r="29" spans="1:18" ht="96.6" hidden="1" x14ac:dyDescent="0.25">
      <c r="A29" s="33" t="s">
        <v>118</v>
      </c>
      <c r="B29" s="33" t="s">
        <v>75</v>
      </c>
      <c r="C29" s="33" t="s">
        <v>202</v>
      </c>
      <c r="D29" s="33" t="s">
        <v>5</v>
      </c>
      <c r="E29" s="33" t="s">
        <v>203</v>
      </c>
      <c r="F29" s="33" t="s">
        <v>11</v>
      </c>
      <c r="G29" s="33" t="s">
        <v>204</v>
      </c>
      <c r="H29" s="33" t="s">
        <v>205</v>
      </c>
      <c r="I29" s="33" t="s">
        <v>206</v>
      </c>
      <c r="J29" s="33">
        <v>2478.87</v>
      </c>
      <c r="K29" s="33">
        <v>0.30991999999999997</v>
      </c>
      <c r="L29" s="33">
        <v>33.895679999999999</v>
      </c>
      <c r="Q29" s="33" t="s">
        <v>207</v>
      </c>
      <c r="R29" s="33">
        <v>2023</v>
      </c>
    </row>
    <row r="30" spans="1:18" ht="96.6" hidden="1" x14ac:dyDescent="0.25">
      <c r="A30" s="33" t="s">
        <v>118</v>
      </c>
      <c r="B30" s="33" t="s">
        <v>76</v>
      </c>
      <c r="C30" s="33" t="s">
        <v>202</v>
      </c>
      <c r="D30" s="33" t="s">
        <v>5</v>
      </c>
      <c r="E30" s="33" t="s">
        <v>203</v>
      </c>
      <c r="F30" s="33" t="s">
        <v>11</v>
      </c>
      <c r="G30" s="33" t="s">
        <v>204</v>
      </c>
      <c r="H30" s="33" t="s">
        <v>205</v>
      </c>
      <c r="I30" s="33" t="s">
        <v>206</v>
      </c>
      <c r="J30" s="33">
        <v>2478.87</v>
      </c>
      <c r="K30" s="33">
        <v>0.30991999999999997</v>
      </c>
      <c r="L30" s="33">
        <v>33.895679999999999</v>
      </c>
      <c r="Q30" s="33" t="s">
        <v>207</v>
      </c>
      <c r="R30" s="33">
        <v>2023</v>
      </c>
    </row>
    <row r="31" spans="1:18" ht="27.6" hidden="1" x14ac:dyDescent="0.25">
      <c r="A31" s="33" t="s">
        <v>108</v>
      </c>
      <c r="B31" s="33" t="s">
        <v>55</v>
      </c>
      <c r="C31" s="33" t="s">
        <v>208</v>
      </c>
      <c r="D31" s="33" t="s">
        <v>5</v>
      </c>
      <c r="E31" s="33" t="s">
        <v>203</v>
      </c>
      <c r="F31" s="33" t="s">
        <v>12</v>
      </c>
      <c r="G31" s="33" t="s">
        <v>204</v>
      </c>
      <c r="H31" s="33" t="s">
        <v>209</v>
      </c>
      <c r="I31" s="33" t="s">
        <v>209</v>
      </c>
      <c r="J31" s="33">
        <v>2478.87</v>
      </c>
      <c r="K31" s="33">
        <v>0.30991999999999997</v>
      </c>
      <c r="L31" s="33">
        <v>33.895679999999999</v>
      </c>
      <c r="Q31" s="33" t="s">
        <v>254</v>
      </c>
      <c r="R31" s="33" t="s">
        <v>208</v>
      </c>
    </row>
    <row r="32" spans="1:18" ht="27.6" hidden="1" x14ac:dyDescent="0.25">
      <c r="A32" s="33" t="s">
        <v>108</v>
      </c>
      <c r="B32" s="33" t="s">
        <v>61</v>
      </c>
      <c r="C32" s="33" t="s">
        <v>208</v>
      </c>
      <c r="D32" s="33" t="s">
        <v>5</v>
      </c>
      <c r="E32" s="33" t="s">
        <v>203</v>
      </c>
      <c r="F32" s="33" t="s">
        <v>12</v>
      </c>
      <c r="G32" s="33" t="s">
        <v>204</v>
      </c>
      <c r="H32" s="33" t="s">
        <v>209</v>
      </c>
      <c r="I32" s="33" t="s">
        <v>209</v>
      </c>
      <c r="J32" s="33">
        <v>2478.87</v>
      </c>
      <c r="K32" s="33">
        <v>0.30991999999999997</v>
      </c>
      <c r="L32" s="33">
        <v>33.895679999999999</v>
      </c>
      <c r="Q32" s="33" t="s">
        <v>254</v>
      </c>
      <c r="R32" s="33" t="s">
        <v>208</v>
      </c>
    </row>
    <row r="33" spans="1:18" ht="27.6" hidden="1" x14ac:dyDescent="0.25">
      <c r="A33" s="33" t="s">
        <v>157</v>
      </c>
      <c r="B33" s="33" t="s">
        <v>72</v>
      </c>
      <c r="C33" s="33" t="s">
        <v>208</v>
      </c>
      <c r="D33" s="33" t="s">
        <v>5</v>
      </c>
      <c r="E33" s="33" t="s">
        <v>203</v>
      </c>
      <c r="F33" s="33" t="s">
        <v>12</v>
      </c>
      <c r="G33" s="33" t="s">
        <v>204</v>
      </c>
      <c r="H33" s="33" t="s">
        <v>209</v>
      </c>
      <c r="I33" s="33" t="s">
        <v>209</v>
      </c>
      <c r="J33" s="33">
        <v>2478.87</v>
      </c>
      <c r="K33" s="33">
        <v>0.30991999999999997</v>
      </c>
      <c r="L33" s="33">
        <v>33.895679999999999</v>
      </c>
      <c r="Q33" s="33" t="s">
        <v>254</v>
      </c>
      <c r="R33" s="33" t="s">
        <v>208</v>
      </c>
    </row>
    <row r="34" spans="1:18" ht="27.6" hidden="1" x14ac:dyDescent="0.25">
      <c r="A34" s="33" t="s">
        <v>123</v>
      </c>
      <c r="B34" s="33" t="s">
        <v>59</v>
      </c>
      <c r="C34" s="33" t="s">
        <v>208</v>
      </c>
      <c r="D34" s="33" t="s">
        <v>5</v>
      </c>
      <c r="E34" s="33" t="s">
        <v>203</v>
      </c>
      <c r="F34" s="33" t="s">
        <v>12</v>
      </c>
      <c r="G34" s="33" t="s">
        <v>204</v>
      </c>
      <c r="H34" s="33" t="s">
        <v>209</v>
      </c>
      <c r="I34" s="33" t="s">
        <v>209</v>
      </c>
      <c r="J34" s="33">
        <v>2478.87</v>
      </c>
      <c r="K34" s="33">
        <v>0.30991999999999997</v>
      </c>
      <c r="L34" s="33">
        <v>33.895679999999999</v>
      </c>
      <c r="Q34" s="33" t="s">
        <v>254</v>
      </c>
      <c r="R34" s="33" t="s">
        <v>208</v>
      </c>
    </row>
    <row r="35" spans="1:18" ht="27.6" hidden="1" x14ac:dyDescent="0.25">
      <c r="A35" s="33" t="s">
        <v>123</v>
      </c>
      <c r="B35" s="33" t="s">
        <v>60</v>
      </c>
      <c r="C35" s="33" t="s">
        <v>208</v>
      </c>
      <c r="D35" s="33" t="s">
        <v>5</v>
      </c>
      <c r="E35" s="33" t="s">
        <v>203</v>
      </c>
      <c r="F35" s="33" t="s">
        <v>12</v>
      </c>
      <c r="G35" s="33" t="s">
        <v>204</v>
      </c>
      <c r="H35" s="33" t="s">
        <v>209</v>
      </c>
      <c r="I35" s="33" t="s">
        <v>209</v>
      </c>
      <c r="J35" s="33">
        <v>2478.87</v>
      </c>
      <c r="K35" s="33">
        <v>0.30991999999999997</v>
      </c>
      <c r="L35" s="33">
        <v>33.895679999999999</v>
      </c>
      <c r="Q35" s="33" t="s">
        <v>254</v>
      </c>
      <c r="R35" s="33" t="s">
        <v>208</v>
      </c>
    </row>
    <row r="36" spans="1:18" ht="27.6" hidden="1" x14ac:dyDescent="0.25">
      <c r="A36" s="33" t="s">
        <v>123</v>
      </c>
      <c r="B36" s="33" t="s">
        <v>63</v>
      </c>
      <c r="C36" s="33" t="s">
        <v>208</v>
      </c>
      <c r="D36" s="33" t="s">
        <v>5</v>
      </c>
      <c r="E36" s="33" t="s">
        <v>203</v>
      </c>
      <c r="F36" s="33" t="s">
        <v>12</v>
      </c>
      <c r="G36" s="33" t="s">
        <v>204</v>
      </c>
      <c r="H36" s="33" t="s">
        <v>209</v>
      </c>
      <c r="I36" s="33" t="s">
        <v>209</v>
      </c>
      <c r="J36" s="33">
        <v>2478.87</v>
      </c>
      <c r="K36" s="33">
        <v>0.30991999999999997</v>
      </c>
      <c r="L36" s="33">
        <v>33.895679999999999</v>
      </c>
      <c r="Q36" s="33" t="s">
        <v>254</v>
      </c>
      <c r="R36" s="33" t="s">
        <v>208</v>
      </c>
    </row>
    <row r="37" spans="1:18" ht="27.6" hidden="1" x14ac:dyDescent="0.25">
      <c r="A37" s="33" t="s">
        <v>123</v>
      </c>
      <c r="B37" s="33" t="s">
        <v>64</v>
      </c>
      <c r="C37" s="33" t="s">
        <v>208</v>
      </c>
      <c r="D37" s="33" t="s">
        <v>5</v>
      </c>
      <c r="E37" s="33" t="s">
        <v>203</v>
      </c>
      <c r="F37" s="33" t="s">
        <v>12</v>
      </c>
      <c r="G37" s="33" t="s">
        <v>204</v>
      </c>
      <c r="H37" s="33" t="s">
        <v>209</v>
      </c>
      <c r="I37" s="33" t="s">
        <v>209</v>
      </c>
      <c r="J37" s="33">
        <v>2478.87</v>
      </c>
      <c r="K37" s="33">
        <v>0.30991999999999997</v>
      </c>
      <c r="L37" s="33">
        <v>33.895679999999999</v>
      </c>
      <c r="Q37" s="33" t="s">
        <v>254</v>
      </c>
      <c r="R37" s="33" t="s">
        <v>208</v>
      </c>
    </row>
    <row r="38" spans="1:18" ht="27.6" hidden="1" x14ac:dyDescent="0.25">
      <c r="A38" s="33" t="s">
        <v>123</v>
      </c>
      <c r="B38" s="33" t="s">
        <v>66</v>
      </c>
      <c r="C38" s="33" t="s">
        <v>208</v>
      </c>
      <c r="D38" s="33" t="s">
        <v>5</v>
      </c>
      <c r="E38" s="33" t="s">
        <v>203</v>
      </c>
      <c r="F38" s="33" t="s">
        <v>12</v>
      </c>
      <c r="G38" s="33" t="s">
        <v>204</v>
      </c>
      <c r="H38" s="33" t="s">
        <v>209</v>
      </c>
      <c r="I38" s="33" t="s">
        <v>209</v>
      </c>
      <c r="J38" s="33">
        <v>2478.87</v>
      </c>
      <c r="K38" s="33">
        <v>0.30991999999999997</v>
      </c>
      <c r="L38" s="33">
        <v>33.895679999999999</v>
      </c>
      <c r="Q38" s="33" t="s">
        <v>254</v>
      </c>
      <c r="R38" s="33" t="s">
        <v>208</v>
      </c>
    </row>
    <row r="39" spans="1:18" ht="27.6" hidden="1" x14ac:dyDescent="0.25">
      <c r="A39" s="33" t="s">
        <v>123</v>
      </c>
      <c r="B39" s="33" t="s">
        <v>67</v>
      </c>
      <c r="C39" s="33" t="s">
        <v>208</v>
      </c>
      <c r="D39" s="33" t="s">
        <v>5</v>
      </c>
      <c r="E39" s="33" t="s">
        <v>203</v>
      </c>
      <c r="F39" s="33" t="s">
        <v>12</v>
      </c>
      <c r="G39" s="33" t="s">
        <v>204</v>
      </c>
      <c r="H39" s="33" t="s">
        <v>209</v>
      </c>
      <c r="I39" s="33" t="s">
        <v>209</v>
      </c>
      <c r="J39" s="33">
        <v>2478.87</v>
      </c>
      <c r="K39" s="33">
        <v>0.30991999999999997</v>
      </c>
      <c r="L39" s="33">
        <v>33.895679999999999</v>
      </c>
      <c r="Q39" s="33" t="s">
        <v>254</v>
      </c>
      <c r="R39" s="33" t="s">
        <v>208</v>
      </c>
    </row>
    <row r="40" spans="1:18" ht="27.6" x14ac:dyDescent="0.25">
      <c r="A40" s="33" t="s">
        <v>123</v>
      </c>
      <c r="B40" s="33" t="s">
        <v>68</v>
      </c>
      <c r="C40" s="33" t="s">
        <v>208</v>
      </c>
      <c r="D40" s="33" t="s">
        <v>5</v>
      </c>
      <c r="E40" s="33" t="s">
        <v>203</v>
      </c>
      <c r="F40" s="33" t="s">
        <v>12</v>
      </c>
      <c r="G40" s="33" t="s">
        <v>204</v>
      </c>
      <c r="H40" s="33" t="s">
        <v>209</v>
      </c>
      <c r="I40" s="33" t="s">
        <v>209</v>
      </c>
      <c r="J40" s="33">
        <v>2478.87</v>
      </c>
      <c r="K40" s="33">
        <v>0.30991999999999997</v>
      </c>
      <c r="L40" s="33">
        <v>33.895679999999999</v>
      </c>
      <c r="Q40" s="33" t="s">
        <v>254</v>
      </c>
      <c r="R40" s="33" t="s">
        <v>208</v>
      </c>
    </row>
    <row r="41" spans="1:18" ht="27.6" hidden="1" x14ac:dyDescent="0.25">
      <c r="A41" s="33" t="s">
        <v>123</v>
      </c>
      <c r="B41" s="33" t="s">
        <v>77</v>
      </c>
      <c r="C41" s="33" t="s">
        <v>208</v>
      </c>
      <c r="D41" s="33" t="s">
        <v>5</v>
      </c>
      <c r="E41" s="33" t="s">
        <v>203</v>
      </c>
      <c r="F41" s="33" t="s">
        <v>12</v>
      </c>
      <c r="G41" s="33" t="s">
        <v>204</v>
      </c>
      <c r="H41" s="33" t="s">
        <v>209</v>
      </c>
      <c r="I41" s="33" t="s">
        <v>209</v>
      </c>
      <c r="J41" s="33">
        <v>2478.87</v>
      </c>
      <c r="K41" s="33">
        <v>0.30991999999999997</v>
      </c>
      <c r="L41" s="33">
        <v>33.895679999999999</v>
      </c>
      <c r="Q41" s="33" t="s">
        <v>254</v>
      </c>
      <c r="R41" s="33" t="s">
        <v>208</v>
      </c>
    </row>
    <row r="42" spans="1:18" ht="27.6" hidden="1" x14ac:dyDescent="0.25">
      <c r="A42" s="33" t="s">
        <v>113</v>
      </c>
      <c r="B42" s="33" t="s">
        <v>56</v>
      </c>
      <c r="C42" s="33" t="s">
        <v>208</v>
      </c>
      <c r="D42" s="33" t="s">
        <v>5</v>
      </c>
      <c r="E42" s="33" t="s">
        <v>203</v>
      </c>
      <c r="F42" s="33" t="s">
        <v>12</v>
      </c>
      <c r="G42" s="33" t="s">
        <v>204</v>
      </c>
      <c r="H42" s="33" t="s">
        <v>209</v>
      </c>
      <c r="I42" s="33" t="s">
        <v>209</v>
      </c>
      <c r="J42" s="33">
        <v>2478.87</v>
      </c>
      <c r="K42" s="33">
        <v>0.30991999999999997</v>
      </c>
      <c r="L42" s="33">
        <v>33.895679999999999</v>
      </c>
      <c r="Q42" s="33" t="s">
        <v>254</v>
      </c>
      <c r="R42" s="33" t="s">
        <v>208</v>
      </c>
    </row>
    <row r="43" spans="1:18" ht="27.6" hidden="1" x14ac:dyDescent="0.25">
      <c r="A43" s="33" t="s">
        <v>113</v>
      </c>
      <c r="B43" s="33" t="s">
        <v>62</v>
      </c>
      <c r="C43" s="33" t="s">
        <v>208</v>
      </c>
      <c r="D43" s="33" t="s">
        <v>5</v>
      </c>
      <c r="E43" s="33" t="s">
        <v>203</v>
      </c>
      <c r="F43" s="33" t="s">
        <v>12</v>
      </c>
      <c r="G43" s="33" t="s">
        <v>204</v>
      </c>
      <c r="H43" s="33" t="s">
        <v>209</v>
      </c>
      <c r="I43" s="33" t="s">
        <v>209</v>
      </c>
      <c r="J43" s="33">
        <v>2478.87</v>
      </c>
      <c r="K43" s="33">
        <v>0.30991999999999997</v>
      </c>
      <c r="L43" s="33">
        <v>33.895679999999999</v>
      </c>
      <c r="Q43" s="33" t="s">
        <v>254</v>
      </c>
      <c r="R43" s="33" t="s">
        <v>208</v>
      </c>
    </row>
    <row r="44" spans="1:18" ht="27.6" hidden="1" x14ac:dyDescent="0.25">
      <c r="A44" s="33" t="s">
        <v>113</v>
      </c>
      <c r="B44" s="33" t="s">
        <v>65</v>
      </c>
      <c r="C44" s="33" t="s">
        <v>208</v>
      </c>
      <c r="D44" s="33" t="s">
        <v>5</v>
      </c>
      <c r="E44" s="33" t="s">
        <v>203</v>
      </c>
      <c r="F44" s="33" t="s">
        <v>12</v>
      </c>
      <c r="G44" s="33" t="s">
        <v>204</v>
      </c>
      <c r="H44" s="33" t="s">
        <v>209</v>
      </c>
      <c r="I44" s="33" t="s">
        <v>209</v>
      </c>
      <c r="J44" s="33">
        <v>2478.87</v>
      </c>
      <c r="K44" s="33">
        <v>0.30991999999999997</v>
      </c>
      <c r="L44" s="33">
        <v>33.895679999999999</v>
      </c>
      <c r="Q44" s="33" t="s">
        <v>254</v>
      </c>
      <c r="R44" s="33" t="s">
        <v>208</v>
      </c>
    </row>
    <row r="45" spans="1:18" ht="27.6" hidden="1" x14ac:dyDescent="0.25">
      <c r="A45" s="33" t="s">
        <v>172</v>
      </c>
      <c r="B45" s="33" t="s">
        <v>78</v>
      </c>
      <c r="C45" s="33" t="s">
        <v>208</v>
      </c>
      <c r="D45" s="33" t="s">
        <v>5</v>
      </c>
      <c r="E45" s="33" t="s">
        <v>203</v>
      </c>
      <c r="F45" s="33" t="s">
        <v>12</v>
      </c>
      <c r="G45" s="33" t="s">
        <v>204</v>
      </c>
      <c r="H45" s="33" t="s">
        <v>209</v>
      </c>
      <c r="I45" s="33" t="s">
        <v>209</v>
      </c>
      <c r="J45" s="33">
        <v>2478.87</v>
      </c>
      <c r="K45" s="33">
        <v>0.30991999999999997</v>
      </c>
      <c r="L45" s="33">
        <v>33.895679999999999</v>
      </c>
      <c r="Q45" s="33" t="s">
        <v>254</v>
      </c>
      <c r="R45" s="33" t="s">
        <v>208</v>
      </c>
    </row>
    <row r="46" spans="1:18" ht="27.6" hidden="1" x14ac:dyDescent="0.25">
      <c r="A46" s="33" t="s">
        <v>118</v>
      </c>
      <c r="B46" s="33" t="s">
        <v>57</v>
      </c>
      <c r="C46" s="33" t="s">
        <v>208</v>
      </c>
      <c r="D46" s="33" t="s">
        <v>5</v>
      </c>
      <c r="E46" s="33" t="s">
        <v>203</v>
      </c>
      <c r="F46" s="33" t="s">
        <v>12</v>
      </c>
      <c r="G46" s="33" t="s">
        <v>204</v>
      </c>
      <c r="H46" s="33" t="s">
        <v>209</v>
      </c>
      <c r="I46" s="33" t="s">
        <v>209</v>
      </c>
      <c r="J46" s="33">
        <v>2478.87</v>
      </c>
      <c r="K46" s="33">
        <v>0.30991999999999997</v>
      </c>
      <c r="L46" s="33">
        <v>33.895679999999999</v>
      </c>
      <c r="Q46" s="33" t="s">
        <v>254</v>
      </c>
      <c r="R46" s="33" t="s">
        <v>208</v>
      </c>
    </row>
    <row r="47" spans="1:18" ht="27.6" hidden="1" x14ac:dyDescent="0.25">
      <c r="A47" s="33" t="s">
        <v>118</v>
      </c>
      <c r="B47" s="33" t="s">
        <v>58</v>
      </c>
      <c r="C47" s="33" t="s">
        <v>208</v>
      </c>
      <c r="D47" s="33" t="s">
        <v>5</v>
      </c>
      <c r="E47" s="33" t="s">
        <v>203</v>
      </c>
      <c r="F47" s="33" t="s">
        <v>12</v>
      </c>
      <c r="G47" s="33" t="s">
        <v>204</v>
      </c>
      <c r="H47" s="33" t="s">
        <v>209</v>
      </c>
      <c r="I47" s="33" t="s">
        <v>209</v>
      </c>
      <c r="J47" s="33">
        <v>2478.87</v>
      </c>
      <c r="K47" s="33">
        <v>0.30991999999999997</v>
      </c>
      <c r="L47" s="33">
        <v>33.895679999999999</v>
      </c>
      <c r="Q47" s="33" t="s">
        <v>254</v>
      </c>
      <c r="R47" s="33" t="s">
        <v>208</v>
      </c>
    </row>
    <row r="48" spans="1:18" ht="27.6" hidden="1" x14ac:dyDescent="0.25">
      <c r="A48" s="33" t="s">
        <v>118</v>
      </c>
      <c r="B48" s="33" t="s">
        <v>69</v>
      </c>
      <c r="C48" s="33" t="s">
        <v>208</v>
      </c>
      <c r="D48" s="33" t="s">
        <v>5</v>
      </c>
      <c r="E48" s="33" t="s">
        <v>203</v>
      </c>
      <c r="F48" s="33" t="s">
        <v>12</v>
      </c>
      <c r="G48" s="33" t="s">
        <v>204</v>
      </c>
      <c r="H48" s="33" t="s">
        <v>209</v>
      </c>
      <c r="I48" s="33" t="s">
        <v>209</v>
      </c>
      <c r="J48" s="33">
        <v>2478.87</v>
      </c>
      <c r="K48" s="33">
        <v>0.30991999999999997</v>
      </c>
      <c r="L48" s="33">
        <v>33.895679999999999</v>
      </c>
      <c r="Q48" s="33" t="s">
        <v>254</v>
      </c>
      <c r="R48" s="33" t="s">
        <v>208</v>
      </c>
    </row>
    <row r="49" spans="1:18" ht="27.6" hidden="1" x14ac:dyDescent="0.25">
      <c r="A49" s="33" t="s">
        <v>118</v>
      </c>
      <c r="B49" s="33" t="s">
        <v>70</v>
      </c>
      <c r="C49" s="33" t="s">
        <v>208</v>
      </c>
      <c r="D49" s="33" t="s">
        <v>5</v>
      </c>
      <c r="E49" s="33" t="s">
        <v>203</v>
      </c>
      <c r="F49" s="33" t="s">
        <v>12</v>
      </c>
      <c r="G49" s="33" t="s">
        <v>204</v>
      </c>
      <c r="H49" s="33" t="s">
        <v>209</v>
      </c>
      <c r="I49" s="33" t="s">
        <v>209</v>
      </c>
      <c r="J49" s="33">
        <v>2478.87</v>
      </c>
      <c r="K49" s="33">
        <v>0.30991999999999997</v>
      </c>
      <c r="L49" s="33">
        <v>33.895679999999999</v>
      </c>
      <c r="Q49" s="33" t="s">
        <v>254</v>
      </c>
      <c r="R49" s="33" t="s">
        <v>208</v>
      </c>
    </row>
    <row r="50" spans="1:18" ht="27.6" hidden="1" x14ac:dyDescent="0.25">
      <c r="A50" s="33" t="s">
        <v>118</v>
      </c>
      <c r="B50" s="33" t="s">
        <v>71</v>
      </c>
      <c r="C50" s="33" t="s">
        <v>208</v>
      </c>
      <c r="D50" s="33" t="s">
        <v>5</v>
      </c>
      <c r="E50" s="33" t="s">
        <v>203</v>
      </c>
      <c r="F50" s="33" t="s">
        <v>12</v>
      </c>
      <c r="G50" s="33" t="s">
        <v>204</v>
      </c>
      <c r="H50" s="33" t="s">
        <v>209</v>
      </c>
      <c r="I50" s="33" t="s">
        <v>209</v>
      </c>
      <c r="J50" s="33">
        <v>2478.87</v>
      </c>
      <c r="K50" s="33">
        <v>0.30991999999999997</v>
      </c>
      <c r="L50" s="33">
        <v>33.895679999999999</v>
      </c>
      <c r="Q50" s="33" t="s">
        <v>254</v>
      </c>
      <c r="R50" s="33" t="s">
        <v>208</v>
      </c>
    </row>
    <row r="51" spans="1:18" ht="27.6" hidden="1" x14ac:dyDescent="0.25">
      <c r="A51" s="33" t="s">
        <v>118</v>
      </c>
      <c r="B51" s="33" t="s">
        <v>73</v>
      </c>
      <c r="C51" s="33" t="s">
        <v>208</v>
      </c>
      <c r="D51" s="33" t="s">
        <v>5</v>
      </c>
      <c r="E51" s="33" t="s">
        <v>203</v>
      </c>
      <c r="F51" s="33" t="s">
        <v>12</v>
      </c>
      <c r="G51" s="33" t="s">
        <v>204</v>
      </c>
      <c r="H51" s="33" t="s">
        <v>209</v>
      </c>
      <c r="I51" s="33" t="s">
        <v>209</v>
      </c>
      <c r="J51" s="33">
        <v>2478.87</v>
      </c>
      <c r="K51" s="33">
        <v>0.30991999999999997</v>
      </c>
      <c r="L51" s="33">
        <v>33.895679999999999</v>
      </c>
      <c r="Q51" s="33" t="s">
        <v>254</v>
      </c>
      <c r="R51" s="33" t="s">
        <v>208</v>
      </c>
    </row>
    <row r="52" spans="1:18" ht="27.6" hidden="1" x14ac:dyDescent="0.25">
      <c r="A52" s="33" t="s">
        <v>118</v>
      </c>
      <c r="B52" s="33" t="s">
        <v>74</v>
      </c>
      <c r="C52" s="33" t="s">
        <v>208</v>
      </c>
      <c r="D52" s="33" t="s">
        <v>5</v>
      </c>
      <c r="E52" s="33" t="s">
        <v>203</v>
      </c>
      <c r="F52" s="33" t="s">
        <v>12</v>
      </c>
      <c r="G52" s="33" t="s">
        <v>204</v>
      </c>
      <c r="H52" s="33" t="s">
        <v>209</v>
      </c>
      <c r="I52" s="33" t="s">
        <v>209</v>
      </c>
      <c r="J52" s="33">
        <v>2478.87</v>
      </c>
      <c r="K52" s="33">
        <v>0.30991999999999997</v>
      </c>
      <c r="L52" s="33">
        <v>33.895679999999999</v>
      </c>
      <c r="Q52" s="33" t="s">
        <v>254</v>
      </c>
      <c r="R52" s="33" t="s">
        <v>208</v>
      </c>
    </row>
    <row r="53" spans="1:18" ht="27.6" hidden="1" x14ac:dyDescent="0.25">
      <c r="A53" s="33" t="s">
        <v>118</v>
      </c>
      <c r="B53" s="33" t="s">
        <v>75</v>
      </c>
      <c r="C53" s="33" t="s">
        <v>208</v>
      </c>
      <c r="D53" s="33" t="s">
        <v>5</v>
      </c>
      <c r="E53" s="33" t="s">
        <v>203</v>
      </c>
      <c r="F53" s="33" t="s">
        <v>12</v>
      </c>
      <c r="G53" s="33" t="s">
        <v>204</v>
      </c>
      <c r="H53" s="33" t="s">
        <v>209</v>
      </c>
      <c r="I53" s="33" t="s">
        <v>209</v>
      </c>
      <c r="J53" s="33">
        <v>2478.87</v>
      </c>
      <c r="K53" s="33">
        <v>0.30991999999999997</v>
      </c>
      <c r="L53" s="33">
        <v>33.895679999999999</v>
      </c>
      <c r="Q53" s="33" t="s">
        <v>254</v>
      </c>
      <c r="R53" s="33" t="s">
        <v>208</v>
      </c>
    </row>
    <row r="54" spans="1:18" ht="27.6" hidden="1" x14ac:dyDescent="0.25">
      <c r="A54" s="33" t="s">
        <v>118</v>
      </c>
      <c r="B54" s="33" t="s">
        <v>76</v>
      </c>
      <c r="C54" s="33" t="s">
        <v>208</v>
      </c>
      <c r="D54" s="33" t="s">
        <v>5</v>
      </c>
      <c r="E54" s="33" t="s">
        <v>203</v>
      </c>
      <c r="F54" s="33" t="s">
        <v>12</v>
      </c>
      <c r="G54" s="33" t="s">
        <v>204</v>
      </c>
      <c r="H54" s="33" t="s">
        <v>209</v>
      </c>
      <c r="I54" s="33" t="s">
        <v>209</v>
      </c>
      <c r="J54" s="33">
        <v>2478.87</v>
      </c>
      <c r="K54" s="33">
        <v>0.30991999999999997</v>
      </c>
      <c r="L54" s="33">
        <v>33.895679999999999</v>
      </c>
      <c r="Q54" s="33" t="s">
        <v>254</v>
      </c>
      <c r="R54" s="33" t="s">
        <v>208</v>
      </c>
    </row>
    <row r="55" spans="1:18" ht="96.6" hidden="1" x14ac:dyDescent="0.25">
      <c r="A55" s="33" t="s">
        <v>108</v>
      </c>
      <c r="B55" s="33" t="s">
        <v>55</v>
      </c>
      <c r="C55" s="33" t="s">
        <v>202</v>
      </c>
      <c r="D55" s="33" t="s">
        <v>5</v>
      </c>
      <c r="E55" s="33" t="s">
        <v>203</v>
      </c>
      <c r="F55" s="33" t="s">
        <v>211</v>
      </c>
      <c r="G55" s="33" t="s">
        <v>204</v>
      </c>
      <c r="H55" s="33" t="s">
        <v>205</v>
      </c>
      <c r="I55" s="33" t="s">
        <v>206</v>
      </c>
      <c r="J55" s="33">
        <v>2478.87</v>
      </c>
      <c r="K55" s="33">
        <v>0.30991999999999997</v>
      </c>
      <c r="L55" s="33">
        <v>33.895679999999999</v>
      </c>
      <c r="Q55" s="33" t="s">
        <v>207</v>
      </c>
      <c r="R55" s="33">
        <v>2023</v>
      </c>
    </row>
    <row r="56" spans="1:18" ht="96.6" hidden="1" x14ac:dyDescent="0.25">
      <c r="A56" s="33" t="s">
        <v>108</v>
      </c>
      <c r="B56" s="33" t="s">
        <v>61</v>
      </c>
      <c r="C56" s="33" t="s">
        <v>202</v>
      </c>
      <c r="D56" s="33" t="s">
        <v>5</v>
      </c>
      <c r="E56" s="33" t="s">
        <v>203</v>
      </c>
      <c r="F56" s="33" t="s">
        <v>211</v>
      </c>
      <c r="G56" s="33" t="s">
        <v>204</v>
      </c>
      <c r="H56" s="33" t="s">
        <v>205</v>
      </c>
      <c r="I56" s="33" t="s">
        <v>206</v>
      </c>
      <c r="J56" s="33">
        <v>2478.87</v>
      </c>
      <c r="K56" s="33">
        <v>0.30991999999999997</v>
      </c>
      <c r="L56" s="33">
        <v>33.895679999999999</v>
      </c>
      <c r="Q56" s="33" t="s">
        <v>207</v>
      </c>
      <c r="R56" s="33">
        <v>2023</v>
      </c>
    </row>
    <row r="57" spans="1:18" ht="96.6" hidden="1" x14ac:dyDescent="0.25">
      <c r="A57" s="33" t="s">
        <v>157</v>
      </c>
      <c r="B57" s="33" t="s">
        <v>72</v>
      </c>
      <c r="C57" s="33" t="s">
        <v>202</v>
      </c>
      <c r="D57" s="33" t="s">
        <v>5</v>
      </c>
      <c r="E57" s="33" t="s">
        <v>203</v>
      </c>
      <c r="F57" s="33" t="s">
        <v>211</v>
      </c>
      <c r="G57" s="33" t="s">
        <v>204</v>
      </c>
      <c r="H57" s="33" t="s">
        <v>205</v>
      </c>
      <c r="I57" s="33" t="s">
        <v>206</v>
      </c>
      <c r="J57" s="33">
        <v>2478.87</v>
      </c>
      <c r="K57" s="33">
        <v>0.30991999999999997</v>
      </c>
      <c r="L57" s="33">
        <v>33.895679999999999</v>
      </c>
      <c r="Q57" s="33" t="s">
        <v>207</v>
      </c>
      <c r="R57" s="33">
        <v>2023</v>
      </c>
    </row>
    <row r="58" spans="1:18" ht="96.6" hidden="1" x14ac:dyDescent="0.25">
      <c r="A58" s="33" t="s">
        <v>123</v>
      </c>
      <c r="B58" s="33" t="s">
        <v>59</v>
      </c>
      <c r="C58" s="33" t="s">
        <v>202</v>
      </c>
      <c r="D58" s="33" t="s">
        <v>5</v>
      </c>
      <c r="E58" s="33" t="s">
        <v>203</v>
      </c>
      <c r="F58" s="33" t="s">
        <v>211</v>
      </c>
      <c r="G58" s="33" t="s">
        <v>204</v>
      </c>
      <c r="H58" s="33" t="s">
        <v>205</v>
      </c>
      <c r="I58" s="33" t="s">
        <v>206</v>
      </c>
      <c r="J58" s="33">
        <v>2478.87</v>
      </c>
      <c r="K58" s="33">
        <v>0.30991999999999997</v>
      </c>
      <c r="L58" s="33">
        <v>33.895679999999999</v>
      </c>
      <c r="Q58" s="33" t="s">
        <v>207</v>
      </c>
      <c r="R58" s="33">
        <v>2023</v>
      </c>
    </row>
    <row r="59" spans="1:18" ht="96.6" hidden="1" x14ac:dyDescent="0.25">
      <c r="A59" s="33" t="s">
        <v>123</v>
      </c>
      <c r="B59" s="33" t="s">
        <v>60</v>
      </c>
      <c r="C59" s="33" t="s">
        <v>202</v>
      </c>
      <c r="D59" s="33" t="s">
        <v>5</v>
      </c>
      <c r="E59" s="33" t="s">
        <v>203</v>
      </c>
      <c r="F59" s="33" t="s">
        <v>211</v>
      </c>
      <c r="G59" s="33" t="s">
        <v>204</v>
      </c>
      <c r="H59" s="33" t="s">
        <v>205</v>
      </c>
      <c r="I59" s="33" t="s">
        <v>206</v>
      </c>
      <c r="J59" s="33">
        <v>2478.87</v>
      </c>
      <c r="K59" s="33">
        <v>0.30991999999999997</v>
      </c>
      <c r="L59" s="33">
        <v>33.895679999999999</v>
      </c>
      <c r="Q59" s="33" t="s">
        <v>207</v>
      </c>
      <c r="R59" s="33">
        <v>2023</v>
      </c>
    </row>
    <row r="60" spans="1:18" ht="96.6" hidden="1" x14ac:dyDescent="0.25">
      <c r="A60" s="33" t="s">
        <v>123</v>
      </c>
      <c r="B60" s="33" t="s">
        <v>63</v>
      </c>
      <c r="C60" s="33" t="s">
        <v>202</v>
      </c>
      <c r="D60" s="33" t="s">
        <v>5</v>
      </c>
      <c r="E60" s="33" t="s">
        <v>203</v>
      </c>
      <c r="F60" s="33" t="s">
        <v>211</v>
      </c>
      <c r="G60" s="33" t="s">
        <v>204</v>
      </c>
      <c r="H60" s="33" t="s">
        <v>205</v>
      </c>
      <c r="I60" s="33" t="s">
        <v>206</v>
      </c>
      <c r="J60" s="33">
        <v>2478.87</v>
      </c>
      <c r="K60" s="33">
        <v>0.30991999999999997</v>
      </c>
      <c r="L60" s="33">
        <v>33.895679999999999</v>
      </c>
      <c r="Q60" s="33" t="s">
        <v>207</v>
      </c>
      <c r="R60" s="33">
        <v>2023</v>
      </c>
    </row>
    <row r="61" spans="1:18" ht="96.6" hidden="1" x14ac:dyDescent="0.25">
      <c r="A61" s="33" t="s">
        <v>123</v>
      </c>
      <c r="B61" s="33" t="s">
        <v>64</v>
      </c>
      <c r="C61" s="33" t="s">
        <v>202</v>
      </c>
      <c r="D61" s="33" t="s">
        <v>5</v>
      </c>
      <c r="E61" s="33" t="s">
        <v>203</v>
      </c>
      <c r="F61" s="33" t="s">
        <v>211</v>
      </c>
      <c r="G61" s="33" t="s">
        <v>204</v>
      </c>
      <c r="H61" s="33" t="s">
        <v>205</v>
      </c>
      <c r="I61" s="33" t="s">
        <v>206</v>
      </c>
      <c r="J61" s="33">
        <v>2478.87</v>
      </c>
      <c r="K61" s="33">
        <v>0.30991999999999997</v>
      </c>
      <c r="L61" s="33">
        <v>33.895679999999999</v>
      </c>
      <c r="Q61" s="33" t="s">
        <v>207</v>
      </c>
      <c r="R61" s="33">
        <v>2023</v>
      </c>
    </row>
    <row r="62" spans="1:18" ht="96.6" hidden="1" x14ac:dyDescent="0.25">
      <c r="A62" s="33" t="s">
        <v>123</v>
      </c>
      <c r="B62" s="33" t="s">
        <v>66</v>
      </c>
      <c r="C62" s="33" t="s">
        <v>202</v>
      </c>
      <c r="D62" s="33" t="s">
        <v>5</v>
      </c>
      <c r="E62" s="33" t="s">
        <v>203</v>
      </c>
      <c r="F62" s="33" t="s">
        <v>211</v>
      </c>
      <c r="G62" s="33" t="s">
        <v>204</v>
      </c>
      <c r="H62" s="33" t="s">
        <v>205</v>
      </c>
      <c r="I62" s="33" t="s">
        <v>206</v>
      </c>
      <c r="J62" s="33">
        <v>2478.87</v>
      </c>
      <c r="K62" s="33">
        <v>0.30991999999999997</v>
      </c>
      <c r="L62" s="33">
        <v>33.895679999999999</v>
      </c>
      <c r="Q62" s="33" t="s">
        <v>207</v>
      </c>
      <c r="R62" s="33">
        <v>2023</v>
      </c>
    </row>
    <row r="63" spans="1:18" ht="96.6" hidden="1" x14ac:dyDescent="0.25">
      <c r="A63" s="33" t="s">
        <v>123</v>
      </c>
      <c r="B63" s="33" t="s">
        <v>67</v>
      </c>
      <c r="C63" s="33" t="s">
        <v>202</v>
      </c>
      <c r="D63" s="33" t="s">
        <v>5</v>
      </c>
      <c r="E63" s="33" t="s">
        <v>203</v>
      </c>
      <c r="F63" s="33" t="s">
        <v>211</v>
      </c>
      <c r="G63" s="33" t="s">
        <v>204</v>
      </c>
      <c r="H63" s="33" t="s">
        <v>205</v>
      </c>
      <c r="I63" s="33" t="s">
        <v>206</v>
      </c>
      <c r="J63" s="33">
        <v>2478.87</v>
      </c>
      <c r="K63" s="33">
        <v>0.30991999999999997</v>
      </c>
      <c r="L63" s="33">
        <v>33.895679999999999</v>
      </c>
      <c r="Q63" s="33" t="s">
        <v>207</v>
      </c>
      <c r="R63" s="33">
        <v>2023</v>
      </c>
    </row>
    <row r="64" spans="1:18" ht="96.6" x14ac:dyDescent="0.25">
      <c r="A64" s="33" t="s">
        <v>123</v>
      </c>
      <c r="B64" s="33" t="s">
        <v>68</v>
      </c>
      <c r="C64" s="33" t="s">
        <v>202</v>
      </c>
      <c r="D64" s="33" t="s">
        <v>5</v>
      </c>
      <c r="E64" s="33" t="s">
        <v>203</v>
      </c>
      <c r="F64" s="33" t="s">
        <v>211</v>
      </c>
      <c r="G64" s="33" t="s">
        <v>204</v>
      </c>
      <c r="H64" s="33" t="s">
        <v>205</v>
      </c>
      <c r="I64" s="33" t="s">
        <v>206</v>
      </c>
      <c r="J64" s="33">
        <v>2478.87</v>
      </c>
      <c r="K64" s="33">
        <v>0.30991999999999997</v>
      </c>
      <c r="L64" s="33">
        <v>33.895679999999999</v>
      </c>
      <c r="Q64" s="33" t="s">
        <v>207</v>
      </c>
      <c r="R64" s="33">
        <v>2023</v>
      </c>
    </row>
    <row r="65" spans="1:18" ht="96.6" hidden="1" x14ac:dyDescent="0.25">
      <c r="A65" s="33" t="s">
        <v>123</v>
      </c>
      <c r="B65" s="33" t="s">
        <v>77</v>
      </c>
      <c r="C65" s="33" t="s">
        <v>202</v>
      </c>
      <c r="D65" s="33" t="s">
        <v>5</v>
      </c>
      <c r="E65" s="33" t="s">
        <v>203</v>
      </c>
      <c r="F65" s="33" t="s">
        <v>211</v>
      </c>
      <c r="G65" s="33" t="s">
        <v>204</v>
      </c>
      <c r="H65" s="33" t="s">
        <v>205</v>
      </c>
      <c r="I65" s="33" t="s">
        <v>206</v>
      </c>
      <c r="J65" s="33">
        <v>2478.87</v>
      </c>
      <c r="K65" s="33">
        <v>0.30991999999999997</v>
      </c>
      <c r="L65" s="33">
        <v>33.895679999999999</v>
      </c>
      <c r="Q65" s="33" t="s">
        <v>207</v>
      </c>
      <c r="R65" s="33">
        <v>2023</v>
      </c>
    </row>
    <row r="66" spans="1:18" ht="96.6" hidden="1" x14ac:dyDescent="0.25">
      <c r="A66" s="33" t="s">
        <v>113</v>
      </c>
      <c r="B66" s="33" t="s">
        <v>56</v>
      </c>
      <c r="C66" s="33" t="s">
        <v>202</v>
      </c>
      <c r="D66" s="33" t="s">
        <v>5</v>
      </c>
      <c r="E66" s="33" t="s">
        <v>203</v>
      </c>
      <c r="F66" s="33" t="s">
        <v>211</v>
      </c>
      <c r="G66" s="33" t="s">
        <v>204</v>
      </c>
      <c r="H66" s="33" t="s">
        <v>205</v>
      </c>
      <c r="I66" s="33" t="s">
        <v>206</v>
      </c>
      <c r="J66" s="33">
        <v>2478.87</v>
      </c>
      <c r="K66" s="33">
        <v>0.30991999999999997</v>
      </c>
      <c r="L66" s="33">
        <v>33.895679999999999</v>
      </c>
      <c r="Q66" s="33" t="s">
        <v>207</v>
      </c>
      <c r="R66" s="33">
        <v>2023</v>
      </c>
    </row>
    <row r="67" spans="1:18" ht="96.6" hidden="1" x14ac:dyDescent="0.25">
      <c r="A67" s="33" t="s">
        <v>113</v>
      </c>
      <c r="B67" s="33" t="s">
        <v>62</v>
      </c>
      <c r="C67" s="33" t="s">
        <v>202</v>
      </c>
      <c r="D67" s="33" t="s">
        <v>5</v>
      </c>
      <c r="E67" s="33" t="s">
        <v>203</v>
      </c>
      <c r="F67" s="33" t="s">
        <v>211</v>
      </c>
      <c r="G67" s="33" t="s">
        <v>204</v>
      </c>
      <c r="H67" s="33" t="s">
        <v>205</v>
      </c>
      <c r="I67" s="33" t="s">
        <v>206</v>
      </c>
      <c r="J67" s="33">
        <v>2478.87</v>
      </c>
      <c r="K67" s="33">
        <v>0.30991999999999997</v>
      </c>
      <c r="L67" s="33">
        <v>33.895679999999999</v>
      </c>
      <c r="Q67" s="33" t="s">
        <v>207</v>
      </c>
      <c r="R67" s="33">
        <v>2023</v>
      </c>
    </row>
    <row r="68" spans="1:18" ht="96.6" hidden="1" x14ac:dyDescent="0.25">
      <c r="A68" s="33" t="s">
        <v>113</v>
      </c>
      <c r="B68" s="33" t="s">
        <v>65</v>
      </c>
      <c r="C68" s="33" t="s">
        <v>202</v>
      </c>
      <c r="D68" s="33" t="s">
        <v>5</v>
      </c>
      <c r="E68" s="33" t="s">
        <v>203</v>
      </c>
      <c r="F68" s="33" t="s">
        <v>211</v>
      </c>
      <c r="G68" s="33" t="s">
        <v>204</v>
      </c>
      <c r="H68" s="33" t="s">
        <v>205</v>
      </c>
      <c r="I68" s="33" t="s">
        <v>206</v>
      </c>
      <c r="J68" s="33">
        <v>2478.87</v>
      </c>
      <c r="K68" s="33">
        <v>0.30991999999999997</v>
      </c>
      <c r="L68" s="33">
        <v>33.895679999999999</v>
      </c>
      <c r="Q68" s="33" t="s">
        <v>207</v>
      </c>
      <c r="R68" s="33">
        <v>2023</v>
      </c>
    </row>
    <row r="69" spans="1:18" ht="96.6" hidden="1" x14ac:dyDescent="0.25">
      <c r="A69" s="33" t="s">
        <v>172</v>
      </c>
      <c r="B69" s="33" t="s">
        <v>78</v>
      </c>
      <c r="C69" s="33" t="s">
        <v>202</v>
      </c>
      <c r="D69" s="33" t="s">
        <v>5</v>
      </c>
      <c r="E69" s="33" t="s">
        <v>203</v>
      </c>
      <c r="F69" s="33" t="s">
        <v>211</v>
      </c>
      <c r="G69" s="33" t="s">
        <v>204</v>
      </c>
      <c r="H69" s="33" t="s">
        <v>205</v>
      </c>
      <c r="I69" s="33" t="s">
        <v>206</v>
      </c>
      <c r="J69" s="33">
        <v>2478.87</v>
      </c>
      <c r="K69" s="33">
        <v>0.30991999999999997</v>
      </c>
      <c r="L69" s="33">
        <v>33.895679999999999</v>
      </c>
      <c r="Q69" s="33" t="s">
        <v>207</v>
      </c>
      <c r="R69" s="33">
        <v>2023</v>
      </c>
    </row>
    <row r="70" spans="1:18" ht="96.6" hidden="1" x14ac:dyDescent="0.25">
      <c r="A70" s="33" t="s">
        <v>118</v>
      </c>
      <c r="B70" s="33" t="s">
        <v>57</v>
      </c>
      <c r="C70" s="33" t="s">
        <v>202</v>
      </c>
      <c r="D70" s="33" t="s">
        <v>5</v>
      </c>
      <c r="E70" s="33" t="s">
        <v>203</v>
      </c>
      <c r="F70" s="33" t="s">
        <v>211</v>
      </c>
      <c r="G70" s="33" t="s">
        <v>204</v>
      </c>
      <c r="H70" s="33" t="s">
        <v>205</v>
      </c>
      <c r="I70" s="33" t="s">
        <v>206</v>
      </c>
      <c r="J70" s="33">
        <v>2478.87</v>
      </c>
      <c r="K70" s="33">
        <v>0.30991999999999997</v>
      </c>
      <c r="L70" s="33">
        <v>33.895679999999999</v>
      </c>
      <c r="Q70" s="33" t="s">
        <v>207</v>
      </c>
      <c r="R70" s="33">
        <v>2023</v>
      </c>
    </row>
    <row r="71" spans="1:18" ht="96.6" hidden="1" x14ac:dyDescent="0.25">
      <c r="A71" s="33" t="s">
        <v>118</v>
      </c>
      <c r="B71" s="33" t="s">
        <v>58</v>
      </c>
      <c r="C71" s="33" t="s">
        <v>202</v>
      </c>
      <c r="D71" s="33" t="s">
        <v>5</v>
      </c>
      <c r="E71" s="33" t="s">
        <v>203</v>
      </c>
      <c r="F71" s="33" t="s">
        <v>211</v>
      </c>
      <c r="G71" s="33" t="s">
        <v>204</v>
      </c>
      <c r="H71" s="33" t="s">
        <v>205</v>
      </c>
      <c r="I71" s="33" t="s">
        <v>206</v>
      </c>
      <c r="J71" s="33">
        <v>2478.87</v>
      </c>
      <c r="K71" s="33">
        <v>0.30991999999999997</v>
      </c>
      <c r="L71" s="33">
        <v>33.895679999999999</v>
      </c>
      <c r="Q71" s="33" t="s">
        <v>207</v>
      </c>
      <c r="R71" s="33">
        <v>2023</v>
      </c>
    </row>
    <row r="72" spans="1:18" ht="96.6" hidden="1" x14ac:dyDescent="0.25">
      <c r="A72" s="33" t="s">
        <v>118</v>
      </c>
      <c r="B72" s="33" t="s">
        <v>69</v>
      </c>
      <c r="C72" s="33" t="s">
        <v>202</v>
      </c>
      <c r="D72" s="33" t="s">
        <v>5</v>
      </c>
      <c r="E72" s="33" t="s">
        <v>203</v>
      </c>
      <c r="F72" s="33" t="s">
        <v>211</v>
      </c>
      <c r="G72" s="33" t="s">
        <v>204</v>
      </c>
      <c r="H72" s="33" t="s">
        <v>205</v>
      </c>
      <c r="I72" s="33" t="s">
        <v>206</v>
      </c>
      <c r="J72" s="33">
        <v>2478.87</v>
      </c>
      <c r="K72" s="33">
        <v>0.30991999999999997</v>
      </c>
      <c r="L72" s="33">
        <v>33.895679999999999</v>
      </c>
      <c r="Q72" s="33" t="s">
        <v>207</v>
      </c>
      <c r="R72" s="33">
        <v>2023</v>
      </c>
    </row>
    <row r="73" spans="1:18" ht="96.6" hidden="1" x14ac:dyDescent="0.25">
      <c r="A73" s="33" t="s">
        <v>118</v>
      </c>
      <c r="B73" s="33" t="s">
        <v>70</v>
      </c>
      <c r="C73" s="33" t="s">
        <v>202</v>
      </c>
      <c r="D73" s="33" t="s">
        <v>5</v>
      </c>
      <c r="E73" s="33" t="s">
        <v>203</v>
      </c>
      <c r="F73" s="33" t="s">
        <v>211</v>
      </c>
      <c r="G73" s="33" t="s">
        <v>204</v>
      </c>
      <c r="H73" s="33" t="s">
        <v>205</v>
      </c>
      <c r="I73" s="33" t="s">
        <v>206</v>
      </c>
      <c r="J73" s="33">
        <v>2478.87</v>
      </c>
      <c r="K73" s="33">
        <v>0.30991999999999997</v>
      </c>
      <c r="L73" s="33">
        <v>33.895679999999999</v>
      </c>
      <c r="Q73" s="33" t="s">
        <v>207</v>
      </c>
      <c r="R73" s="33">
        <v>2023</v>
      </c>
    </row>
    <row r="74" spans="1:18" ht="96.6" hidden="1" x14ac:dyDescent="0.25">
      <c r="A74" s="33" t="s">
        <v>118</v>
      </c>
      <c r="B74" s="33" t="s">
        <v>71</v>
      </c>
      <c r="C74" s="33" t="s">
        <v>202</v>
      </c>
      <c r="D74" s="33" t="s">
        <v>5</v>
      </c>
      <c r="E74" s="33" t="s">
        <v>203</v>
      </c>
      <c r="F74" s="33" t="s">
        <v>211</v>
      </c>
      <c r="G74" s="33" t="s">
        <v>204</v>
      </c>
      <c r="H74" s="33" t="s">
        <v>205</v>
      </c>
      <c r="I74" s="33" t="s">
        <v>206</v>
      </c>
      <c r="J74" s="33">
        <v>2478.87</v>
      </c>
      <c r="K74" s="33">
        <v>0.30991999999999997</v>
      </c>
      <c r="L74" s="33">
        <v>33.895679999999999</v>
      </c>
      <c r="Q74" s="33" t="s">
        <v>207</v>
      </c>
      <c r="R74" s="33">
        <v>2023</v>
      </c>
    </row>
    <row r="75" spans="1:18" ht="96.6" hidden="1" x14ac:dyDescent="0.25">
      <c r="A75" s="33" t="s">
        <v>118</v>
      </c>
      <c r="B75" s="33" t="s">
        <v>73</v>
      </c>
      <c r="C75" s="33" t="s">
        <v>202</v>
      </c>
      <c r="D75" s="33" t="s">
        <v>5</v>
      </c>
      <c r="E75" s="33" t="s">
        <v>203</v>
      </c>
      <c r="F75" s="33" t="s">
        <v>211</v>
      </c>
      <c r="G75" s="33" t="s">
        <v>204</v>
      </c>
      <c r="H75" s="33" t="s">
        <v>205</v>
      </c>
      <c r="I75" s="33" t="s">
        <v>206</v>
      </c>
      <c r="J75" s="33">
        <v>2478.87</v>
      </c>
      <c r="K75" s="33">
        <v>0.30991999999999997</v>
      </c>
      <c r="L75" s="33">
        <v>33.895679999999999</v>
      </c>
      <c r="Q75" s="33" t="s">
        <v>207</v>
      </c>
      <c r="R75" s="33">
        <v>2023</v>
      </c>
    </row>
    <row r="76" spans="1:18" ht="96.6" hidden="1" x14ac:dyDescent="0.25">
      <c r="A76" s="33" t="s">
        <v>118</v>
      </c>
      <c r="B76" s="33" t="s">
        <v>74</v>
      </c>
      <c r="C76" s="33" t="s">
        <v>202</v>
      </c>
      <c r="D76" s="33" t="s">
        <v>5</v>
      </c>
      <c r="E76" s="33" t="s">
        <v>203</v>
      </c>
      <c r="F76" s="33" t="s">
        <v>211</v>
      </c>
      <c r="G76" s="33" t="s">
        <v>204</v>
      </c>
      <c r="H76" s="33" t="s">
        <v>205</v>
      </c>
      <c r="I76" s="33" t="s">
        <v>206</v>
      </c>
      <c r="J76" s="33">
        <v>2478.87</v>
      </c>
      <c r="K76" s="33">
        <v>0.30991999999999997</v>
      </c>
      <c r="L76" s="33">
        <v>33.895679999999999</v>
      </c>
      <c r="Q76" s="33" t="s">
        <v>207</v>
      </c>
      <c r="R76" s="33">
        <v>2023</v>
      </c>
    </row>
    <row r="77" spans="1:18" ht="96.6" hidden="1" x14ac:dyDescent="0.25">
      <c r="A77" s="33" t="s">
        <v>118</v>
      </c>
      <c r="B77" s="33" t="s">
        <v>75</v>
      </c>
      <c r="C77" s="33" t="s">
        <v>202</v>
      </c>
      <c r="D77" s="33" t="s">
        <v>5</v>
      </c>
      <c r="E77" s="33" t="s">
        <v>203</v>
      </c>
      <c r="F77" s="33" t="s">
        <v>211</v>
      </c>
      <c r="G77" s="33" t="s">
        <v>204</v>
      </c>
      <c r="H77" s="33" t="s">
        <v>205</v>
      </c>
      <c r="I77" s="33" t="s">
        <v>206</v>
      </c>
      <c r="J77" s="33">
        <v>2478.87</v>
      </c>
      <c r="K77" s="33">
        <v>0.30991999999999997</v>
      </c>
      <c r="L77" s="33">
        <v>33.895679999999999</v>
      </c>
      <c r="Q77" s="33" t="s">
        <v>207</v>
      </c>
      <c r="R77" s="33">
        <v>2023</v>
      </c>
    </row>
    <row r="78" spans="1:18" ht="96.6" hidden="1" x14ac:dyDescent="0.25">
      <c r="A78" s="33" t="s">
        <v>118</v>
      </c>
      <c r="B78" s="33" t="s">
        <v>76</v>
      </c>
      <c r="C78" s="33" t="s">
        <v>202</v>
      </c>
      <c r="D78" s="33" t="s">
        <v>5</v>
      </c>
      <c r="E78" s="33" t="s">
        <v>203</v>
      </c>
      <c r="F78" s="33" t="s">
        <v>211</v>
      </c>
      <c r="G78" s="33" t="s">
        <v>204</v>
      </c>
      <c r="H78" s="33" t="s">
        <v>205</v>
      </c>
      <c r="I78" s="33" t="s">
        <v>206</v>
      </c>
      <c r="J78" s="33">
        <v>2478.87</v>
      </c>
      <c r="K78" s="33">
        <v>0.30991999999999997</v>
      </c>
      <c r="L78" s="33">
        <v>33.895679999999999</v>
      </c>
      <c r="Q78" s="33" t="s">
        <v>207</v>
      </c>
      <c r="R78" s="33">
        <v>2023</v>
      </c>
    </row>
    <row r="79" spans="1:18" ht="124.2" hidden="1" x14ac:dyDescent="0.25">
      <c r="A79" s="33" t="s">
        <v>108</v>
      </c>
      <c r="B79" s="33" t="s">
        <v>55</v>
      </c>
      <c r="C79" s="33" t="s">
        <v>202</v>
      </c>
      <c r="D79" s="33" t="s">
        <v>5</v>
      </c>
      <c r="E79" s="33" t="s">
        <v>203</v>
      </c>
      <c r="F79" s="33" t="s">
        <v>13</v>
      </c>
      <c r="G79" s="33" t="s">
        <v>212</v>
      </c>
      <c r="H79" s="33" t="s">
        <v>213</v>
      </c>
      <c r="I79" s="33" t="s">
        <v>214</v>
      </c>
      <c r="J79" s="33">
        <v>1</v>
      </c>
      <c r="Q79" s="33" t="s">
        <v>215</v>
      </c>
      <c r="R79" s="33" t="s">
        <v>208</v>
      </c>
    </row>
    <row r="80" spans="1:18" ht="124.2" hidden="1" x14ac:dyDescent="0.25">
      <c r="A80" s="33" t="s">
        <v>108</v>
      </c>
      <c r="B80" s="33" t="s">
        <v>61</v>
      </c>
      <c r="C80" s="33" t="s">
        <v>202</v>
      </c>
      <c r="D80" s="33" t="s">
        <v>5</v>
      </c>
      <c r="E80" s="33" t="s">
        <v>203</v>
      </c>
      <c r="F80" s="33" t="s">
        <v>13</v>
      </c>
      <c r="G80" s="33" t="s">
        <v>212</v>
      </c>
      <c r="H80" s="33" t="s">
        <v>213</v>
      </c>
      <c r="I80" s="33" t="s">
        <v>214</v>
      </c>
      <c r="J80" s="33">
        <v>1</v>
      </c>
      <c r="Q80" s="33" t="s">
        <v>215</v>
      </c>
      <c r="R80" s="33" t="s">
        <v>208</v>
      </c>
    </row>
    <row r="81" spans="1:18" ht="124.2" hidden="1" x14ac:dyDescent="0.25">
      <c r="A81" s="33" t="s">
        <v>157</v>
      </c>
      <c r="B81" s="33" t="s">
        <v>72</v>
      </c>
      <c r="C81" s="33" t="s">
        <v>202</v>
      </c>
      <c r="D81" s="33" t="s">
        <v>5</v>
      </c>
      <c r="E81" s="33" t="s">
        <v>203</v>
      </c>
      <c r="F81" s="33" t="s">
        <v>13</v>
      </c>
      <c r="G81" s="33" t="s">
        <v>212</v>
      </c>
      <c r="H81" s="33" t="s">
        <v>213</v>
      </c>
      <c r="I81" s="33" t="s">
        <v>214</v>
      </c>
      <c r="J81" s="33">
        <v>1</v>
      </c>
      <c r="Q81" s="33" t="s">
        <v>215</v>
      </c>
      <c r="R81" s="33" t="s">
        <v>208</v>
      </c>
    </row>
    <row r="82" spans="1:18" ht="124.2" hidden="1" x14ac:dyDescent="0.25">
      <c r="A82" s="33" t="s">
        <v>123</v>
      </c>
      <c r="B82" s="33" t="s">
        <v>59</v>
      </c>
      <c r="C82" s="33" t="s">
        <v>202</v>
      </c>
      <c r="D82" s="33" t="s">
        <v>5</v>
      </c>
      <c r="E82" s="33" t="s">
        <v>203</v>
      </c>
      <c r="F82" s="33" t="s">
        <v>13</v>
      </c>
      <c r="G82" s="33" t="s">
        <v>212</v>
      </c>
      <c r="H82" s="33" t="s">
        <v>213</v>
      </c>
      <c r="I82" s="33" t="s">
        <v>214</v>
      </c>
      <c r="J82" s="33">
        <v>1</v>
      </c>
      <c r="Q82" s="33" t="s">
        <v>215</v>
      </c>
      <c r="R82" s="33" t="s">
        <v>208</v>
      </c>
    </row>
    <row r="83" spans="1:18" ht="124.2" hidden="1" x14ac:dyDescent="0.25">
      <c r="A83" s="33" t="s">
        <v>123</v>
      </c>
      <c r="B83" s="33" t="s">
        <v>60</v>
      </c>
      <c r="C83" s="33" t="s">
        <v>202</v>
      </c>
      <c r="D83" s="33" t="s">
        <v>5</v>
      </c>
      <c r="E83" s="33" t="s">
        <v>203</v>
      </c>
      <c r="F83" s="33" t="s">
        <v>13</v>
      </c>
      <c r="G83" s="33" t="s">
        <v>212</v>
      </c>
      <c r="H83" s="33" t="s">
        <v>213</v>
      </c>
      <c r="I83" s="33" t="s">
        <v>214</v>
      </c>
      <c r="J83" s="33">
        <v>1</v>
      </c>
      <c r="Q83" s="33" t="s">
        <v>215</v>
      </c>
      <c r="R83" s="33" t="s">
        <v>208</v>
      </c>
    </row>
    <row r="84" spans="1:18" ht="124.2" hidden="1" x14ac:dyDescent="0.25">
      <c r="A84" s="33" t="s">
        <v>123</v>
      </c>
      <c r="B84" s="33" t="s">
        <v>63</v>
      </c>
      <c r="C84" s="33" t="s">
        <v>202</v>
      </c>
      <c r="D84" s="33" t="s">
        <v>5</v>
      </c>
      <c r="E84" s="33" t="s">
        <v>203</v>
      </c>
      <c r="F84" s="33" t="s">
        <v>13</v>
      </c>
      <c r="G84" s="33" t="s">
        <v>212</v>
      </c>
      <c r="H84" s="33" t="s">
        <v>213</v>
      </c>
      <c r="I84" s="33" t="s">
        <v>214</v>
      </c>
      <c r="J84" s="33">
        <v>1</v>
      </c>
      <c r="Q84" s="33" t="s">
        <v>215</v>
      </c>
      <c r="R84" s="33" t="s">
        <v>208</v>
      </c>
    </row>
    <row r="85" spans="1:18" ht="124.2" hidden="1" x14ac:dyDescent="0.25">
      <c r="A85" s="33" t="s">
        <v>123</v>
      </c>
      <c r="B85" s="33" t="s">
        <v>64</v>
      </c>
      <c r="C85" s="33" t="s">
        <v>202</v>
      </c>
      <c r="D85" s="33" t="s">
        <v>5</v>
      </c>
      <c r="E85" s="33" t="s">
        <v>203</v>
      </c>
      <c r="F85" s="33" t="s">
        <v>13</v>
      </c>
      <c r="G85" s="33" t="s">
        <v>212</v>
      </c>
      <c r="H85" s="33" t="s">
        <v>213</v>
      </c>
      <c r="I85" s="33" t="s">
        <v>214</v>
      </c>
      <c r="J85" s="33">
        <v>1</v>
      </c>
      <c r="Q85" s="33" t="s">
        <v>215</v>
      </c>
      <c r="R85" s="33" t="s">
        <v>208</v>
      </c>
    </row>
    <row r="86" spans="1:18" ht="124.2" hidden="1" x14ac:dyDescent="0.25">
      <c r="A86" s="33" t="s">
        <v>123</v>
      </c>
      <c r="B86" s="33" t="s">
        <v>66</v>
      </c>
      <c r="C86" s="33" t="s">
        <v>202</v>
      </c>
      <c r="D86" s="33" t="s">
        <v>5</v>
      </c>
      <c r="E86" s="33" t="s">
        <v>203</v>
      </c>
      <c r="F86" s="33" t="s">
        <v>13</v>
      </c>
      <c r="G86" s="33" t="s">
        <v>212</v>
      </c>
      <c r="H86" s="33" t="s">
        <v>213</v>
      </c>
      <c r="I86" s="33" t="s">
        <v>214</v>
      </c>
      <c r="J86" s="33">
        <v>1</v>
      </c>
      <c r="Q86" s="33" t="s">
        <v>215</v>
      </c>
      <c r="R86" s="33" t="s">
        <v>208</v>
      </c>
    </row>
    <row r="87" spans="1:18" ht="124.2" hidden="1" x14ac:dyDescent="0.25">
      <c r="A87" s="33" t="s">
        <v>123</v>
      </c>
      <c r="B87" s="33" t="s">
        <v>67</v>
      </c>
      <c r="C87" s="33" t="s">
        <v>202</v>
      </c>
      <c r="D87" s="33" t="s">
        <v>5</v>
      </c>
      <c r="E87" s="33" t="s">
        <v>203</v>
      </c>
      <c r="F87" s="33" t="s">
        <v>13</v>
      </c>
      <c r="G87" s="33" t="s">
        <v>212</v>
      </c>
      <c r="H87" s="33" t="s">
        <v>213</v>
      </c>
      <c r="I87" s="33" t="s">
        <v>214</v>
      </c>
      <c r="J87" s="33">
        <v>1</v>
      </c>
      <c r="Q87" s="33" t="s">
        <v>215</v>
      </c>
      <c r="R87" s="33" t="s">
        <v>208</v>
      </c>
    </row>
    <row r="88" spans="1:18" ht="124.2" x14ac:dyDescent="0.25">
      <c r="A88" s="33" t="s">
        <v>123</v>
      </c>
      <c r="B88" s="33" t="s">
        <v>68</v>
      </c>
      <c r="C88" s="33" t="s">
        <v>202</v>
      </c>
      <c r="D88" s="33" t="s">
        <v>5</v>
      </c>
      <c r="E88" s="33" t="s">
        <v>203</v>
      </c>
      <c r="F88" s="33" t="s">
        <v>13</v>
      </c>
      <c r="G88" s="33" t="s">
        <v>212</v>
      </c>
      <c r="H88" s="33" t="s">
        <v>213</v>
      </c>
      <c r="I88" s="33" t="s">
        <v>214</v>
      </c>
      <c r="J88" s="33">
        <v>1</v>
      </c>
      <c r="Q88" s="33" t="s">
        <v>215</v>
      </c>
      <c r="R88" s="33" t="s">
        <v>208</v>
      </c>
    </row>
    <row r="89" spans="1:18" ht="124.2" hidden="1" x14ac:dyDescent="0.25">
      <c r="A89" s="33" t="s">
        <v>123</v>
      </c>
      <c r="B89" s="33" t="s">
        <v>77</v>
      </c>
      <c r="C89" s="33" t="s">
        <v>202</v>
      </c>
      <c r="D89" s="33" t="s">
        <v>5</v>
      </c>
      <c r="E89" s="33" t="s">
        <v>203</v>
      </c>
      <c r="F89" s="33" t="s">
        <v>13</v>
      </c>
      <c r="G89" s="33" t="s">
        <v>212</v>
      </c>
      <c r="H89" s="33" t="s">
        <v>213</v>
      </c>
      <c r="I89" s="33" t="s">
        <v>214</v>
      </c>
      <c r="J89" s="33">
        <v>1</v>
      </c>
      <c r="Q89" s="33" t="s">
        <v>215</v>
      </c>
      <c r="R89" s="33" t="s">
        <v>208</v>
      </c>
    </row>
    <row r="90" spans="1:18" ht="124.2" hidden="1" x14ac:dyDescent="0.25">
      <c r="A90" s="33" t="s">
        <v>113</v>
      </c>
      <c r="B90" s="33" t="s">
        <v>56</v>
      </c>
      <c r="C90" s="33" t="s">
        <v>202</v>
      </c>
      <c r="D90" s="33" t="s">
        <v>5</v>
      </c>
      <c r="E90" s="33" t="s">
        <v>203</v>
      </c>
      <c r="F90" s="33" t="s">
        <v>13</v>
      </c>
      <c r="G90" s="33" t="s">
        <v>212</v>
      </c>
      <c r="H90" s="33" t="s">
        <v>213</v>
      </c>
      <c r="I90" s="33" t="s">
        <v>214</v>
      </c>
      <c r="J90" s="33">
        <v>1</v>
      </c>
      <c r="Q90" s="33" t="s">
        <v>215</v>
      </c>
      <c r="R90" s="33" t="s">
        <v>208</v>
      </c>
    </row>
    <row r="91" spans="1:18" ht="124.2" hidden="1" x14ac:dyDescent="0.25">
      <c r="A91" s="33" t="s">
        <v>113</v>
      </c>
      <c r="B91" s="33" t="s">
        <v>62</v>
      </c>
      <c r="C91" s="33" t="s">
        <v>202</v>
      </c>
      <c r="D91" s="33" t="s">
        <v>5</v>
      </c>
      <c r="E91" s="33" t="s">
        <v>203</v>
      </c>
      <c r="F91" s="33" t="s">
        <v>13</v>
      </c>
      <c r="G91" s="33" t="s">
        <v>212</v>
      </c>
      <c r="H91" s="33" t="s">
        <v>213</v>
      </c>
      <c r="I91" s="33" t="s">
        <v>214</v>
      </c>
      <c r="J91" s="33">
        <v>1</v>
      </c>
      <c r="Q91" s="33" t="s">
        <v>215</v>
      </c>
      <c r="R91" s="33" t="s">
        <v>208</v>
      </c>
    </row>
    <row r="92" spans="1:18" ht="124.2" hidden="1" x14ac:dyDescent="0.25">
      <c r="A92" s="33" t="s">
        <v>113</v>
      </c>
      <c r="B92" s="33" t="s">
        <v>65</v>
      </c>
      <c r="C92" s="33" t="s">
        <v>202</v>
      </c>
      <c r="D92" s="33" t="s">
        <v>5</v>
      </c>
      <c r="E92" s="33" t="s">
        <v>203</v>
      </c>
      <c r="F92" s="33" t="s">
        <v>13</v>
      </c>
      <c r="G92" s="33" t="s">
        <v>212</v>
      </c>
      <c r="H92" s="33" t="s">
        <v>213</v>
      </c>
      <c r="I92" s="33" t="s">
        <v>214</v>
      </c>
      <c r="J92" s="33">
        <v>1</v>
      </c>
      <c r="Q92" s="33" t="s">
        <v>215</v>
      </c>
      <c r="R92" s="33" t="s">
        <v>208</v>
      </c>
    </row>
    <row r="93" spans="1:18" ht="124.2" hidden="1" x14ac:dyDescent="0.25">
      <c r="A93" s="33" t="s">
        <v>172</v>
      </c>
      <c r="B93" s="33" t="s">
        <v>78</v>
      </c>
      <c r="C93" s="33" t="s">
        <v>202</v>
      </c>
      <c r="D93" s="33" t="s">
        <v>5</v>
      </c>
      <c r="E93" s="33" t="s">
        <v>203</v>
      </c>
      <c r="F93" s="33" t="s">
        <v>13</v>
      </c>
      <c r="G93" s="33" t="s">
        <v>212</v>
      </c>
      <c r="H93" s="33" t="s">
        <v>213</v>
      </c>
      <c r="I93" s="33" t="s">
        <v>214</v>
      </c>
      <c r="J93" s="33">
        <v>1</v>
      </c>
      <c r="Q93" s="33" t="s">
        <v>215</v>
      </c>
      <c r="R93" s="33" t="s">
        <v>208</v>
      </c>
    </row>
    <row r="94" spans="1:18" ht="124.2" hidden="1" x14ac:dyDescent="0.25">
      <c r="A94" s="33" t="s">
        <v>118</v>
      </c>
      <c r="B94" s="33" t="s">
        <v>57</v>
      </c>
      <c r="C94" s="33" t="s">
        <v>202</v>
      </c>
      <c r="D94" s="33" t="s">
        <v>5</v>
      </c>
      <c r="E94" s="33" t="s">
        <v>203</v>
      </c>
      <c r="F94" s="33" t="s">
        <v>13</v>
      </c>
      <c r="G94" s="33" t="s">
        <v>212</v>
      </c>
      <c r="H94" s="33" t="s">
        <v>213</v>
      </c>
      <c r="I94" s="33" t="s">
        <v>214</v>
      </c>
      <c r="J94" s="33">
        <v>1</v>
      </c>
      <c r="Q94" s="33" t="s">
        <v>215</v>
      </c>
      <c r="R94" s="33" t="s">
        <v>208</v>
      </c>
    </row>
    <row r="95" spans="1:18" ht="124.2" hidden="1" x14ac:dyDescent="0.25">
      <c r="A95" s="33" t="s">
        <v>118</v>
      </c>
      <c r="B95" s="33" t="s">
        <v>58</v>
      </c>
      <c r="C95" s="33" t="s">
        <v>202</v>
      </c>
      <c r="D95" s="33" t="s">
        <v>5</v>
      </c>
      <c r="E95" s="33" t="s">
        <v>203</v>
      </c>
      <c r="F95" s="33" t="s">
        <v>13</v>
      </c>
      <c r="G95" s="33" t="s">
        <v>212</v>
      </c>
      <c r="H95" s="33" t="s">
        <v>213</v>
      </c>
      <c r="I95" s="33" t="s">
        <v>214</v>
      </c>
      <c r="J95" s="33">
        <v>1</v>
      </c>
      <c r="Q95" s="33" t="s">
        <v>215</v>
      </c>
      <c r="R95" s="33" t="s">
        <v>208</v>
      </c>
    </row>
    <row r="96" spans="1:18" ht="124.2" hidden="1" x14ac:dyDescent="0.25">
      <c r="A96" s="33" t="s">
        <v>118</v>
      </c>
      <c r="B96" s="33" t="s">
        <v>69</v>
      </c>
      <c r="C96" s="33" t="s">
        <v>202</v>
      </c>
      <c r="D96" s="33" t="s">
        <v>5</v>
      </c>
      <c r="E96" s="33" t="s">
        <v>203</v>
      </c>
      <c r="F96" s="33" t="s">
        <v>13</v>
      </c>
      <c r="G96" s="33" t="s">
        <v>212</v>
      </c>
      <c r="H96" s="33" t="s">
        <v>213</v>
      </c>
      <c r="I96" s="33" t="s">
        <v>214</v>
      </c>
      <c r="J96" s="33">
        <v>1</v>
      </c>
      <c r="Q96" s="33" t="s">
        <v>215</v>
      </c>
      <c r="R96" s="33" t="s">
        <v>208</v>
      </c>
    </row>
    <row r="97" spans="1:18" ht="124.2" hidden="1" x14ac:dyDescent="0.25">
      <c r="A97" s="33" t="s">
        <v>118</v>
      </c>
      <c r="B97" s="33" t="s">
        <v>70</v>
      </c>
      <c r="C97" s="33" t="s">
        <v>202</v>
      </c>
      <c r="D97" s="33" t="s">
        <v>5</v>
      </c>
      <c r="E97" s="33" t="s">
        <v>203</v>
      </c>
      <c r="F97" s="33" t="s">
        <v>13</v>
      </c>
      <c r="G97" s="33" t="s">
        <v>212</v>
      </c>
      <c r="H97" s="33" t="s">
        <v>213</v>
      </c>
      <c r="I97" s="33" t="s">
        <v>214</v>
      </c>
      <c r="J97" s="33">
        <v>1</v>
      </c>
      <c r="Q97" s="33" t="s">
        <v>215</v>
      </c>
      <c r="R97" s="33" t="s">
        <v>208</v>
      </c>
    </row>
    <row r="98" spans="1:18" ht="124.2" hidden="1" x14ac:dyDescent="0.25">
      <c r="A98" s="33" t="s">
        <v>118</v>
      </c>
      <c r="B98" s="33" t="s">
        <v>71</v>
      </c>
      <c r="C98" s="33" t="s">
        <v>202</v>
      </c>
      <c r="D98" s="33" t="s">
        <v>5</v>
      </c>
      <c r="E98" s="33" t="s">
        <v>203</v>
      </c>
      <c r="F98" s="33" t="s">
        <v>13</v>
      </c>
      <c r="G98" s="33" t="s">
        <v>212</v>
      </c>
      <c r="H98" s="33" t="s">
        <v>213</v>
      </c>
      <c r="I98" s="33" t="s">
        <v>214</v>
      </c>
      <c r="J98" s="33">
        <v>1</v>
      </c>
      <c r="Q98" s="33" t="s">
        <v>215</v>
      </c>
      <c r="R98" s="33" t="s">
        <v>208</v>
      </c>
    </row>
    <row r="99" spans="1:18" ht="124.2" hidden="1" x14ac:dyDescent="0.25">
      <c r="A99" s="33" t="s">
        <v>118</v>
      </c>
      <c r="B99" s="33" t="s">
        <v>73</v>
      </c>
      <c r="C99" s="33" t="s">
        <v>202</v>
      </c>
      <c r="D99" s="33" t="s">
        <v>5</v>
      </c>
      <c r="E99" s="33" t="s">
        <v>203</v>
      </c>
      <c r="F99" s="33" t="s">
        <v>13</v>
      </c>
      <c r="G99" s="33" t="s">
        <v>212</v>
      </c>
      <c r="H99" s="33" t="s">
        <v>213</v>
      </c>
      <c r="I99" s="33" t="s">
        <v>214</v>
      </c>
      <c r="J99" s="33">
        <v>1</v>
      </c>
      <c r="Q99" s="33" t="s">
        <v>215</v>
      </c>
      <c r="R99" s="33" t="s">
        <v>208</v>
      </c>
    </row>
    <row r="100" spans="1:18" ht="124.2" hidden="1" x14ac:dyDescent="0.25">
      <c r="A100" s="33" t="s">
        <v>118</v>
      </c>
      <c r="B100" s="33" t="s">
        <v>74</v>
      </c>
      <c r="C100" s="33" t="s">
        <v>202</v>
      </c>
      <c r="D100" s="33" t="s">
        <v>5</v>
      </c>
      <c r="E100" s="33" t="s">
        <v>203</v>
      </c>
      <c r="F100" s="33" t="s">
        <v>13</v>
      </c>
      <c r="G100" s="33" t="s">
        <v>212</v>
      </c>
      <c r="H100" s="33" t="s">
        <v>213</v>
      </c>
      <c r="I100" s="33" t="s">
        <v>214</v>
      </c>
      <c r="J100" s="33">
        <v>1</v>
      </c>
      <c r="Q100" s="33" t="s">
        <v>215</v>
      </c>
      <c r="R100" s="33" t="s">
        <v>208</v>
      </c>
    </row>
    <row r="101" spans="1:18" ht="124.2" hidden="1" x14ac:dyDescent="0.25">
      <c r="A101" s="33" t="s">
        <v>118</v>
      </c>
      <c r="B101" s="33" t="s">
        <v>75</v>
      </c>
      <c r="C101" s="33" t="s">
        <v>202</v>
      </c>
      <c r="D101" s="33" t="s">
        <v>5</v>
      </c>
      <c r="E101" s="33" t="s">
        <v>203</v>
      </c>
      <c r="F101" s="33" t="s">
        <v>13</v>
      </c>
      <c r="G101" s="33" t="s">
        <v>212</v>
      </c>
      <c r="H101" s="33" t="s">
        <v>213</v>
      </c>
      <c r="I101" s="33" t="s">
        <v>214</v>
      </c>
      <c r="J101" s="33">
        <v>1</v>
      </c>
      <c r="Q101" s="33" t="s">
        <v>215</v>
      </c>
      <c r="R101" s="33" t="s">
        <v>208</v>
      </c>
    </row>
    <row r="102" spans="1:18" ht="124.2" hidden="1" x14ac:dyDescent="0.25">
      <c r="A102" s="33" t="s">
        <v>118</v>
      </c>
      <c r="B102" s="33" t="s">
        <v>76</v>
      </c>
      <c r="C102" s="33" t="s">
        <v>202</v>
      </c>
      <c r="D102" s="33" t="s">
        <v>5</v>
      </c>
      <c r="E102" s="33" t="s">
        <v>203</v>
      </c>
      <c r="F102" s="33" t="s">
        <v>13</v>
      </c>
      <c r="G102" s="33" t="s">
        <v>212</v>
      </c>
      <c r="H102" s="33" t="s">
        <v>213</v>
      </c>
      <c r="I102" s="33" t="s">
        <v>214</v>
      </c>
      <c r="J102" s="33">
        <v>1</v>
      </c>
      <c r="Q102" s="33" t="s">
        <v>215</v>
      </c>
      <c r="R102" s="33" t="s">
        <v>208</v>
      </c>
    </row>
    <row r="103" spans="1:18" ht="27.6" hidden="1" x14ac:dyDescent="0.25">
      <c r="A103" s="33" t="s">
        <v>108</v>
      </c>
      <c r="B103" s="33" t="s">
        <v>55</v>
      </c>
      <c r="C103" s="33" t="s">
        <v>208</v>
      </c>
      <c r="D103" s="33" t="s">
        <v>5</v>
      </c>
      <c r="E103" s="33" t="s">
        <v>203</v>
      </c>
      <c r="F103" s="33" t="s">
        <v>21</v>
      </c>
      <c r="G103" s="33" t="s">
        <v>212</v>
      </c>
      <c r="H103" s="33" t="s">
        <v>209</v>
      </c>
      <c r="I103" s="33" t="s">
        <v>209</v>
      </c>
      <c r="R103" s="33" t="s">
        <v>208</v>
      </c>
    </row>
    <row r="104" spans="1:18" ht="27.6" hidden="1" x14ac:dyDescent="0.25">
      <c r="A104" s="33" t="s">
        <v>108</v>
      </c>
      <c r="B104" s="33" t="s">
        <v>61</v>
      </c>
      <c r="C104" s="33" t="s">
        <v>208</v>
      </c>
      <c r="D104" s="33" t="s">
        <v>5</v>
      </c>
      <c r="E104" s="33" t="s">
        <v>203</v>
      </c>
      <c r="F104" s="33" t="s">
        <v>21</v>
      </c>
      <c r="G104" s="33" t="s">
        <v>212</v>
      </c>
      <c r="H104" s="33" t="s">
        <v>209</v>
      </c>
      <c r="I104" s="33" t="s">
        <v>209</v>
      </c>
      <c r="R104" s="33" t="s">
        <v>208</v>
      </c>
    </row>
    <row r="105" spans="1:18" ht="27.6" hidden="1" x14ac:dyDescent="0.25">
      <c r="A105" s="33" t="s">
        <v>157</v>
      </c>
      <c r="B105" s="33" t="s">
        <v>72</v>
      </c>
      <c r="C105" s="33" t="s">
        <v>208</v>
      </c>
      <c r="D105" s="33" t="s">
        <v>5</v>
      </c>
      <c r="E105" s="33" t="s">
        <v>203</v>
      </c>
      <c r="F105" s="33" t="s">
        <v>21</v>
      </c>
      <c r="G105" s="33" t="s">
        <v>212</v>
      </c>
      <c r="H105" s="33" t="s">
        <v>209</v>
      </c>
      <c r="I105" s="33" t="s">
        <v>209</v>
      </c>
      <c r="R105" s="33" t="s">
        <v>208</v>
      </c>
    </row>
    <row r="106" spans="1:18" ht="27.6" hidden="1" x14ac:dyDescent="0.25">
      <c r="A106" s="33" t="s">
        <v>123</v>
      </c>
      <c r="B106" s="33" t="s">
        <v>59</v>
      </c>
      <c r="C106" s="33" t="s">
        <v>208</v>
      </c>
      <c r="D106" s="33" t="s">
        <v>5</v>
      </c>
      <c r="E106" s="33" t="s">
        <v>203</v>
      </c>
      <c r="F106" s="33" t="s">
        <v>21</v>
      </c>
      <c r="G106" s="33" t="s">
        <v>212</v>
      </c>
      <c r="H106" s="33" t="s">
        <v>209</v>
      </c>
      <c r="I106" s="33" t="s">
        <v>209</v>
      </c>
      <c r="R106" s="33" t="s">
        <v>208</v>
      </c>
    </row>
    <row r="107" spans="1:18" ht="27.6" hidden="1" x14ac:dyDescent="0.25">
      <c r="A107" s="33" t="s">
        <v>123</v>
      </c>
      <c r="B107" s="33" t="s">
        <v>60</v>
      </c>
      <c r="C107" s="33" t="s">
        <v>208</v>
      </c>
      <c r="D107" s="33" t="s">
        <v>5</v>
      </c>
      <c r="E107" s="33" t="s">
        <v>203</v>
      </c>
      <c r="F107" s="33" t="s">
        <v>21</v>
      </c>
      <c r="G107" s="33" t="s">
        <v>212</v>
      </c>
      <c r="H107" s="33" t="s">
        <v>209</v>
      </c>
      <c r="I107" s="33" t="s">
        <v>209</v>
      </c>
      <c r="R107" s="33" t="s">
        <v>208</v>
      </c>
    </row>
    <row r="108" spans="1:18" ht="27.6" hidden="1" x14ac:dyDescent="0.25">
      <c r="A108" s="33" t="s">
        <v>123</v>
      </c>
      <c r="B108" s="33" t="s">
        <v>63</v>
      </c>
      <c r="C108" s="33" t="s">
        <v>208</v>
      </c>
      <c r="D108" s="33" t="s">
        <v>5</v>
      </c>
      <c r="E108" s="33" t="s">
        <v>203</v>
      </c>
      <c r="F108" s="33" t="s">
        <v>21</v>
      </c>
      <c r="G108" s="33" t="s">
        <v>212</v>
      </c>
      <c r="H108" s="33" t="s">
        <v>209</v>
      </c>
      <c r="I108" s="33" t="s">
        <v>209</v>
      </c>
      <c r="R108" s="33" t="s">
        <v>208</v>
      </c>
    </row>
    <row r="109" spans="1:18" ht="27.6" hidden="1" x14ac:dyDescent="0.25">
      <c r="A109" s="33" t="s">
        <v>123</v>
      </c>
      <c r="B109" s="33" t="s">
        <v>64</v>
      </c>
      <c r="C109" s="33" t="s">
        <v>208</v>
      </c>
      <c r="D109" s="33" t="s">
        <v>5</v>
      </c>
      <c r="E109" s="33" t="s">
        <v>203</v>
      </c>
      <c r="F109" s="33" t="s">
        <v>21</v>
      </c>
      <c r="G109" s="33" t="s">
        <v>212</v>
      </c>
      <c r="H109" s="33" t="s">
        <v>209</v>
      </c>
      <c r="I109" s="33" t="s">
        <v>209</v>
      </c>
      <c r="R109" s="33" t="s">
        <v>208</v>
      </c>
    </row>
    <row r="110" spans="1:18" ht="27.6" hidden="1" x14ac:dyDescent="0.25">
      <c r="A110" s="33" t="s">
        <v>123</v>
      </c>
      <c r="B110" s="33" t="s">
        <v>66</v>
      </c>
      <c r="C110" s="33" t="s">
        <v>208</v>
      </c>
      <c r="D110" s="33" t="s">
        <v>5</v>
      </c>
      <c r="E110" s="33" t="s">
        <v>203</v>
      </c>
      <c r="F110" s="33" t="s">
        <v>21</v>
      </c>
      <c r="G110" s="33" t="s">
        <v>212</v>
      </c>
      <c r="H110" s="33" t="s">
        <v>209</v>
      </c>
      <c r="I110" s="33" t="s">
        <v>209</v>
      </c>
      <c r="R110" s="33" t="s">
        <v>208</v>
      </c>
    </row>
    <row r="111" spans="1:18" ht="27.6" hidden="1" x14ac:dyDescent="0.25">
      <c r="A111" s="33" t="s">
        <v>123</v>
      </c>
      <c r="B111" s="33" t="s">
        <v>67</v>
      </c>
      <c r="C111" s="33" t="s">
        <v>208</v>
      </c>
      <c r="D111" s="33" t="s">
        <v>5</v>
      </c>
      <c r="E111" s="33" t="s">
        <v>203</v>
      </c>
      <c r="F111" s="33" t="s">
        <v>21</v>
      </c>
      <c r="G111" s="33" t="s">
        <v>212</v>
      </c>
      <c r="H111" s="33" t="s">
        <v>209</v>
      </c>
      <c r="I111" s="33" t="s">
        <v>209</v>
      </c>
      <c r="R111" s="33" t="s">
        <v>208</v>
      </c>
    </row>
    <row r="112" spans="1:18" ht="27.6" x14ac:dyDescent="0.25">
      <c r="A112" s="33" t="s">
        <v>123</v>
      </c>
      <c r="B112" s="33" t="s">
        <v>68</v>
      </c>
      <c r="C112" s="33" t="s">
        <v>208</v>
      </c>
      <c r="D112" s="33" t="s">
        <v>5</v>
      </c>
      <c r="E112" s="33" t="s">
        <v>203</v>
      </c>
      <c r="F112" s="33" t="s">
        <v>21</v>
      </c>
      <c r="G112" s="33" t="s">
        <v>212</v>
      </c>
      <c r="H112" s="33" t="s">
        <v>209</v>
      </c>
      <c r="I112" s="33" t="s">
        <v>209</v>
      </c>
      <c r="R112" s="33" t="s">
        <v>208</v>
      </c>
    </row>
    <row r="113" spans="1:18" ht="27.6" hidden="1" x14ac:dyDescent="0.25">
      <c r="A113" s="33" t="s">
        <v>123</v>
      </c>
      <c r="B113" s="33" t="s">
        <v>77</v>
      </c>
      <c r="C113" s="33" t="s">
        <v>208</v>
      </c>
      <c r="D113" s="33" t="s">
        <v>5</v>
      </c>
      <c r="E113" s="33" t="s">
        <v>203</v>
      </c>
      <c r="F113" s="33" t="s">
        <v>21</v>
      </c>
      <c r="G113" s="33" t="s">
        <v>212</v>
      </c>
      <c r="H113" s="33" t="s">
        <v>209</v>
      </c>
      <c r="I113" s="33" t="s">
        <v>209</v>
      </c>
      <c r="R113" s="33" t="s">
        <v>208</v>
      </c>
    </row>
    <row r="114" spans="1:18" ht="27.6" hidden="1" x14ac:dyDescent="0.25">
      <c r="A114" s="33" t="s">
        <v>113</v>
      </c>
      <c r="B114" s="33" t="s">
        <v>56</v>
      </c>
      <c r="C114" s="33" t="s">
        <v>208</v>
      </c>
      <c r="D114" s="33" t="s">
        <v>5</v>
      </c>
      <c r="E114" s="33" t="s">
        <v>203</v>
      </c>
      <c r="F114" s="33" t="s">
        <v>21</v>
      </c>
      <c r="G114" s="33" t="s">
        <v>212</v>
      </c>
      <c r="H114" s="33" t="s">
        <v>209</v>
      </c>
      <c r="I114" s="33" t="s">
        <v>209</v>
      </c>
      <c r="R114" s="33" t="s">
        <v>208</v>
      </c>
    </row>
    <row r="115" spans="1:18" ht="27.6" hidden="1" x14ac:dyDescent="0.25">
      <c r="A115" s="33" t="s">
        <v>113</v>
      </c>
      <c r="B115" s="33" t="s">
        <v>62</v>
      </c>
      <c r="C115" s="33" t="s">
        <v>208</v>
      </c>
      <c r="D115" s="33" t="s">
        <v>5</v>
      </c>
      <c r="E115" s="33" t="s">
        <v>203</v>
      </c>
      <c r="F115" s="33" t="s">
        <v>21</v>
      </c>
      <c r="G115" s="33" t="s">
        <v>212</v>
      </c>
      <c r="H115" s="33" t="s">
        <v>209</v>
      </c>
      <c r="I115" s="33" t="s">
        <v>209</v>
      </c>
      <c r="R115" s="33" t="s">
        <v>208</v>
      </c>
    </row>
    <row r="116" spans="1:18" ht="27.6" hidden="1" x14ac:dyDescent="0.25">
      <c r="A116" s="33" t="s">
        <v>113</v>
      </c>
      <c r="B116" s="33" t="s">
        <v>65</v>
      </c>
      <c r="C116" s="33" t="s">
        <v>208</v>
      </c>
      <c r="D116" s="33" t="s">
        <v>5</v>
      </c>
      <c r="E116" s="33" t="s">
        <v>203</v>
      </c>
      <c r="F116" s="33" t="s">
        <v>21</v>
      </c>
      <c r="G116" s="33" t="s">
        <v>212</v>
      </c>
      <c r="H116" s="33" t="s">
        <v>209</v>
      </c>
      <c r="I116" s="33" t="s">
        <v>209</v>
      </c>
      <c r="R116" s="33" t="s">
        <v>208</v>
      </c>
    </row>
    <row r="117" spans="1:18" ht="27.6" hidden="1" x14ac:dyDescent="0.25">
      <c r="A117" s="33" t="s">
        <v>172</v>
      </c>
      <c r="B117" s="33" t="s">
        <v>78</v>
      </c>
      <c r="C117" s="33" t="s">
        <v>208</v>
      </c>
      <c r="D117" s="33" t="s">
        <v>5</v>
      </c>
      <c r="E117" s="33" t="s">
        <v>203</v>
      </c>
      <c r="F117" s="33" t="s">
        <v>21</v>
      </c>
      <c r="G117" s="33" t="s">
        <v>212</v>
      </c>
      <c r="H117" s="33" t="s">
        <v>209</v>
      </c>
      <c r="I117" s="33" t="s">
        <v>209</v>
      </c>
      <c r="R117" s="33" t="s">
        <v>208</v>
      </c>
    </row>
    <row r="118" spans="1:18" ht="27.6" hidden="1" x14ac:dyDescent="0.25">
      <c r="A118" s="33" t="s">
        <v>118</v>
      </c>
      <c r="B118" s="33" t="s">
        <v>57</v>
      </c>
      <c r="C118" s="33" t="s">
        <v>208</v>
      </c>
      <c r="D118" s="33" t="s">
        <v>5</v>
      </c>
      <c r="E118" s="33" t="s">
        <v>203</v>
      </c>
      <c r="F118" s="33" t="s">
        <v>21</v>
      </c>
      <c r="G118" s="33" t="s">
        <v>212</v>
      </c>
      <c r="H118" s="33" t="s">
        <v>209</v>
      </c>
      <c r="I118" s="33" t="s">
        <v>209</v>
      </c>
      <c r="R118" s="33" t="s">
        <v>208</v>
      </c>
    </row>
    <row r="119" spans="1:18" ht="27.6" hidden="1" x14ac:dyDescent="0.25">
      <c r="A119" s="33" t="s">
        <v>118</v>
      </c>
      <c r="B119" s="33" t="s">
        <v>58</v>
      </c>
      <c r="C119" s="33" t="s">
        <v>208</v>
      </c>
      <c r="D119" s="33" t="s">
        <v>5</v>
      </c>
      <c r="E119" s="33" t="s">
        <v>203</v>
      </c>
      <c r="F119" s="33" t="s">
        <v>21</v>
      </c>
      <c r="G119" s="33" t="s">
        <v>212</v>
      </c>
      <c r="H119" s="33" t="s">
        <v>209</v>
      </c>
      <c r="I119" s="33" t="s">
        <v>209</v>
      </c>
      <c r="R119" s="33" t="s">
        <v>208</v>
      </c>
    </row>
    <row r="120" spans="1:18" ht="27.6" hidden="1" x14ac:dyDescent="0.25">
      <c r="A120" s="33" t="s">
        <v>118</v>
      </c>
      <c r="B120" s="33" t="s">
        <v>69</v>
      </c>
      <c r="C120" s="33" t="s">
        <v>208</v>
      </c>
      <c r="D120" s="33" t="s">
        <v>5</v>
      </c>
      <c r="E120" s="33" t="s">
        <v>203</v>
      </c>
      <c r="F120" s="33" t="s">
        <v>21</v>
      </c>
      <c r="G120" s="33" t="s">
        <v>212</v>
      </c>
      <c r="H120" s="33" t="s">
        <v>209</v>
      </c>
      <c r="I120" s="33" t="s">
        <v>209</v>
      </c>
      <c r="R120" s="33" t="s">
        <v>208</v>
      </c>
    </row>
    <row r="121" spans="1:18" ht="27.6" hidden="1" x14ac:dyDescent="0.25">
      <c r="A121" s="33" t="s">
        <v>118</v>
      </c>
      <c r="B121" s="33" t="s">
        <v>70</v>
      </c>
      <c r="C121" s="33" t="s">
        <v>208</v>
      </c>
      <c r="D121" s="33" t="s">
        <v>5</v>
      </c>
      <c r="E121" s="33" t="s">
        <v>203</v>
      </c>
      <c r="F121" s="33" t="s">
        <v>21</v>
      </c>
      <c r="G121" s="33" t="s">
        <v>212</v>
      </c>
      <c r="H121" s="33" t="s">
        <v>209</v>
      </c>
      <c r="I121" s="33" t="s">
        <v>209</v>
      </c>
      <c r="R121" s="33" t="s">
        <v>208</v>
      </c>
    </row>
    <row r="122" spans="1:18" ht="27.6" hidden="1" x14ac:dyDescent="0.25">
      <c r="A122" s="33" t="s">
        <v>118</v>
      </c>
      <c r="B122" s="33" t="s">
        <v>71</v>
      </c>
      <c r="C122" s="33" t="s">
        <v>208</v>
      </c>
      <c r="D122" s="33" t="s">
        <v>5</v>
      </c>
      <c r="E122" s="33" t="s">
        <v>203</v>
      </c>
      <c r="F122" s="33" t="s">
        <v>21</v>
      </c>
      <c r="G122" s="33" t="s">
        <v>212</v>
      </c>
      <c r="H122" s="33" t="s">
        <v>209</v>
      </c>
      <c r="I122" s="33" t="s">
        <v>209</v>
      </c>
      <c r="R122" s="33" t="s">
        <v>208</v>
      </c>
    </row>
    <row r="123" spans="1:18" ht="27.6" hidden="1" x14ac:dyDescent="0.25">
      <c r="A123" s="33" t="s">
        <v>118</v>
      </c>
      <c r="B123" s="33" t="s">
        <v>73</v>
      </c>
      <c r="C123" s="33" t="s">
        <v>208</v>
      </c>
      <c r="D123" s="33" t="s">
        <v>5</v>
      </c>
      <c r="E123" s="33" t="s">
        <v>203</v>
      </c>
      <c r="F123" s="33" t="s">
        <v>21</v>
      </c>
      <c r="G123" s="33" t="s">
        <v>212</v>
      </c>
      <c r="H123" s="33" t="s">
        <v>209</v>
      </c>
      <c r="I123" s="33" t="s">
        <v>209</v>
      </c>
      <c r="R123" s="33" t="s">
        <v>208</v>
      </c>
    </row>
    <row r="124" spans="1:18" ht="27.6" hidden="1" x14ac:dyDescent="0.25">
      <c r="A124" s="33" t="s">
        <v>118</v>
      </c>
      <c r="B124" s="33" t="s">
        <v>74</v>
      </c>
      <c r="C124" s="33" t="s">
        <v>208</v>
      </c>
      <c r="D124" s="33" t="s">
        <v>5</v>
      </c>
      <c r="E124" s="33" t="s">
        <v>203</v>
      </c>
      <c r="F124" s="33" t="s">
        <v>21</v>
      </c>
      <c r="G124" s="33" t="s">
        <v>212</v>
      </c>
      <c r="H124" s="33" t="s">
        <v>209</v>
      </c>
      <c r="I124" s="33" t="s">
        <v>209</v>
      </c>
      <c r="R124" s="33" t="s">
        <v>208</v>
      </c>
    </row>
    <row r="125" spans="1:18" ht="27.6" hidden="1" x14ac:dyDescent="0.25">
      <c r="A125" s="33" t="s">
        <v>118</v>
      </c>
      <c r="B125" s="33" t="s">
        <v>75</v>
      </c>
      <c r="C125" s="33" t="s">
        <v>208</v>
      </c>
      <c r="D125" s="33" t="s">
        <v>5</v>
      </c>
      <c r="E125" s="33" t="s">
        <v>203</v>
      </c>
      <c r="F125" s="33" t="s">
        <v>21</v>
      </c>
      <c r="G125" s="33" t="s">
        <v>212</v>
      </c>
      <c r="H125" s="33" t="s">
        <v>209</v>
      </c>
      <c r="I125" s="33" t="s">
        <v>209</v>
      </c>
      <c r="R125" s="33" t="s">
        <v>208</v>
      </c>
    </row>
    <row r="126" spans="1:18" ht="27.6" hidden="1" x14ac:dyDescent="0.25">
      <c r="A126" s="33" t="s">
        <v>118</v>
      </c>
      <c r="B126" s="33" t="s">
        <v>76</v>
      </c>
      <c r="C126" s="33" t="s">
        <v>208</v>
      </c>
      <c r="D126" s="33" t="s">
        <v>5</v>
      </c>
      <c r="E126" s="33" t="s">
        <v>203</v>
      </c>
      <c r="F126" s="33" t="s">
        <v>21</v>
      </c>
      <c r="G126" s="33" t="s">
        <v>212</v>
      </c>
      <c r="H126" s="33" t="s">
        <v>209</v>
      </c>
      <c r="I126" s="33" t="s">
        <v>209</v>
      </c>
      <c r="R126" s="33" t="s">
        <v>208</v>
      </c>
    </row>
    <row r="127" spans="1:18" ht="96.6" hidden="1" x14ac:dyDescent="0.25">
      <c r="A127" s="33" t="s">
        <v>108</v>
      </c>
      <c r="B127" s="33" t="s">
        <v>55</v>
      </c>
      <c r="C127" s="33" t="s">
        <v>202</v>
      </c>
      <c r="D127" s="33" t="s">
        <v>5</v>
      </c>
      <c r="E127" s="33" t="s">
        <v>203</v>
      </c>
      <c r="F127" s="33" t="s">
        <v>14</v>
      </c>
      <c r="G127" s="33" t="s">
        <v>204</v>
      </c>
      <c r="H127" s="33" t="s">
        <v>205</v>
      </c>
      <c r="I127" s="33" t="s">
        <v>206</v>
      </c>
      <c r="J127" s="33">
        <v>2724.17</v>
      </c>
      <c r="K127" s="33">
        <v>3.3495200000000001</v>
      </c>
      <c r="L127" s="33">
        <v>28.940729999999999</v>
      </c>
      <c r="Q127" s="33" t="s">
        <v>207</v>
      </c>
      <c r="R127" s="33">
        <v>2023</v>
      </c>
    </row>
    <row r="128" spans="1:18" ht="96.6" hidden="1" x14ac:dyDescent="0.25">
      <c r="A128" s="33" t="s">
        <v>108</v>
      </c>
      <c r="B128" s="33" t="s">
        <v>61</v>
      </c>
      <c r="C128" s="33" t="s">
        <v>202</v>
      </c>
      <c r="D128" s="33" t="s">
        <v>5</v>
      </c>
      <c r="E128" s="33" t="s">
        <v>203</v>
      </c>
      <c r="F128" s="33" t="s">
        <v>14</v>
      </c>
      <c r="G128" s="33" t="s">
        <v>204</v>
      </c>
      <c r="H128" s="33" t="s">
        <v>205</v>
      </c>
      <c r="I128" s="33" t="s">
        <v>206</v>
      </c>
      <c r="J128" s="33">
        <v>2724.17</v>
      </c>
      <c r="K128" s="33">
        <v>3.3495200000000001</v>
      </c>
      <c r="L128" s="33">
        <v>28.940729999999999</v>
      </c>
      <c r="Q128" s="33" t="s">
        <v>207</v>
      </c>
      <c r="R128" s="33">
        <v>2023</v>
      </c>
    </row>
    <row r="129" spans="1:18" ht="96.6" hidden="1" x14ac:dyDescent="0.25">
      <c r="A129" s="33" t="s">
        <v>157</v>
      </c>
      <c r="B129" s="33" t="s">
        <v>72</v>
      </c>
      <c r="C129" s="33" t="s">
        <v>202</v>
      </c>
      <c r="D129" s="33" t="s">
        <v>5</v>
      </c>
      <c r="E129" s="33" t="s">
        <v>203</v>
      </c>
      <c r="F129" s="33" t="s">
        <v>14</v>
      </c>
      <c r="G129" s="33" t="s">
        <v>204</v>
      </c>
      <c r="H129" s="33" t="s">
        <v>205</v>
      </c>
      <c r="I129" s="33" t="s">
        <v>206</v>
      </c>
      <c r="J129" s="33">
        <v>2724.17</v>
      </c>
      <c r="K129" s="33">
        <v>3.3495200000000001</v>
      </c>
      <c r="L129" s="33">
        <v>28.940729999999999</v>
      </c>
      <c r="Q129" s="33" t="s">
        <v>207</v>
      </c>
      <c r="R129" s="33">
        <v>2023</v>
      </c>
    </row>
    <row r="130" spans="1:18" ht="96.6" hidden="1" x14ac:dyDescent="0.25">
      <c r="A130" s="33" t="s">
        <v>123</v>
      </c>
      <c r="B130" s="33" t="s">
        <v>59</v>
      </c>
      <c r="C130" s="33" t="s">
        <v>202</v>
      </c>
      <c r="D130" s="33" t="s">
        <v>5</v>
      </c>
      <c r="E130" s="33" t="s">
        <v>203</v>
      </c>
      <c r="F130" s="33" t="s">
        <v>14</v>
      </c>
      <c r="G130" s="33" t="s">
        <v>204</v>
      </c>
      <c r="H130" s="33" t="s">
        <v>205</v>
      </c>
      <c r="I130" s="33" t="s">
        <v>206</v>
      </c>
      <c r="J130" s="33">
        <v>2724.17</v>
      </c>
      <c r="K130" s="33">
        <v>3.3495200000000001</v>
      </c>
      <c r="L130" s="33">
        <v>28.940729999999999</v>
      </c>
      <c r="Q130" s="33" t="s">
        <v>207</v>
      </c>
      <c r="R130" s="33">
        <v>2023</v>
      </c>
    </row>
    <row r="131" spans="1:18" ht="96.6" hidden="1" x14ac:dyDescent="0.25">
      <c r="A131" s="33" t="s">
        <v>123</v>
      </c>
      <c r="B131" s="33" t="s">
        <v>60</v>
      </c>
      <c r="C131" s="33" t="s">
        <v>202</v>
      </c>
      <c r="D131" s="33" t="s">
        <v>5</v>
      </c>
      <c r="E131" s="33" t="s">
        <v>203</v>
      </c>
      <c r="F131" s="33" t="s">
        <v>14</v>
      </c>
      <c r="G131" s="33" t="s">
        <v>204</v>
      </c>
      <c r="H131" s="33" t="s">
        <v>205</v>
      </c>
      <c r="I131" s="33" t="s">
        <v>206</v>
      </c>
      <c r="J131" s="33">
        <v>2724.17</v>
      </c>
      <c r="K131" s="33">
        <v>3.3495200000000001</v>
      </c>
      <c r="L131" s="33">
        <v>28.940729999999999</v>
      </c>
      <c r="Q131" s="33" t="s">
        <v>207</v>
      </c>
      <c r="R131" s="33">
        <v>2023</v>
      </c>
    </row>
    <row r="132" spans="1:18" ht="96.6" hidden="1" x14ac:dyDescent="0.25">
      <c r="A132" s="33" t="s">
        <v>123</v>
      </c>
      <c r="B132" s="33" t="s">
        <v>63</v>
      </c>
      <c r="C132" s="33" t="s">
        <v>202</v>
      </c>
      <c r="D132" s="33" t="s">
        <v>5</v>
      </c>
      <c r="E132" s="33" t="s">
        <v>203</v>
      </c>
      <c r="F132" s="33" t="s">
        <v>14</v>
      </c>
      <c r="G132" s="33" t="s">
        <v>204</v>
      </c>
      <c r="H132" s="33" t="s">
        <v>205</v>
      </c>
      <c r="I132" s="33" t="s">
        <v>206</v>
      </c>
      <c r="J132" s="33">
        <v>2724.17</v>
      </c>
      <c r="K132" s="33">
        <v>3.3495200000000001</v>
      </c>
      <c r="L132" s="33">
        <v>28.940729999999999</v>
      </c>
      <c r="Q132" s="33" t="s">
        <v>207</v>
      </c>
      <c r="R132" s="33">
        <v>2023</v>
      </c>
    </row>
    <row r="133" spans="1:18" ht="96.6" hidden="1" x14ac:dyDescent="0.25">
      <c r="A133" s="33" t="s">
        <v>123</v>
      </c>
      <c r="B133" s="33" t="s">
        <v>64</v>
      </c>
      <c r="C133" s="33" t="s">
        <v>202</v>
      </c>
      <c r="D133" s="33" t="s">
        <v>5</v>
      </c>
      <c r="E133" s="33" t="s">
        <v>203</v>
      </c>
      <c r="F133" s="33" t="s">
        <v>14</v>
      </c>
      <c r="G133" s="33" t="s">
        <v>204</v>
      </c>
      <c r="H133" s="33" t="s">
        <v>205</v>
      </c>
      <c r="I133" s="33" t="s">
        <v>206</v>
      </c>
      <c r="J133" s="33">
        <v>2724.17</v>
      </c>
      <c r="K133" s="33">
        <v>3.3495200000000001</v>
      </c>
      <c r="L133" s="33">
        <v>28.940729999999999</v>
      </c>
      <c r="Q133" s="33" t="s">
        <v>207</v>
      </c>
      <c r="R133" s="33">
        <v>2023</v>
      </c>
    </row>
    <row r="134" spans="1:18" ht="96.6" hidden="1" x14ac:dyDescent="0.25">
      <c r="A134" s="33" t="s">
        <v>123</v>
      </c>
      <c r="B134" s="33" t="s">
        <v>66</v>
      </c>
      <c r="C134" s="33" t="s">
        <v>202</v>
      </c>
      <c r="D134" s="33" t="s">
        <v>5</v>
      </c>
      <c r="E134" s="33" t="s">
        <v>203</v>
      </c>
      <c r="F134" s="33" t="s">
        <v>14</v>
      </c>
      <c r="G134" s="33" t="s">
        <v>204</v>
      </c>
      <c r="H134" s="33" t="s">
        <v>205</v>
      </c>
      <c r="I134" s="33" t="s">
        <v>206</v>
      </c>
      <c r="J134" s="33">
        <v>2724.17</v>
      </c>
      <c r="K134" s="33">
        <v>3.3495200000000001</v>
      </c>
      <c r="L134" s="33">
        <v>28.940729999999999</v>
      </c>
      <c r="Q134" s="33" t="s">
        <v>207</v>
      </c>
      <c r="R134" s="33">
        <v>2023</v>
      </c>
    </row>
    <row r="135" spans="1:18" ht="96.6" hidden="1" x14ac:dyDescent="0.25">
      <c r="A135" s="33" t="s">
        <v>123</v>
      </c>
      <c r="B135" s="33" t="s">
        <v>67</v>
      </c>
      <c r="C135" s="33" t="s">
        <v>202</v>
      </c>
      <c r="D135" s="33" t="s">
        <v>5</v>
      </c>
      <c r="E135" s="33" t="s">
        <v>203</v>
      </c>
      <c r="F135" s="33" t="s">
        <v>14</v>
      </c>
      <c r="G135" s="33" t="s">
        <v>204</v>
      </c>
      <c r="H135" s="33" t="s">
        <v>205</v>
      </c>
      <c r="I135" s="33" t="s">
        <v>206</v>
      </c>
      <c r="J135" s="33">
        <v>2724.17</v>
      </c>
      <c r="K135" s="33">
        <v>3.3495200000000001</v>
      </c>
      <c r="L135" s="33">
        <v>28.940729999999999</v>
      </c>
      <c r="Q135" s="33" t="s">
        <v>207</v>
      </c>
      <c r="R135" s="33">
        <v>2023</v>
      </c>
    </row>
    <row r="136" spans="1:18" ht="96.6" x14ac:dyDescent="0.25">
      <c r="A136" s="33" t="s">
        <v>123</v>
      </c>
      <c r="B136" s="33" t="s">
        <v>68</v>
      </c>
      <c r="C136" s="33" t="s">
        <v>202</v>
      </c>
      <c r="D136" s="33" t="s">
        <v>5</v>
      </c>
      <c r="E136" s="33" t="s">
        <v>203</v>
      </c>
      <c r="F136" s="33" t="s">
        <v>14</v>
      </c>
      <c r="G136" s="33" t="s">
        <v>204</v>
      </c>
      <c r="H136" s="33" t="s">
        <v>205</v>
      </c>
      <c r="I136" s="33" t="s">
        <v>206</v>
      </c>
      <c r="J136" s="33">
        <v>2724.17</v>
      </c>
      <c r="K136" s="33">
        <v>3.3495200000000001</v>
      </c>
      <c r="L136" s="33">
        <v>28.940729999999999</v>
      </c>
      <c r="Q136" s="33" t="s">
        <v>207</v>
      </c>
      <c r="R136" s="33">
        <v>2023</v>
      </c>
    </row>
    <row r="137" spans="1:18" ht="96.6" hidden="1" x14ac:dyDescent="0.25">
      <c r="A137" s="33" t="s">
        <v>123</v>
      </c>
      <c r="B137" s="33" t="s">
        <v>77</v>
      </c>
      <c r="C137" s="33" t="s">
        <v>202</v>
      </c>
      <c r="D137" s="33" t="s">
        <v>5</v>
      </c>
      <c r="E137" s="33" t="s">
        <v>203</v>
      </c>
      <c r="F137" s="33" t="s">
        <v>14</v>
      </c>
      <c r="G137" s="33" t="s">
        <v>204</v>
      </c>
      <c r="H137" s="33" t="s">
        <v>205</v>
      </c>
      <c r="I137" s="33" t="s">
        <v>206</v>
      </c>
      <c r="J137" s="33">
        <v>2724.17</v>
      </c>
      <c r="K137" s="33">
        <v>3.3495200000000001</v>
      </c>
      <c r="L137" s="33">
        <v>28.940729999999999</v>
      </c>
      <c r="Q137" s="33" t="s">
        <v>207</v>
      </c>
      <c r="R137" s="33">
        <v>2023</v>
      </c>
    </row>
    <row r="138" spans="1:18" ht="96.6" hidden="1" x14ac:dyDescent="0.25">
      <c r="A138" s="33" t="s">
        <v>113</v>
      </c>
      <c r="B138" s="33" t="s">
        <v>56</v>
      </c>
      <c r="C138" s="33" t="s">
        <v>202</v>
      </c>
      <c r="D138" s="33" t="s">
        <v>5</v>
      </c>
      <c r="E138" s="33" t="s">
        <v>203</v>
      </c>
      <c r="F138" s="33" t="s">
        <v>14</v>
      </c>
      <c r="G138" s="33" t="s">
        <v>204</v>
      </c>
      <c r="H138" s="33" t="s">
        <v>205</v>
      </c>
      <c r="I138" s="33" t="s">
        <v>206</v>
      </c>
      <c r="J138" s="33">
        <v>2724.17</v>
      </c>
      <c r="K138" s="33">
        <v>3.3495200000000001</v>
      </c>
      <c r="L138" s="33">
        <v>28.940729999999999</v>
      </c>
      <c r="Q138" s="33" t="s">
        <v>207</v>
      </c>
      <c r="R138" s="33">
        <v>2023</v>
      </c>
    </row>
    <row r="139" spans="1:18" ht="96.6" hidden="1" x14ac:dyDescent="0.25">
      <c r="A139" s="33" t="s">
        <v>113</v>
      </c>
      <c r="B139" s="33" t="s">
        <v>62</v>
      </c>
      <c r="C139" s="33" t="s">
        <v>202</v>
      </c>
      <c r="D139" s="33" t="s">
        <v>5</v>
      </c>
      <c r="E139" s="33" t="s">
        <v>203</v>
      </c>
      <c r="F139" s="33" t="s">
        <v>14</v>
      </c>
      <c r="G139" s="33" t="s">
        <v>204</v>
      </c>
      <c r="H139" s="33" t="s">
        <v>205</v>
      </c>
      <c r="I139" s="33" t="s">
        <v>206</v>
      </c>
      <c r="J139" s="33">
        <v>2724.17</v>
      </c>
      <c r="K139" s="33">
        <v>3.3495200000000001</v>
      </c>
      <c r="L139" s="33">
        <v>28.940729999999999</v>
      </c>
      <c r="Q139" s="33" t="s">
        <v>207</v>
      </c>
      <c r="R139" s="33">
        <v>2023</v>
      </c>
    </row>
    <row r="140" spans="1:18" ht="96.6" hidden="1" x14ac:dyDescent="0.25">
      <c r="A140" s="33" t="s">
        <v>113</v>
      </c>
      <c r="B140" s="33" t="s">
        <v>65</v>
      </c>
      <c r="C140" s="33" t="s">
        <v>202</v>
      </c>
      <c r="D140" s="33" t="s">
        <v>5</v>
      </c>
      <c r="E140" s="33" t="s">
        <v>203</v>
      </c>
      <c r="F140" s="33" t="s">
        <v>14</v>
      </c>
      <c r="G140" s="33" t="s">
        <v>204</v>
      </c>
      <c r="H140" s="33" t="s">
        <v>205</v>
      </c>
      <c r="I140" s="33" t="s">
        <v>206</v>
      </c>
      <c r="J140" s="33">
        <v>2724.17</v>
      </c>
      <c r="K140" s="33">
        <v>3.3495200000000001</v>
      </c>
      <c r="L140" s="33">
        <v>28.940729999999999</v>
      </c>
      <c r="Q140" s="33" t="s">
        <v>207</v>
      </c>
      <c r="R140" s="33">
        <v>2023</v>
      </c>
    </row>
    <row r="141" spans="1:18" ht="96.6" hidden="1" x14ac:dyDescent="0.25">
      <c r="A141" s="33" t="s">
        <v>172</v>
      </c>
      <c r="B141" s="33" t="s">
        <v>78</v>
      </c>
      <c r="C141" s="33" t="s">
        <v>202</v>
      </c>
      <c r="D141" s="33" t="s">
        <v>5</v>
      </c>
      <c r="E141" s="33" t="s">
        <v>203</v>
      </c>
      <c r="F141" s="33" t="s">
        <v>14</v>
      </c>
      <c r="G141" s="33" t="s">
        <v>204</v>
      </c>
      <c r="H141" s="33" t="s">
        <v>205</v>
      </c>
      <c r="I141" s="33" t="s">
        <v>206</v>
      </c>
      <c r="J141" s="33">
        <v>2724.17</v>
      </c>
      <c r="K141" s="33">
        <v>3.3495200000000001</v>
      </c>
      <c r="L141" s="33">
        <v>28.940729999999999</v>
      </c>
      <c r="Q141" s="33" t="s">
        <v>207</v>
      </c>
      <c r="R141" s="33">
        <v>2023</v>
      </c>
    </row>
    <row r="142" spans="1:18" ht="96.6" hidden="1" x14ac:dyDescent="0.25">
      <c r="A142" s="33" t="s">
        <v>118</v>
      </c>
      <c r="B142" s="33" t="s">
        <v>57</v>
      </c>
      <c r="C142" s="33" t="s">
        <v>202</v>
      </c>
      <c r="D142" s="33" t="s">
        <v>5</v>
      </c>
      <c r="E142" s="33" t="s">
        <v>203</v>
      </c>
      <c r="F142" s="33" t="s">
        <v>14</v>
      </c>
      <c r="G142" s="33" t="s">
        <v>204</v>
      </c>
      <c r="H142" s="33" t="s">
        <v>205</v>
      </c>
      <c r="I142" s="33" t="s">
        <v>206</v>
      </c>
      <c r="J142" s="33">
        <v>2724.17</v>
      </c>
      <c r="K142" s="33">
        <v>3.3495200000000001</v>
      </c>
      <c r="L142" s="33">
        <v>28.940729999999999</v>
      </c>
      <c r="Q142" s="33" t="s">
        <v>207</v>
      </c>
      <c r="R142" s="33">
        <v>2023</v>
      </c>
    </row>
    <row r="143" spans="1:18" ht="96.6" hidden="1" x14ac:dyDescent="0.25">
      <c r="A143" s="33" t="s">
        <v>118</v>
      </c>
      <c r="B143" s="33" t="s">
        <v>58</v>
      </c>
      <c r="C143" s="33" t="s">
        <v>202</v>
      </c>
      <c r="D143" s="33" t="s">
        <v>5</v>
      </c>
      <c r="E143" s="33" t="s">
        <v>203</v>
      </c>
      <c r="F143" s="33" t="s">
        <v>14</v>
      </c>
      <c r="G143" s="33" t="s">
        <v>204</v>
      </c>
      <c r="H143" s="33" t="s">
        <v>205</v>
      </c>
      <c r="I143" s="33" t="s">
        <v>206</v>
      </c>
      <c r="J143" s="33">
        <v>2724.17</v>
      </c>
      <c r="K143" s="33">
        <v>3.3495200000000001</v>
      </c>
      <c r="L143" s="33">
        <v>28.940729999999999</v>
      </c>
      <c r="Q143" s="33" t="s">
        <v>207</v>
      </c>
      <c r="R143" s="33">
        <v>2023</v>
      </c>
    </row>
    <row r="144" spans="1:18" ht="96.6" hidden="1" x14ac:dyDescent="0.25">
      <c r="A144" s="33" t="s">
        <v>118</v>
      </c>
      <c r="B144" s="33" t="s">
        <v>69</v>
      </c>
      <c r="C144" s="33" t="s">
        <v>202</v>
      </c>
      <c r="D144" s="33" t="s">
        <v>5</v>
      </c>
      <c r="E144" s="33" t="s">
        <v>203</v>
      </c>
      <c r="F144" s="33" t="s">
        <v>14</v>
      </c>
      <c r="G144" s="33" t="s">
        <v>204</v>
      </c>
      <c r="H144" s="33" t="s">
        <v>205</v>
      </c>
      <c r="I144" s="33" t="s">
        <v>206</v>
      </c>
      <c r="J144" s="33">
        <v>2724.17</v>
      </c>
      <c r="K144" s="33">
        <v>3.3495200000000001</v>
      </c>
      <c r="L144" s="33">
        <v>28.940729999999999</v>
      </c>
      <c r="Q144" s="33" t="s">
        <v>207</v>
      </c>
      <c r="R144" s="33">
        <v>2023</v>
      </c>
    </row>
    <row r="145" spans="1:18" ht="96.6" hidden="1" x14ac:dyDescent="0.25">
      <c r="A145" s="33" t="s">
        <v>118</v>
      </c>
      <c r="B145" s="33" t="s">
        <v>70</v>
      </c>
      <c r="C145" s="33" t="s">
        <v>202</v>
      </c>
      <c r="D145" s="33" t="s">
        <v>5</v>
      </c>
      <c r="E145" s="33" t="s">
        <v>203</v>
      </c>
      <c r="F145" s="33" t="s">
        <v>14</v>
      </c>
      <c r="G145" s="33" t="s">
        <v>204</v>
      </c>
      <c r="H145" s="33" t="s">
        <v>205</v>
      </c>
      <c r="I145" s="33" t="s">
        <v>206</v>
      </c>
      <c r="J145" s="33">
        <v>2724.17</v>
      </c>
      <c r="K145" s="33">
        <v>3.3495200000000001</v>
      </c>
      <c r="L145" s="33">
        <v>28.940729999999999</v>
      </c>
      <c r="Q145" s="33" t="s">
        <v>207</v>
      </c>
      <c r="R145" s="33">
        <v>2023</v>
      </c>
    </row>
    <row r="146" spans="1:18" ht="96.6" hidden="1" x14ac:dyDescent="0.25">
      <c r="A146" s="33" t="s">
        <v>118</v>
      </c>
      <c r="B146" s="33" t="s">
        <v>71</v>
      </c>
      <c r="C146" s="33" t="s">
        <v>202</v>
      </c>
      <c r="D146" s="33" t="s">
        <v>5</v>
      </c>
      <c r="E146" s="33" t="s">
        <v>203</v>
      </c>
      <c r="F146" s="33" t="s">
        <v>14</v>
      </c>
      <c r="G146" s="33" t="s">
        <v>204</v>
      </c>
      <c r="H146" s="33" t="s">
        <v>205</v>
      </c>
      <c r="I146" s="33" t="s">
        <v>206</v>
      </c>
      <c r="J146" s="33">
        <v>2724.17</v>
      </c>
      <c r="K146" s="33">
        <v>3.3495200000000001</v>
      </c>
      <c r="L146" s="33">
        <v>28.940729999999999</v>
      </c>
      <c r="Q146" s="33" t="s">
        <v>207</v>
      </c>
      <c r="R146" s="33">
        <v>2023</v>
      </c>
    </row>
    <row r="147" spans="1:18" ht="96.6" hidden="1" x14ac:dyDescent="0.25">
      <c r="A147" s="33" t="s">
        <v>118</v>
      </c>
      <c r="B147" s="33" t="s">
        <v>73</v>
      </c>
      <c r="C147" s="33" t="s">
        <v>202</v>
      </c>
      <c r="D147" s="33" t="s">
        <v>5</v>
      </c>
      <c r="E147" s="33" t="s">
        <v>203</v>
      </c>
      <c r="F147" s="33" t="s">
        <v>14</v>
      </c>
      <c r="G147" s="33" t="s">
        <v>204</v>
      </c>
      <c r="H147" s="33" t="s">
        <v>205</v>
      </c>
      <c r="I147" s="33" t="s">
        <v>206</v>
      </c>
      <c r="J147" s="33">
        <v>2724.17</v>
      </c>
      <c r="K147" s="33">
        <v>3.3495200000000001</v>
      </c>
      <c r="L147" s="33">
        <v>28.940729999999999</v>
      </c>
      <c r="Q147" s="33" t="s">
        <v>207</v>
      </c>
      <c r="R147" s="33">
        <v>2023</v>
      </c>
    </row>
    <row r="148" spans="1:18" ht="96.6" hidden="1" x14ac:dyDescent="0.25">
      <c r="A148" s="33" t="s">
        <v>118</v>
      </c>
      <c r="B148" s="33" t="s">
        <v>74</v>
      </c>
      <c r="C148" s="33" t="s">
        <v>202</v>
      </c>
      <c r="D148" s="33" t="s">
        <v>5</v>
      </c>
      <c r="E148" s="33" t="s">
        <v>203</v>
      </c>
      <c r="F148" s="33" t="s">
        <v>14</v>
      </c>
      <c r="G148" s="33" t="s">
        <v>204</v>
      </c>
      <c r="H148" s="33" t="s">
        <v>205</v>
      </c>
      <c r="I148" s="33" t="s">
        <v>206</v>
      </c>
      <c r="J148" s="33">
        <v>2724.17</v>
      </c>
      <c r="K148" s="33">
        <v>3.3495200000000001</v>
      </c>
      <c r="L148" s="33">
        <v>28.940729999999999</v>
      </c>
      <c r="Q148" s="33" t="s">
        <v>207</v>
      </c>
      <c r="R148" s="33">
        <v>2023</v>
      </c>
    </row>
    <row r="149" spans="1:18" ht="96.6" hidden="1" x14ac:dyDescent="0.25">
      <c r="A149" s="33" t="s">
        <v>118</v>
      </c>
      <c r="B149" s="33" t="s">
        <v>75</v>
      </c>
      <c r="C149" s="33" t="s">
        <v>202</v>
      </c>
      <c r="D149" s="33" t="s">
        <v>5</v>
      </c>
      <c r="E149" s="33" t="s">
        <v>203</v>
      </c>
      <c r="F149" s="33" t="s">
        <v>14</v>
      </c>
      <c r="G149" s="33" t="s">
        <v>204</v>
      </c>
      <c r="H149" s="33" t="s">
        <v>205</v>
      </c>
      <c r="I149" s="33" t="s">
        <v>206</v>
      </c>
      <c r="J149" s="33">
        <v>2724.17</v>
      </c>
      <c r="K149" s="33">
        <v>3.3495200000000001</v>
      </c>
      <c r="L149" s="33">
        <v>28.940729999999999</v>
      </c>
      <c r="Q149" s="33" t="s">
        <v>207</v>
      </c>
      <c r="R149" s="33">
        <v>2023</v>
      </c>
    </row>
    <row r="150" spans="1:18" ht="96.6" hidden="1" x14ac:dyDescent="0.25">
      <c r="A150" s="33" t="s">
        <v>118</v>
      </c>
      <c r="B150" s="33" t="s">
        <v>76</v>
      </c>
      <c r="C150" s="33" t="s">
        <v>202</v>
      </c>
      <c r="D150" s="33" t="s">
        <v>5</v>
      </c>
      <c r="E150" s="33" t="s">
        <v>203</v>
      </c>
      <c r="F150" s="33" t="s">
        <v>14</v>
      </c>
      <c r="G150" s="33" t="s">
        <v>204</v>
      </c>
      <c r="H150" s="33" t="s">
        <v>205</v>
      </c>
      <c r="I150" s="33" t="s">
        <v>206</v>
      </c>
      <c r="J150" s="33">
        <v>2724.17</v>
      </c>
      <c r="K150" s="33">
        <v>3.3495200000000001</v>
      </c>
      <c r="L150" s="33">
        <v>28.940729999999999</v>
      </c>
      <c r="Q150" s="33" t="s">
        <v>207</v>
      </c>
      <c r="R150" s="33">
        <v>2023</v>
      </c>
    </row>
    <row r="151" spans="1:18" ht="96.6" hidden="1" x14ac:dyDescent="0.25">
      <c r="A151" s="33" t="s">
        <v>108</v>
      </c>
      <c r="B151" s="33" t="s">
        <v>55</v>
      </c>
      <c r="C151" s="33" t="s">
        <v>202</v>
      </c>
      <c r="D151" s="33" t="s">
        <v>5</v>
      </c>
      <c r="E151" s="33" t="s">
        <v>203</v>
      </c>
      <c r="F151" s="33" t="s">
        <v>15</v>
      </c>
      <c r="G151" s="33" t="s">
        <v>204</v>
      </c>
      <c r="H151" s="33" t="s">
        <v>205</v>
      </c>
      <c r="I151" s="33" t="s">
        <v>206</v>
      </c>
      <c r="J151" s="33">
        <v>2083.54</v>
      </c>
      <c r="K151" s="33">
        <v>8.5823999999999998</v>
      </c>
      <c r="L151" s="33">
        <v>6.0469499999999998</v>
      </c>
      <c r="Q151" s="33" t="s">
        <v>207</v>
      </c>
      <c r="R151" s="33">
        <v>2023</v>
      </c>
    </row>
    <row r="152" spans="1:18" ht="96.6" hidden="1" x14ac:dyDescent="0.25">
      <c r="A152" s="33" t="s">
        <v>108</v>
      </c>
      <c r="B152" s="33" t="s">
        <v>61</v>
      </c>
      <c r="C152" s="33" t="s">
        <v>202</v>
      </c>
      <c r="D152" s="33" t="s">
        <v>5</v>
      </c>
      <c r="E152" s="33" t="s">
        <v>203</v>
      </c>
      <c r="F152" s="33" t="s">
        <v>15</v>
      </c>
      <c r="G152" s="33" t="s">
        <v>204</v>
      </c>
      <c r="H152" s="33" t="s">
        <v>205</v>
      </c>
      <c r="I152" s="33" t="s">
        <v>206</v>
      </c>
      <c r="J152" s="33">
        <v>2083.54</v>
      </c>
      <c r="K152" s="33">
        <v>8.5823999999999998</v>
      </c>
      <c r="L152" s="33">
        <v>6.0469499999999998</v>
      </c>
      <c r="Q152" s="33" t="s">
        <v>207</v>
      </c>
      <c r="R152" s="33">
        <v>2023</v>
      </c>
    </row>
    <row r="153" spans="1:18" ht="96.6" hidden="1" x14ac:dyDescent="0.25">
      <c r="A153" s="33" t="s">
        <v>157</v>
      </c>
      <c r="B153" s="33" t="s">
        <v>72</v>
      </c>
      <c r="C153" s="33" t="s">
        <v>202</v>
      </c>
      <c r="D153" s="33" t="s">
        <v>5</v>
      </c>
      <c r="E153" s="33" t="s">
        <v>203</v>
      </c>
      <c r="F153" s="33" t="s">
        <v>15</v>
      </c>
      <c r="G153" s="33" t="s">
        <v>204</v>
      </c>
      <c r="H153" s="33" t="s">
        <v>205</v>
      </c>
      <c r="I153" s="33" t="s">
        <v>206</v>
      </c>
      <c r="J153" s="33">
        <v>2083.54</v>
      </c>
      <c r="K153" s="33">
        <v>8.5823999999999998</v>
      </c>
      <c r="L153" s="33">
        <v>6.0469499999999998</v>
      </c>
      <c r="Q153" s="33" t="s">
        <v>207</v>
      </c>
      <c r="R153" s="33">
        <v>2023</v>
      </c>
    </row>
    <row r="154" spans="1:18" ht="96.6" hidden="1" x14ac:dyDescent="0.25">
      <c r="A154" s="33" t="s">
        <v>123</v>
      </c>
      <c r="B154" s="33" t="s">
        <v>59</v>
      </c>
      <c r="C154" s="33" t="s">
        <v>202</v>
      </c>
      <c r="D154" s="33" t="s">
        <v>5</v>
      </c>
      <c r="E154" s="33" t="s">
        <v>203</v>
      </c>
      <c r="F154" s="33" t="s">
        <v>15</v>
      </c>
      <c r="G154" s="33" t="s">
        <v>204</v>
      </c>
      <c r="H154" s="33" t="s">
        <v>205</v>
      </c>
      <c r="I154" s="33" t="s">
        <v>206</v>
      </c>
      <c r="J154" s="33">
        <v>2083.54</v>
      </c>
      <c r="K154" s="33">
        <v>8.5823999999999998</v>
      </c>
      <c r="L154" s="33">
        <v>6.0469499999999998</v>
      </c>
      <c r="Q154" s="33" t="s">
        <v>207</v>
      </c>
      <c r="R154" s="33">
        <v>2023</v>
      </c>
    </row>
    <row r="155" spans="1:18" ht="96.6" hidden="1" x14ac:dyDescent="0.25">
      <c r="A155" s="33" t="s">
        <v>123</v>
      </c>
      <c r="B155" s="33" t="s">
        <v>60</v>
      </c>
      <c r="C155" s="33" t="s">
        <v>202</v>
      </c>
      <c r="D155" s="33" t="s">
        <v>5</v>
      </c>
      <c r="E155" s="33" t="s">
        <v>203</v>
      </c>
      <c r="F155" s="33" t="s">
        <v>15</v>
      </c>
      <c r="G155" s="33" t="s">
        <v>204</v>
      </c>
      <c r="H155" s="33" t="s">
        <v>205</v>
      </c>
      <c r="I155" s="33" t="s">
        <v>206</v>
      </c>
      <c r="J155" s="33">
        <v>2083.54</v>
      </c>
      <c r="K155" s="33">
        <v>8.5823999999999998</v>
      </c>
      <c r="L155" s="33">
        <v>6.0469499999999998</v>
      </c>
      <c r="Q155" s="33" t="s">
        <v>207</v>
      </c>
      <c r="R155" s="33">
        <v>2023</v>
      </c>
    </row>
    <row r="156" spans="1:18" ht="96.6" hidden="1" x14ac:dyDescent="0.25">
      <c r="A156" s="33" t="s">
        <v>123</v>
      </c>
      <c r="B156" s="33" t="s">
        <v>63</v>
      </c>
      <c r="C156" s="33" t="s">
        <v>202</v>
      </c>
      <c r="D156" s="33" t="s">
        <v>5</v>
      </c>
      <c r="E156" s="33" t="s">
        <v>203</v>
      </c>
      <c r="F156" s="33" t="s">
        <v>15</v>
      </c>
      <c r="G156" s="33" t="s">
        <v>204</v>
      </c>
      <c r="H156" s="33" t="s">
        <v>205</v>
      </c>
      <c r="I156" s="33" t="s">
        <v>206</v>
      </c>
      <c r="J156" s="33">
        <v>2083.54</v>
      </c>
      <c r="K156" s="33">
        <v>8.5823999999999998</v>
      </c>
      <c r="L156" s="33">
        <v>6.0469499999999998</v>
      </c>
      <c r="Q156" s="33" t="s">
        <v>207</v>
      </c>
      <c r="R156" s="33">
        <v>2023</v>
      </c>
    </row>
    <row r="157" spans="1:18" ht="96.6" hidden="1" x14ac:dyDescent="0.25">
      <c r="A157" s="33" t="s">
        <v>123</v>
      </c>
      <c r="B157" s="33" t="s">
        <v>64</v>
      </c>
      <c r="C157" s="33" t="s">
        <v>202</v>
      </c>
      <c r="D157" s="33" t="s">
        <v>5</v>
      </c>
      <c r="E157" s="33" t="s">
        <v>203</v>
      </c>
      <c r="F157" s="33" t="s">
        <v>15</v>
      </c>
      <c r="G157" s="33" t="s">
        <v>204</v>
      </c>
      <c r="H157" s="33" t="s">
        <v>205</v>
      </c>
      <c r="I157" s="33" t="s">
        <v>206</v>
      </c>
      <c r="J157" s="33">
        <v>2083.54</v>
      </c>
      <c r="K157" s="33">
        <v>8.5823999999999998</v>
      </c>
      <c r="L157" s="33">
        <v>6.0469499999999998</v>
      </c>
      <c r="Q157" s="33" t="s">
        <v>207</v>
      </c>
      <c r="R157" s="33">
        <v>2023</v>
      </c>
    </row>
    <row r="158" spans="1:18" ht="96.6" hidden="1" x14ac:dyDescent="0.25">
      <c r="A158" s="33" t="s">
        <v>123</v>
      </c>
      <c r="B158" s="33" t="s">
        <v>66</v>
      </c>
      <c r="C158" s="33" t="s">
        <v>202</v>
      </c>
      <c r="D158" s="33" t="s">
        <v>5</v>
      </c>
      <c r="E158" s="33" t="s">
        <v>203</v>
      </c>
      <c r="F158" s="33" t="s">
        <v>15</v>
      </c>
      <c r="G158" s="33" t="s">
        <v>204</v>
      </c>
      <c r="H158" s="33" t="s">
        <v>205</v>
      </c>
      <c r="I158" s="33" t="s">
        <v>206</v>
      </c>
      <c r="J158" s="33">
        <v>2083.54</v>
      </c>
      <c r="K158" s="33">
        <v>8.5823999999999998</v>
      </c>
      <c r="L158" s="33">
        <v>6.0469499999999998</v>
      </c>
      <c r="Q158" s="33" t="s">
        <v>207</v>
      </c>
      <c r="R158" s="33">
        <v>2023</v>
      </c>
    </row>
    <row r="159" spans="1:18" ht="96.6" hidden="1" x14ac:dyDescent="0.25">
      <c r="A159" s="33" t="s">
        <v>123</v>
      </c>
      <c r="B159" s="33" t="s">
        <v>67</v>
      </c>
      <c r="C159" s="33" t="s">
        <v>202</v>
      </c>
      <c r="D159" s="33" t="s">
        <v>5</v>
      </c>
      <c r="E159" s="33" t="s">
        <v>203</v>
      </c>
      <c r="F159" s="33" t="s">
        <v>15</v>
      </c>
      <c r="G159" s="33" t="s">
        <v>204</v>
      </c>
      <c r="H159" s="33" t="s">
        <v>205</v>
      </c>
      <c r="I159" s="33" t="s">
        <v>206</v>
      </c>
      <c r="J159" s="33">
        <v>2083.54</v>
      </c>
      <c r="K159" s="33">
        <v>8.5823999999999998</v>
      </c>
      <c r="L159" s="33">
        <v>6.0469499999999998</v>
      </c>
      <c r="Q159" s="33" t="s">
        <v>207</v>
      </c>
      <c r="R159" s="33">
        <v>2023</v>
      </c>
    </row>
    <row r="160" spans="1:18" ht="96.6" x14ac:dyDescent="0.25">
      <c r="A160" s="33" t="s">
        <v>123</v>
      </c>
      <c r="B160" s="33" t="s">
        <v>68</v>
      </c>
      <c r="C160" s="33" t="s">
        <v>202</v>
      </c>
      <c r="D160" s="33" t="s">
        <v>5</v>
      </c>
      <c r="E160" s="33" t="s">
        <v>203</v>
      </c>
      <c r="F160" s="33" t="s">
        <v>15</v>
      </c>
      <c r="G160" s="33" t="s">
        <v>204</v>
      </c>
      <c r="H160" s="33" t="s">
        <v>205</v>
      </c>
      <c r="I160" s="33" t="s">
        <v>206</v>
      </c>
      <c r="J160" s="33">
        <v>2083.54</v>
      </c>
      <c r="K160" s="33">
        <v>8.5823999999999998</v>
      </c>
      <c r="L160" s="33">
        <v>6.0469499999999998</v>
      </c>
      <c r="Q160" s="33" t="s">
        <v>207</v>
      </c>
      <c r="R160" s="33">
        <v>2023</v>
      </c>
    </row>
    <row r="161" spans="1:18" ht="96.6" hidden="1" x14ac:dyDescent="0.25">
      <c r="A161" s="33" t="s">
        <v>123</v>
      </c>
      <c r="B161" s="33" t="s">
        <v>77</v>
      </c>
      <c r="C161" s="33" t="s">
        <v>202</v>
      </c>
      <c r="D161" s="33" t="s">
        <v>5</v>
      </c>
      <c r="E161" s="33" t="s">
        <v>203</v>
      </c>
      <c r="F161" s="33" t="s">
        <v>15</v>
      </c>
      <c r="G161" s="33" t="s">
        <v>204</v>
      </c>
      <c r="H161" s="33" t="s">
        <v>205</v>
      </c>
      <c r="I161" s="33" t="s">
        <v>206</v>
      </c>
      <c r="J161" s="33">
        <v>2083.54</v>
      </c>
      <c r="K161" s="33">
        <v>8.5823999999999998</v>
      </c>
      <c r="L161" s="33">
        <v>6.0469499999999998</v>
      </c>
      <c r="Q161" s="33" t="s">
        <v>207</v>
      </c>
      <c r="R161" s="33">
        <v>2023</v>
      </c>
    </row>
    <row r="162" spans="1:18" ht="96.6" hidden="1" x14ac:dyDescent="0.25">
      <c r="A162" s="33" t="s">
        <v>113</v>
      </c>
      <c r="B162" s="33" t="s">
        <v>56</v>
      </c>
      <c r="C162" s="33" t="s">
        <v>202</v>
      </c>
      <c r="D162" s="33" t="s">
        <v>5</v>
      </c>
      <c r="E162" s="33" t="s">
        <v>203</v>
      </c>
      <c r="F162" s="33" t="s">
        <v>15</v>
      </c>
      <c r="G162" s="33" t="s">
        <v>204</v>
      </c>
      <c r="H162" s="33" t="s">
        <v>205</v>
      </c>
      <c r="I162" s="33" t="s">
        <v>206</v>
      </c>
      <c r="J162" s="33">
        <v>2083.54</v>
      </c>
      <c r="K162" s="33">
        <v>8.5823999999999998</v>
      </c>
      <c r="L162" s="33">
        <v>6.0469499999999998</v>
      </c>
      <c r="Q162" s="33" t="s">
        <v>207</v>
      </c>
      <c r="R162" s="33">
        <v>2023</v>
      </c>
    </row>
    <row r="163" spans="1:18" ht="96.6" hidden="1" x14ac:dyDescent="0.25">
      <c r="A163" s="33" t="s">
        <v>113</v>
      </c>
      <c r="B163" s="33" t="s">
        <v>62</v>
      </c>
      <c r="C163" s="33" t="s">
        <v>202</v>
      </c>
      <c r="D163" s="33" t="s">
        <v>5</v>
      </c>
      <c r="E163" s="33" t="s">
        <v>203</v>
      </c>
      <c r="F163" s="33" t="s">
        <v>15</v>
      </c>
      <c r="G163" s="33" t="s">
        <v>204</v>
      </c>
      <c r="H163" s="33" t="s">
        <v>205</v>
      </c>
      <c r="I163" s="33" t="s">
        <v>206</v>
      </c>
      <c r="J163" s="33">
        <v>2083.54</v>
      </c>
      <c r="K163" s="33">
        <v>8.5823999999999998</v>
      </c>
      <c r="L163" s="33">
        <v>6.0469499999999998</v>
      </c>
      <c r="Q163" s="33" t="s">
        <v>207</v>
      </c>
      <c r="R163" s="33">
        <v>2023</v>
      </c>
    </row>
    <row r="164" spans="1:18" ht="96.6" hidden="1" x14ac:dyDescent="0.25">
      <c r="A164" s="33" t="s">
        <v>113</v>
      </c>
      <c r="B164" s="33" t="s">
        <v>65</v>
      </c>
      <c r="C164" s="33" t="s">
        <v>202</v>
      </c>
      <c r="D164" s="33" t="s">
        <v>5</v>
      </c>
      <c r="E164" s="33" t="s">
        <v>203</v>
      </c>
      <c r="F164" s="33" t="s">
        <v>15</v>
      </c>
      <c r="G164" s="33" t="s">
        <v>204</v>
      </c>
      <c r="H164" s="33" t="s">
        <v>205</v>
      </c>
      <c r="I164" s="33" t="s">
        <v>206</v>
      </c>
      <c r="J164" s="33">
        <v>2083.54</v>
      </c>
      <c r="K164" s="33">
        <v>8.5823999999999998</v>
      </c>
      <c r="L164" s="33">
        <v>6.0469499999999998</v>
      </c>
      <c r="Q164" s="33" t="s">
        <v>207</v>
      </c>
      <c r="R164" s="33">
        <v>2023</v>
      </c>
    </row>
    <row r="165" spans="1:18" ht="96.6" hidden="1" x14ac:dyDescent="0.25">
      <c r="A165" s="33" t="s">
        <v>172</v>
      </c>
      <c r="B165" s="33" t="s">
        <v>78</v>
      </c>
      <c r="C165" s="33" t="s">
        <v>202</v>
      </c>
      <c r="D165" s="33" t="s">
        <v>5</v>
      </c>
      <c r="E165" s="33" t="s">
        <v>203</v>
      </c>
      <c r="F165" s="33" t="s">
        <v>15</v>
      </c>
      <c r="G165" s="33" t="s">
        <v>204</v>
      </c>
      <c r="H165" s="33" t="s">
        <v>205</v>
      </c>
      <c r="I165" s="33" t="s">
        <v>206</v>
      </c>
      <c r="J165" s="33">
        <v>2083.54</v>
      </c>
      <c r="K165" s="33">
        <v>8.5823999999999998</v>
      </c>
      <c r="L165" s="33">
        <v>6.0469499999999998</v>
      </c>
      <c r="Q165" s="33" t="s">
        <v>207</v>
      </c>
      <c r="R165" s="33">
        <v>2023</v>
      </c>
    </row>
    <row r="166" spans="1:18" ht="96.6" hidden="1" x14ac:dyDescent="0.25">
      <c r="A166" s="33" t="s">
        <v>118</v>
      </c>
      <c r="B166" s="33" t="s">
        <v>57</v>
      </c>
      <c r="C166" s="33" t="s">
        <v>202</v>
      </c>
      <c r="D166" s="33" t="s">
        <v>5</v>
      </c>
      <c r="E166" s="33" t="s">
        <v>203</v>
      </c>
      <c r="F166" s="33" t="s">
        <v>15</v>
      </c>
      <c r="G166" s="33" t="s">
        <v>204</v>
      </c>
      <c r="H166" s="33" t="s">
        <v>205</v>
      </c>
      <c r="I166" s="33" t="s">
        <v>206</v>
      </c>
      <c r="J166" s="33">
        <v>2083.54</v>
      </c>
      <c r="K166" s="33">
        <v>8.5823999999999998</v>
      </c>
      <c r="L166" s="33">
        <v>6.0469499999999998</v>
      </c>
      <c r="Q166" s="33" t="s">
        <v>207</v>
      </c>
      <c r="R166" s="33">
        <v>2023</v>
      </c>
    </row>
    <row r="167" spans="1:18" ht="96.6" hidden="1" x14ac:dyDescent="0.25">
      <c r="A167" s="33" t="s">
        <v>118</v>
      </c>
      <c r="B167" s="33" t="s">
        <v>58</v>
      </c>
      <c r="C167" s="33" t="s">
        <v>202</v>
      </c>
      <c r="D167" s="33" t="s">
        <v>5</v>
      </c>
      <c r="E167" s="33" t="s">
        <v>203</v>
      </c>
      <c r="F167" s="33" t="s">
        <v>15</v>
      </c>
      <c r="G167" s="33" t="s">
        <v>204</v>
      </c>
      <c r="H167" s="33" t="s">
        <v>205</v>
      </c>
      <c r="I167" s="33" t="s">
        <v>206</v>
      </c>
      <c r="J167" s="33">
        <v>2083.54</v>
      </c>
      <c r="K167" s="33">
        <v>8.5823999999999998</v>
      </c>
      <c r="L167" s="33">
        <v>6.0469499999999998</v>
      </c>
      <c r="Q167" s="33" t="s">
        <v>207</v>
      </c>
      <c r="R167" s="33">
        <v>2023</v>
      </c>
    </row>
    <row r="168" spans="1:18" ht="96.6" hidden="1" x14ac:dyDescent="0.25">
      <c r="A168" s="33" t="s">
        <v>118</v>
      </c>
      <c r="B168" s="33" t="s">
        <v>69</v>
      </c>
      <c r="C168" s="33" t="s">
        <v>202</v>
      </c>
      <c r="D168" s="33" t="s">
        <v>5</v>
      </c>
      <c r="E168" s="33" t="s">
        <v>203</v>
      </c>
      <c r="F168" s="33" t="s">
        <v>15</v>
      </c>
      <c r="G168" s="33" t="s">
        <v>204</v>
      </c>
      <c r="H168" s="33" t="s">
        <v>205</v>
      </c>
      <c r="I168" s="33" t="s">
        <v>206</v>
      </c>
      <c r="J168" s="33">
        <v>2083.54</v>
      </c>
      <c r="K168" s="33">
        <v>8.5823999999999998</v>
      </c>
      <c r="L168" s="33">
        <v>6.0469499999999998</v>
      </c>
      <c r="Q168" s="33" t="s">
        <v>207</v>
      </c>
      <c r="R168" s="33">
        <v>2023</v>
      </c>
    </row>
    <row r="169" spans="1:18" ht="96.6" hidden="1" x14ac:dyDescent="0.25">
      <c r="A169" s="33" t="s">
        <v>118</v>
      </c>
      <c r="B169" s="33" t="s">
        <v>70</v>
      </c>
      <c r="C169" s="33" t="s">
        <v>202</v>
      </c>
      <c r="D169" s="33" t="s">
        <v>5</v>
      </c>
      <c r="E169" s="33" t="s">
        <v>203</v>
      </c>
      <c r="F169" s="33" t="s">
        <v>15</v>
      </c>
      <c r="G169" s="33" t="s">
        <v>204</v>
      </c>
      <c r="H169" s="33" t="s">
        <v>205</v>
      </c>
      <c r="I169" s="33" t="s">
        <v>206</v>
      </c>
      <c r="J169" s="33">
        <v>2083.54</v>
      </c>
      <c r="K169" s="33">
        <v>8.5823999999999998</v>
      </c>
      <c r="L169" s="33">
        <v>6.0469499999999998</v>
      </c>
      <c r="Q169" s="33" t="s">
        <v>207</v>
      </c>
      <c r="R169" s="33">
        <v>2023</v>
      </c>
    </row>
    <row r="170" spans="1:18" ht="96.6" hidden="1" x14ac:dyDescent="0.25">
      <c r="A170" s="33" t="s">
        <v>118</v>
      </c>
      <c r="B170" s="33" t="s">
        <v>71</v>
      </c>
      <c r="C170" s="33" t="s">
        <v>202</v>
      </c>
      <c r="D170" s="33" t="s">
        <v>5</v>
      </c>
      <c r="E170" s="33" t="s">
        <v>203</v>
      </c>
      <c r="F170" s="33" t="s">
        <v>15</v>
      </c>
      <c r="G170" s="33" t="s">
        <v>204</v>
      </c>
      <c r="H170" s="33" t="s">
        <v>205</v>
      </c>
      <c r="I170" s="33" t="s">
        <v>206</v>
      </c>
      <c r="J170" s="33">
        <v>2083.54</v>
      </c>
      <c r="K170" s="33">
        <v>8.5823999999999998</v>
      </c>
      <c r="L170" s="33">
        <v>6.0469499999999998</v>
      </c>
      <c r="Q170" s="33" t="s">
        <v>207</v>
      </c>
      <c r="R170" s="33">
        <v>2023</v>
      </c>
    </row>
    <row r="171" spans="1:18" ht="96.6" hidden="1" x14ac:dyDescent="0.25">
      <c r="A171" s="33" t="s">
        <v>118</v>
      </c>
      <c r="B171" s="33" t="s">
        <v>73</v>
      </c>
      <c r="C171" s="33" t="s">
        <v>202</v>
      </c>
      <c r="D171" s="33" t="s">
        <v>5</v>
      </c>
      <c r="E171" s="33" t="s">
        <v>203</v>
      </c>
      <c r="F171" s="33" t="s">
        <v>15</v>
      </c>
      <c r="G171" s="33" t="s">
        <v>204</v>
      </c>
      <c r="H171" s="33" t="s">
        <v>205</v>
      </c>
      <c r="I171" s="33" t="s">
        <v>206</v>
      </c>
      <c r="J171" s="33">
        <v>2083.54</v>
      </c>
      <c r="K171" s="33">
        <v>8.5823999999999998</v>
      </c>
      <c r="L171" s="33">
        <v>6.0469499999999998</v>
      </c>
      <c r="Q171" s="33" t="s">
        <v>207</v>
      </c>
      <c r="R171" s="33">
        <v>2023</v>
      </c>
    </row>
    <row r="172" spans="1:18" ht="96.6" hidden="1" x14ac:dyDescent="0.25">
      <c r="A172" s="33" t="s">
        <v>118</v>
      </c>
      <c r="B172" s="33" t="s">
        <v>74</v>
      </c>
      <c r="C172" s="33" t="s">
        <v>202</v>
      </c>
      <c r="D172" s="33" t="s">
        <v>5</v>
      </c>
      <c r="E172" s="33" t="s">
        <v>203</v>
      </c>
      <c r="F172" s="33" t="s">
        <v>15</v>
      </c>
      <c r="G172" s="33" t="s">
        <v>204</v>
      </c>
      <c r="H172" s="33" t="s">
        <v>205</v>
      </c>
      <c r="I172" s="33" t="s">
        <v>206</v>
      </c>
      <c r="J172" s="33">
        <v>2083.54</v>
      </c>
      <c r="K172" s="33">
        <v>8.5823999999999998</v>
      </c>
      <c r="L172" s="33">
        <v>6.0469499999999998</v>
      </c>
      <c r="Q172" s="33" t="s">
        <v>207</v>
      </c>
      <c r="R172" s="33">
        <v>2023</v>
      </c>
    </row>
    <row r="173" spans="1:18" ht="96.6" hidden="1" x14ac:dyDescent="0.25">
      <c r="A173" s="33" t="s">
        <v>118</v>
      </c>
      <c r="B173" s="33" t="s">
        <v>75</v>
      </c>
      <c r="C173" s="33" t="s">
        <v>202</v>
      </c>
      <c r="D173" s="33" t="s">
        <v>5</v>
      </c>
      <c r="E173" s="33" t="s">
        <v>203</v>
      </c>
      <c r="F173" s="33" t="s">
        <v>15</v>
      </c>
      <c r="G173" s="33" t="s">
        <v>204</v>
      </c>
      <c r="H173" s="33" t="s">
        <v>205</v>
      </c>
      <c r="I173" s="33" t="s">
        <v>206</v>
      </c>
      <c r="J173" s="33">
        <v>2083.54</v>
      </c>
      <c r="K173" s="33">
        <v>8.5823999999999998</v>
      </c>
      <c r="L173" s="33">
        <v>6.0469499999999998</v>
      </c>
      <c r="Q173" s="33" t="s">
        <v>207</v>
      </c>
      <c r="R173" s="33">
        <v>2023</v>
      </c>
    </row>
    <row r="174" spans="1:18" ht="96.6" hidden="1" x14ac:dyDescent="0.25">
      <c r="A174" s="33" t="s">
        <v>118</v>
      </c>
      <c r="B174" s="33" t="s">
        <v>76</v>
      </c>
      <c r="C174" s="33" t="s">
        <v>202</v>
      </c>
      <c r="D174" s="33" t="s">
        <v>5</v>
      </c>
      <c r="E174" s="33" t="s">
        <v>203</v>
      </c>
      <c r="F174" s="33" t="s">
        <v>15</v>
      </c>
      <c r="G174" s="33" t="s">
        <v>204</v>
      </c>
      <c r="H174" s="33" t="s">
        <v>205</v>
      </c>
      <c r="I174" s="33" t="s">
        <v>206</v>
      </c>
      <c r="J174" s="33">
        <v>2083.54</v>
      </c>
      <c r="K174" s="33">
        <v>8.5823999999999998</v>
      </c>
      <c r="L174" s="33">
        <v>6.0469499999999998</v>
      </c>
      <c r="Q174" s="33" t="s">
        <v>207</v>
      </c>
      <c r="R174" s="33">
        <v>2023</v>
      </c>
    </row>
    <row r="175" spans="1:18" ht="27.6" hidden="1" x14ac:dyDescent="0.25">
      <c r="A175" s="33" t="s">
        <v>108</v>
      </c>
      <c r="B175" s="33" t="s">
        <v>55</v>
      </c>
      <c r="C175" s="33" t="s">
        <v>208</v>
      </c>
      <c r="D175" s="33" t="s">
        <v>5</v>
      </c>
      <c r="E175" s="33" t="s">
        <v>203</v>
      </c>
      <c r="F175" s="33" t="s">
        <v>216</v>
      </c>
      <c r="G175" s="33" t="s">
        <v>204</v>
      </c>
      <c r="H175" s="33" t="s">
        <v>209</v>
      </c>
      <c r="I175" s="33" t="s">
        <v>209</v>
      </c>
      <c r="J175" s="33">
        <v>2083.54</v>
      </c>
      <c r="K175" s="33">
        <v>8.5823999999999998</v>
      </c>
      <c r="L175" s="33">
        <v>6.0469499999999998</v>
      </c>
      <c r="Q175" s="33" t="s">
        <v>255</v>
      </c>
      <c r="R175" s="33" t="s">
        <v>208</v>
      </c>
    </row>
    <row r="176" spans="1:18" ht="27.6" hidden="1" x14ac:dyDescent="0.25">
      <c r="A176" s="33" t="s">
        <v>108</v>
      </c>
      <c r="B176" s="33" t="s">
        <v>61</v>
      </c>
      <c r="C176" s="33" t="s">
        <v>208</v>
      </c>
      <c r="D176" s="33" t="s">
        <v>5</v>
      </c>
      <c r="E176" s="33" t="s">
        <v>203</v>
      </c>
      <c r="F176" s="33" t="s">
        <v>216</v>
      </c>
      <c r="G176" s="33" t="s">
        <v>204</v>
      </c>
      <c r="H176" s="33" t="s">
        <v>209</v>
      </c>
      <c r="I176" s="33" t="s">
        <v>209</v>
      </c>
      <c r="J176" s="33">
        <v>2083.54</v>
      </c>
      <c r="K176" s="33">
        <v>8.5823999999999998</v>
      </c>
      <c r="L176" s="33">
        <v>6.0469499999999998</v>
      </c>
      <c r="Q176" s="33" t="s">
        <v>255</v>
      </c>
      <c r="R176" s="33" t="s">
        <v>208</v>
      </c>
    </row>
    <row r="177" spans="1:18" ht="27.6" hidden="1" x14ac:dyDescent="0.25">
      <c r="A177" s="33" t="s">
        <v>157</v>
      </c>
      <c r="B177" s="33" t="s">
        <v>72</v>
      </c>
      <c r="C177" s="33" t="s">
        <v>208</v>
      </c>
      <c r="D177" s="33" t="s">
        <v>5</v>
      </c>
      <c r="E177" s="33" t="s">
        <v>203</v>
      </c>
      <c r="F177" s="33" t="s">
        <v>216</v>
      </c>
      <c r="G177" s="33" t="s">
        <v>204</v>
      </c>
      <c r="H177" s="33" t="s">
        <v>209</v>
      </c>
      <c r="I177" s="33" t="s">
        <v>209</v>
      </c>
      <c r="J177" s="33">
        <v>2083.54</v>
      </c>
      <c r="K177" s="33">
        <v>8.5823999999999998</v>
      </c>
      <c r="L177" s="33">
        <v>6.0469499999999998</v>
      </c>
      <c r="Q177" s="33" t="s">
        <v>255</v>
      </c>
      <c r="R177" s="33" t="s">
        <v>208</v>
      </c>
    </row>
    <row r="178" spans="1:18" ht="27.6" hidden="1" x14ac:dyDescent="0.25">
      <c r="A178" s="33" t="s">
        <v>123</v>
      </c>
      <c r="B178" s="33" t="s">
        <v>59</v>
      </c>
      <c r="C178" s="33" t="s">
        <v>208</v>
      </c>
      <c r="D178" s="33" t="s">
        <v>5</v>
      </c>
      <c r="E178" s="33" t="s">
        <v>203</v>
      </c>
      <c r="F178" s="33" t="s">
        <v>216</v>
      </c>
      <c r="G178" s="33" t="s">
        <v>204</v>
      </c>
      <c r="H178" s="33" t="s">
        <v>209</v>
      </c>
      <c r="I178" s="33" t="s">
        <v>209</v>
      </c>
      <c r="J178" s="33">
        <v>2083.54</v>
      </c>
      <c r="K178" s="33">
        <v>8.5823999999999998</v>
      </c>
      <c r="L178" s="33">
        <v>6.0469499999999998</v>
      </c>
      <c r="Q178" s="33" t="s">
        <v>255</v>
      </c>
      <c r="R178" s="33" t="s">
        <v>208</v>
      </c>
    </row>
    <row r="179" spans="1:18" ht="27.6" hidden="1" x14ac:dyDescent="0.25">
      <c r="A179" s="33" t="s">
        <v>123</v>
      </c>
      <c r="B179" s="33" t="s">
        <v>60</v>
      </c>
      <c r="C179" s="33" t="s">
        <v>208</v>
      </c>
      <c r="D179" s="33" t="s">
        <v>5</v>
      </c>
      <c r="E179" s="33" t="s">
        <v>203</v>
      </c>
      <c r="F179" s="33" t="s">
        <v>216</v>
      </c>
      <c r="G179" s="33" t="s">
        <v>204</v>
      </c>
      <c r="H179" s="33" t="s">
        <v>209</v>
      </c>
      <c r="I179" s="33" t="s">
        <v>209</v>
      </c>
      <c r="J179" s="33">
        <v>2083.54</v>
      </c>
      <c r="K179" s="33">
        <v>8.5823999999999998</v>
      </c>
      <c r="L179" s="33">
        <v>6.0469499999999998</v>
      </c>
      <c r="Q179" s="33" t="s">
        <v>255</v>
      </c>
      <c r="R179" s="33" t="s">
        <v>208</v>
      </c>
    </row>
    <row r="180" spans="1:18" ht="27.6" hidden="1" x14ac:dyDescent="0.25">
      <c r="A180" s="33" t="s">
        <v>123</v>
      </c>
      <c r="B180" s="33" t="s">
        <v>63</v>
      </c>
      <c r="C180" s="33" t="s">
        <v>208</v>
      </c>
      <c r="D180" s="33" t="s">
        <v>5</v>
      </c>
      <c r="E180" s="33" t="s">
        <v>203</v>
      </c>
      <c r="F180" s="33" t="s">
        <v>216</v>
      </c>
      <c r="G180" s="33" t="s">
        <v>204</v>
      </c>
      <c r="H180" s="33" t="s">
        <v>209</v>
      </c>
      <c r="I180" s="33" t="s">
        <v>209</v>
      </c>
      <c r="J180" s="33">
        <v>2083.54</v>
      </c>
      <c r="K180" s="33">
        <v>8.5823999999999998</v>
      </c>
      <c r="L180" s="33">
        <v>6.0469499999999998</v>
      </c>
      <c r="Q180" s="33" t="s">
        <v>255</v>
      </c>
      <c r="R180" s="33" t="s">
        <v>208</v>
      </c>
    </row>
    <row r="181" spans="1:18" ht="27.6" hidden="1" x14ac:dyDescent="0.25">
      <c r="A181" s="33" t="s">
        <v>123</v>
      </c>
      <c r="B181" s="33" t="s">
        <v>64</v>
      </c>
      <c r="C181" s="33" t="s">
        <v>208</v>
      </c>
      <c r="D181" s="33" t="s">
        <v>5</v>
      </c>
      <c r="E181" s="33" t="s">
        <v>203</v>
      </c>
      <c r="F181" s="33" t="s">
        <v>216</v>
      </c>
      <c r="G181" s="33" t="s">
        <v>204</v>
      </c>
      <c r="H181" s="33" t="s">
        <v>209</v>
      </c>
      <c r="I181" s="33" t="s">
        <v>209</v>
      </c>
      <c r="J181" s="33">
        <v>2083.54</v>
      </c>
      <c r="K181" s="33">
        <v>8.5823999999999998</v>
      </c>
      <c r="L181" s="33">
        <v>6.0469499999999998</v>
      </c>
      <c r="Q181" s="33" t="s">
        <v>255</v>
      </c>
      <c r="R181" s="33" t="s">
        <v>208</v>
      </c>
    </row>
    <row r="182" spans="1:18" ht="27.6" hidden="1" x14ac:dyDescent="0.25">
      <c r="A182" s="33" t="s">
        <v>123</v>
      </c>
      <c r="B182" s="33" t="s">
        <v>66</v>
      </c>
      <c r="C182" s="33" t="s">
        <v>208</v>
      </c>
      <c r="D182" s="33" t="s">
        <v>5</v>
      </c>
      <c r="E182" s="33" t="s">
        <v>203</v>
      </c>
      <c r="F182" s="33" t="s">
        <v>216</v>
      </c>
      <c r="G182" s="33" t="s">
        <v>204</v>
      </c>
      <c r="H182" s="33" t="s">
        <v>209</v>
      </c>
      <c r="I182" s="33" t="s">
        <v>209</v>
      </c>
      <c r="J182" s="33">
        <v>2083.54</v>
      </c>
      <c r="K182" s="33">
        <v>8.5823999999999998</v>
      </c>
      <c r="L182" s="33">
        <v>6.0469499999999998</v>
      </c>
      <c r="Q182" s="33" t="s">
        <v>255</v>
      </c>
      <c r="R182" s="33" t="s">
        <v>208</v>
      </c>
    </row>
    <row r="183" spans="1:18" ht="27.6" hidden="1" x14ac:dyDescent="0.25">
      <c r="A183" s="33" t="s">
        <v>123</v>
      </c>
      <c r="B183" s="33" t="s">
        <v>67</v>
      </c>
      <c r="C183" s="33" t="s">
        <v>208</v>
      </c>
      <c r="D183" s="33" t="s">
        <v>5</v>
      </c>
      <c r="E183" s="33" t="s">
        <v>203</v>
      </c>
      <c r="F183" s="33" t="s">
        <v>216</v>
      </c>
      <c r="G183" s="33" t="s">
        <v>204</v>
      </c>
      <c r="H183" s="33" t="s">
        <v>209</v>
      </c>
      <c r="I183" s="33" t="s">
        <v>209</v>
      </c>
      <c r="J183" s="33">
        <v>2083.54</v>
      </c>
      <c r="K183" s="33">
        <v>8.5823999999999998</v>
      </c>
      <c r="L183" s="33">
        <v>6.0469499999999998</v>
      </c>
      <c r="Q183" s="33" t="s">
        <v>255</v>
      </c>
      <c r="R183" s="33" t="s">
        <v>208</v>
      </c>
    </row>
    <row r="184" spans="1:18" ht="27.6" x14ac:dyDescent="0.25">
      <c r="A184" s="33" t="s">
        <v>123</v>
      </c>
      <c r="B184" s="33" t="s">
        <v>68</v>
      </c>
      <c r="C184" s="33" t="s">
        <v>208</v>
      </c>
      <c r="D184" s="33" t="s">
        <v>5</v>
      </c>
      <c r="E184" s="33" t="s">
        <v>203</v>
      </c>
      <c r="F184" s="33" t="s">
        <v>216</v>
      </c>
      <c r="G184" s="33" t="s">
        <v>204</v>
      </c>
      <c r="H184" s="33" t="s">
        <v>209</v>
      </c>
      <c r="I184" s="33" t="s">
        <v>209</v>
      </c>
      <c r="J184" s="33">
        <v>2083.54</v>
      </c>
      <c r="K184" s="33">
        <v>8.5823999999999998</v>
      </c>
      <c r="L184" s="33">
        <v>6.0469499999999998</v>
      </c>
      <c r="Q184" s="33" t="s">
        <v>255</v>
      </c>
      <c r="R184" s="33" t="s">
        <v>208</v>
      </c>
    </row>
    <row r="185" spans="1:18" ht="27.6" hidden="1" x14ac:dyDescent="0.25">
      <c r="A185" s="33" t="s">
        <v>123</v>
      </c>
      <c r="B185" s="33" t="s">
        <v>77</v>
      </c>
      <c r="C185" s="33" t="s">
        <v>208</v>
      </c>
      <c r="D185" s="33" t="s">
        <v>5</v>
      </c>
      <c r="E185" s="33" t="s">
        <v>203</v>
      </c>
      <c r="F185" s="33" t="s">
        <v>216</v>
      </c>
      <c r="G185" s="33" t="s">
        <v>204</v>
      </c>
      <c r="H185" s="33" t="s">
        <v>209</v>
      </c>
      <c r="I185" s="33" t="s">
        <v>209</v>
      </c>
      <c r="J185" s="33">
        <v>2083.54</v>
      </c>
      <c r="K185" s="33">
        <v>8.5823999999999998</v>
      </c>
      <c r="L185" s="33">
        <v>6.0469499999999998</v>
      </c>
      <c r="Q185" s="33" t="s">
        <v>255</v>
      </c>
      <c r="R185" s="33" t="s">
        <v>208</v>
      </c>
    </row>
    <row r="186" spans="1:18" ht="27.6" hidden="1" x14ac:dyDescent="0.25">
      <c r="A186" s="33" t="s">
        <v>113</v>
      </c>
      <c r="B186" s="33" t="s">
        <v>56</v>
      </c>
      <c r="C186" s="33" t="s">
        <v>208</v>
      </c>
      <c r="D186" s="33" t="s">
        <v>5</v>
      </c>
      <c r="E186" s="33" t="s">
        <v>203</v>
      </c>
      <c r="F186" s="33" t="s">
        <v>216</v>
      </c>
      <c r="G186" s="33" t="s">
        <v>204</v>
      </c>
      <c r="H186" s="33" t="s">
        <v>209</v>
      </c>
      <c r="I186" s="33" t="s">
        <v>209</v>
      </c>
      <c r="J186" s="33">
        <v>2083.54</v>
      </c>
      <c r="K186" s="33">
        <v>8.5823999999999998</v>
      </c>
      <c r="L186" s="33">
        <v>6.0469499999999998</v>
      </c>
      <c r="Q186" s="33" t="s">
        <v>255</v>
      </c>
      <c r="R186" s="33" t="s">
        <v>208</v>
      </c>
    </row>
    <row r="187" spans="1:18" ht="27.6" hidden="1" x14ac:dyDescent="0.25">
      <c r="A187" s="33" t="s">
        <v>113</v>
      </c>
      <c r="B187" s="33" t="s">
        <v>62</v>
      </c>
      <c r="C187" s="33" t="s">
        <v>208</v>
      </c>
      <c r="D187" s="33" t="s">
        <v>5</v>
      </c>
      <c r="E187" s="33" t="s">
        <v>203</v>
      </c>
      <c r="F187" s="33" t="s">
        <v>216</v>
      </c>
      <c r="G187" s="33" t="s">
        <v>204</v>
      </c>
      <c r="H187" s="33" t="s">
        <v>209</v>
      </c>
      <c r="I187" s="33" t="s">
        <v>209</v>
      </c>
      <c r="J187" s="33">
        <v>2083.54</v>
      </c>
      <c r="K187" s="33">
        <v>8.5823999999999998</v>
      </c>
      <c r="L187" s="33">
        <v>6.0469499999999998</v>
      </c>
      <c r="Q187" s="33" t="s">
        <v>255</v>
      </c>
      <c r="R187" s="33" t="s">
        <v>208</v>
      </c>
    </row>
    <row r="188" spans="1:18" ht="27.6" hidden="1" x14ac:dyDescent="0.25">
      <c r="A188" s="33" t="s">
        <v>113</v>
      </c>
      <c r="B188" s="33" t="s">
        <v>65</v>
      </c>
      <c r="C188" s="33" t="s">
        <v>208</v>
      </c>
      <c r="D188" s="33" t="s">
        <v>5</v>
      </c>
      <c r="E188" s="33" t="s">
        <v>203</v>
      </c>
      <c r="F188" s="33" t="s">
        <v>216</v>
      </c>
      <c r="G188" s="33" t="s">
        <v>204</v>
      </c>
      <c r="H188" s="33" t="s">
        <v>209</v>
      </c>
      <c r="I188" s="33" t="s">
        <v>209</v>
      </c>
      <c r="J188" s="33">
        <v>2083.54</v>
      </c>
      <c r="K188" s="33">
        <v>8.5823999999999998</v>
      </c>
      <c r="L188" s="33">
        <v>6.0469499999999998</v>
      </c>
      <c r="Q188" s="33" t="s">
        <v>255</v>
      </c>
      <c r="R188" s="33" t="s">
        <v>208</v>
      </c>
    </row>
    <row r="189" spans="1:18" ht="27.6" hidden="1" x14ac:dyDescent="0.25">
      <c r="A189" s="33" t="s">
        <v>172</v>
      </c>
      <c r="B189" s="33" t="s">
        <v>78</v>
      </c>
      <c r="C189" s="33" t="s">
        <v>208</v>
      </c>
      <c r="D189" s="33" t="s">
        <v>5</v>
      </c>
      <c r="E189" s="33" t="s">
        <v>203</v>
      </c>
      <c r="F189" s="33" t="s">
        <v>216</v>
      </c>
      <c r="G189" s="33" t="s">
        <v>204</v>
      </c>
      <c r="H189" s="33" t="s">
        <v>209</v>
      </c>
      <c r="I189" s="33" t="s">
        <v>209</v>
      </c>
      <c r="J189" s="33">
        <v>2083.54</v>
      </c>
      <c r="K189" s="33">
        <v>8.5823999999999998</v>
      </c>
      <c r="L189" s="33">
        <v>6.0469499999999998</v>
      </c>
      <c r="Q189" s="33" t="s">
        <v>255</v>
      </c>
      <c r="R189" s="33" t="s">
        <v>208</v>
      </c>
    </row>
    <row r="190" spans="1:18" ht="27.6" hidden="1" x14ac:dyDescent="0.25">
      <c r="A190" s="33" t="s">
        <v>118</v>
      </c>
      <c r="B190" s="33" t="s">
        <v>57</v>
      </c>
      <c r="C190" s="33" t="s">
        <v>208</v>
      </c>
      <c r="D190" s="33" t="s">
        <v>5</v>
      </c>
      <c r="E190" s="33" t="s">
        <v>203</v>
      </c>
      <c r="F190" s="33" t="s">
        <v>216</v>
      </c>
      <c r="G190" s="33" t="s">
        <v>204</v>
      </c>
      <c r="H190" s="33" t="s">
        <v>209</v>
      </c>
      <c r="I190" s="33" t="s">
        <v>209</v>
      </c>
      <c r="J190" s="33">
        <v>2083.54</v>
      </c>
      <c r="K190" s="33">
        <v>8.5823999999999998</v>
      </c>
      <c r="L190" s="33">
        <v>6.0469499999999998</v>
      </c>
      <c r="Q190" s="33" t="s">
        <v>255</v>
      </c>
      <c r="R190" s="33" t="s">
        <v>208</v>
      </c>
    </row>
    <row r="191" spans="1:18" ht="27.6" hidden="1" x14ac:dyDescent="0.25">
      <c r="A191" s="33" t="s">
        <v>118</v>
      </c>
      <c r="B191" s="33" t="s">
        <v>58</v>
      </c>
      <c r="C191" s="33" t="s">
        <v>208</v>
      </c>
      <c r="D191" s="33" t="s">
        <v>5</v>
      </c>
      <c r="E191" s="33" t="s">
        <v>203</v>
      </c>
      <c r="F191" s="33" t="s">
        <v>216</v>
      </c>
      <c r="G191" s="33" t="s">
        <v>204</v>
      </c>
      <c r="H191" s="33" t="s">
        <v>209</v>
      </c>
      <c r="I191" s="33" t="s">
        <v>209</v>
      </c>
      <c r="J191" s="33">
        <v>2083.54</v>
      </c>
      <c r="K191" s="33">
        <v>8.5823999999999998</v>
      </c>
      <c r="L191" s="33">
        <v>6.0469499999999998</v>
      </c>
      <c r="Q191" s="33" t="s">
        <v>255</v>
      </c>
      <c r="R191" s="33" t="s">
        <v>208</v>
      </c>
    </row>
    <row r="192" spans="1:18" ht="27.6" hidden="1" x14ac:dyDescent="0.25">
      <c r="A192" s="33" t="s">
        <v>118</v>
      </c>
      <c r="B192" s="33" t="s">
        <v>69</v>
      </c>
      <c r="C192" s="33" t="s">
        <v>208</v>
      </c>
      <c r="D192" s="33" t="s">
        <v>5</v>
      </c>
      <c r="E192" s="33" t="s">
        <v>203</v>
      </c>
      <c r="F192" s="33" t="s">
        <v>216</v>
      </c>
      <c r="G192" s="33" t="s">
        <v>204</v>
      </c>
      <c r="H192" s="33" t="s">
        <v>209</v>
      </c>
      <c r="I192" s="33" t="s">
        <v>209</v>
      </c>
      <c r="J192" s="33">
        <v>2083.54</v>
      </c>
      <c r="K192" s="33">
        <v>8.5823999999999998</v>
      </c>
      <c r="L192" s="33">
        <v>6.0469499999999998</v>
      </c>
      <c r="Q192" s="33" t="s">
        <v>255</v>
      </c>
      <c r="R192" s="33" t="s">
        <v>208</v>
      </c>
    </row>
    <row r="193" spans="1:18" ht="27.6" hidden="1" x14ac:dyDescent="0.25">
      <c r="A193" s="33" t="s">
        <v>118</v>
      </c>
      <c r="B193" s="33" t="s">
        <v>70</v>
      </c>
      <c r="C193" s="33" t="s">
        <v>208</v>
      </c>
      <c r="D193" s="33" t="s">
        <v>5</v>
      </c>
      <c r="E193" s="33" t="s">
        <v>203</v>
      </c>
      <c r="F193" s="33" t="s">
        <v>216</v>
      </c>
      <c r="G193" s="33" t="s">
        <v>204</v>
      </c>
      <c r="H193" s="33" t="s">
        <v>209</v>
      </c>
      <c r="I193" s="33" t="s">
        <v>209</v>
      </c>
      <c r="J193" s="33">
        <v>2083.54</v>
      </c>
      <c r="K193" s="33">
        <v>8.5823999999999998</v>
      </c>
      <c r="L193" s="33">
        <v>6.0469499999999998</v>
      </c>
      <c r="Q193" s="33" t="s">
        <v>255</v>
      </c>
      <c r="R193" s="33" t="s">
        <v>208</v>
      </c>
    </row>
    <row r="194" spans="1:18" ht="27.6" hidden="1" x14ac:dyDescent="0.25">
      <c r="A194" s="33" t="s">
        <v>118</v>
      </c>
      <c r="B194" s="33" t="s">
        <v>71</v>
      </c>
      <c r="C194" s="33" t="s">
        <v>208</v>
      </c>
      <c r="D194" s="33" t="s">
        <v>5</v>
      </c>
      <c r="E194" s="33" t="s">
        <v>203</v>
      </c>
      <c r="F194" s="33" t="s">
        <v>216</v>
      </c>
      <c r="G194" s="33" t="s">
        <v>204</v>
      </c>
      <c r="H194" s="33" t="s">
        <v>209</v>
      </c>
      <c r="I194" s="33" t="s">
        <v>209</v>
      </c>
      <c r="J194" s="33">
        <v>2083.54</v>
      </c>
      <c r="K194" s="33">
        <v>8.5823999999999998</v>
      </c>
      <c r="L194" s="33">
        <v>6.0469499999999998</v>
      </c>
      <c r="Q194" s="33" t="s">
        <v>255</v>
      </c>
      <c r="R194" s="33" t="s">
        <v>208</v>
      </c>
    </row>
    <row r="195" spans="1:18" ht="27.6" hidden="1" x14ac:dyDescent="0.25">
      <c r="A195" s="33" t="s">
        <v>118</v>
      </c>
      <c r="B195" s="33" t="s">
        <v>73</v>
      </c>
      <c r="C195" s="33" t="s">
        <v>208</v>
      </c>
      <c r="D195" s="33" t="s">
        <v>5</v>
      </c>
      <c r="E195" s="33" t="s">
        <v>203</v>
      </c>
      <c r="F195" s="33" t="s">
        <v>216</v>
      </c>
      <c r="G195" s="33" t="s">
        <v>204</v>
      </c>
      <c r="H195" s="33" t="s">
        <v>209</v>
      </c>
      <c r="I195" s="33" t="s">
        <v>209</v>
      </c>
      <c r="J195" s="33">
        <v>2083.54</v>
      </c>
      <c r="K195" s="33">
        <v>8.5823999999999998</v>
      </c>
      <c r="L195" s="33">
        <v>6.0469499999999998</v>
      </c>
      <c r="Q195" s="33" t="s">
        <v>255</v>
      </c>
      <c r="R195" s="33" t="s">
        <v>208</v>
      </c>
    </row>
    <row r="196" spans="1:18" ht="27.6" hidden="1" x14ac:dyDescent="0.25">
      <c r="A196" s="33" t="s">
        <v>118</v>
      </c>
      <c r="B196" s="33" t="s">
        <v>74</v>
      </c>
      <c r="C196" s="33" t="s">
        <v>208</v>
      </c>
      <c r="D196" s="33" t="s">
        <v>5</v>
      </c>
      <c r="E196" s="33" t="s">
        <v>203</v>
      </c>
      <c r="F196" s="33" t="s">
        <v>216</v>
      </c>
      <c r="G196" s="33" t="s">
        <v>204</v>
      </c>
      <c r="H196" s="33" t="s">
        <v>209</v>
      </c>
      <c r="I196" s="33" t="s">
        <v>209</v>
      </c>
      <c r="J196" s="33">
        <v>2083.54</v>
      </c>
      <c r="K196" s="33">
        <v>8.5823999999999998</v>
      </c>
      <c r="L196" s="33">
        <v>6.0469499999999998</v>
      </c>
      <c r="Q196" s="33" t="s">
        <v>255</v>
      </c>
      <c r="R196" s="33" t="s">
        <v>208</v>
      </c>
    </row>
    <row r="197" spans="1:18" ht="27.6" hidden="1" x14ac:dyDescent="0.25">
      <c r="A197" s="33" t="s">
        <v>118</v>
      </c>
      <c r="B197" s="33" t="s">
        <v>75</v>
      </c>
      <c r="C197" s="33" t="s">
        <v>208</v>
      </c>
      <c r="D197" s="33" t="s">
        <v>5</v>
      </c>
      <c r="E197" s="33" t="s">
        <v>203</v>
      </c>
      <c r="F197" s="33" t="s">
        <v>216</v>
      </c>
      <c r="G197" s="33" t="s">
        <v>204</v>
      </c>
      <c r="H197" s="33" t="s">
        <v>209</v>
      </c>
      <c r="I197" s="33" t="s">
        <v>209</v>
      </c>
      <c r="J197" s="33">
        <v>2083.54</v>
      </c>
      <c r="K197" s="33">
        <v>8.5823999999999998</v>
      </c>
      <c r="L197" s="33">
        <v>6.0469499999999998</v>
      </c>
      <c r="Q197" s="33" t="s">
        <v>255</v>
      </c>
      <c r="R197" s="33" t="s">
        <v>208</v>
      </c>
    </row>
    <row r="198" spans="1:18" ht="27.6" hidden="1" x14ac:dyDescent="0.25">
      <c r="A198" s="33" t="s">
        <v>118</v>
      </c>
      <c r="B198" s="33" t="s">
        <v>76</v>
      </c>
      <c r="C198" s="33" t="s">
        <v>208</v>
      </c>
      <c r="D198" s="33" t="s">
        <v>5</v>
      </c>
      <c r="E198" s="33" t="s">
        <v>203</v>
      </c>
      <c r="F198" s="33" t="s">
        <v>216</v>
      </c>
      <c r="G198" s="33" t="s">
        <v>204</v>
      </c>
      <c r="H198" s="33" t="s">
        <v>209</v>
      </c>
      <c r="I198" s="33" t="s">
        <v>209</v>
      </c>
      <c r="J198" s="33">
        <v>2083.54</v>
      </c>
      <c r="K198" s="33">
        <v>8.5823999999999998</v>
      </c>
      <c r="L198" s="33">
        <v>6.0469499999999998</v>
      </c>
      <c r="Q198" s="33" t="s">
        <v>255</v>
      </c>
      <c r="R198" s="33" t="s">
        <v>208</v>
      </c>
    </row>
    <row r="199" spans="1:18" ht="27.6" hidden="1" x14ac:dyDescent="0.25">
      <c r="A199" s="33" t="s">
        <v>108</v>
      </c>
      <c r="B199" s="33" t="s">
        <v>55</v>
      </c>
      <c r="C199" s="33" t="s">
        <v>208</v>
      </c>
      <c r="D199" s="33" t="s">
        <v>5</v>
      </c>
      <c r="E199" s="33" t="s">
        <v>203</v>
      </c>
      <c r="F199" s="33" t="s">
        <v>17</v>
      </c>
      <c r="G199" s="33" t="s">
        <v>204</v>
      </c>
      <c r="H199" s="33" t="s">
        <v>209</v>
      </c>
      <c r="I199" s="33" t="s">
        <v>209</v>
      </c>
      <c r="J199" s="33">
        <v>2083.54</v>
      </c>
      <c r="K199" s="33">
        <v>8.5823999999999998</v>
      </c>
      <c r="L199" s="33">
        <v>6.0469499999999998</v>
      </c>
      <c r="Q199" s="33" t="s">
        <v>256</v>
      </c>
      <c r="R199" s="33" t="s">
        <v>208</v>
      </c>
    </row>
    <row r="200" spans="1:18" ht="27.6" hidden="1" x14ac:dyDescent="0.25">
      <c r="A200" s="33" t="s">
        <v>108</v>
      </c>
      <c r="B200" s="33" t="s">
        <v>61</v>
      </c>
      <c r="C200" s="33" t="s">
        <v>208</v>
      </c>
      <c r="D200" s="33" t="s">
        <v>5</v>
      </c>
      <c r="E200" s="33" t="s">
        <v>203</v>
      </c>
      <c r="F200" s="33" t="s">
        <v>17</v>
      </c>
      <c r="G200" s="33" t="s">
        <v>204</v>
      </c>
      <c r="H200" s="33" t="s">
        <v>209</v>
      </c>
      <c r="I200" s="33" t="s">
        <v>209</v>
      </c>
      <c r="J200" s="33">
        <v>2083.54</v>
      </c>
      <c r="K200" s="33">
        <v>8.5823999999999998</v>
      </c>
      <c r="L200" s="33">
        <v>6.0469499999999998</v>
      </c>
      <c r="Q200" s="33" t="s">
        <v>256</v>
      </c>
      <c r="R200" s="33" t="s">
        <v>208</v>
      </c>
    </row>
    <row r="201" spans="1:18" ht="27.6" hidden="1" x14ac:dyDescent="0.25">
      <c r="A201" s="33" t="s">
        <v>157</v>
      </c>
      <c r="B201" s="33" t="s">
        <v>72</v>
      </c>
      <c r="C201" s="33" t="s">
        <v>208</v>
      </c>
      <c r="D201" s="33" t="s">
        <v>5</v>
      </c>
      <c r="E201" s="33" t="s">
        <v>203</v>
      </c>
      <c r="F201" s="33" t="s">
        <v>17</v>
      </c>
      <c r="G201" s="33" t="s">
        <v>204</v>
      </c>
      <c r="H201" s="33" t="s">
        <v>209</v>
      </c>
      <c r="I201" s="33" t="s">
        <v>209</v>
      </c>
      <c r="J201" s="33">
        <v>2083.54</v>
      </c>
      <c r="K201" s="33">
        <v>8.5823999999999998</v>
      </c>
      <c r="L201" s="33">
        <v>6.0469499999999998</v>
      </c>
      <c r="Q201" s="33" t="s">
        <v>256</v>
      </c>
      <c r="R201" s="33" t="s">
        <v>208</v>
      </c>
    </row>
    <row r="202" spans="1:18" ht="27.6" hidden="1" x14ac:dyDescent="0.25">
      <c r="A202" s="33" t="s">
        <v>123</v>
      </c>
      <c r="B202" s="33" t="s">
        <v>59</v>
      </c>
      <c r="C202" s="33" t="s">
        <v>208</v>
      </c>
      <c r="D202" s="33" t="s">
        <v>5</v>
      </c>
      <c r="E202" s="33" t="s">
        <v>203</v>
      </c>
      <c r="F202" s="33" t="s">
        <v>17</v>
      </c>
      <c r="G202" s="33" t="s">
        <v>204</v>
      </c>
      <c r="H202" s="33" t="s">
        <v>209</v>
      </c>
      <c r="I202" s="33" t="s">
        <v>209</v>
      </c>
      <c r="J202" s="33">
        <v>2083.54</v>
      </c>
      <c r="K202" s="33">
        <v>8.5823999999999998</v>
      </c>
      <c r="L202" s="33">
        <v>6.0469499999999998</v>
      </c>
      <c r="Q202" s="33" t="s">
        <v>256</v>
      </c>
      <c r="R202" s="33" t="s">
        <v>208</v>
      </c>
    </row>
    <row r="203" spans="1:18" ht="27.6" hidden="1" x14ac:dyDescent="0.25">
      <c r="A203" s="33" t="s">
        <v>123</v>
      </c>
      <c r="B203" s="33" t="s">
        <v>60</v>
      </c>
      <c r="C203" s="33" t="s">
        <v>208</v>
      </c>
      <c r="D203" s="33" t="s">
        <v>5</v>
      </c>
      <c r="E203" s="33" t="s">
        <v>203</v>
      </c>
      <c r="F203" s="33" t="s">
        <v>17</v>
      </c>
      <c r="G203" s="33" t="s">
        <v>204</v>
      </c>
      <c r="H203" s="33" t="s">
        <v>209</v>
      </c>
      <c r="I203" s="33" t="s">
        <v>209</v>
      </c>
      <c r="J203" s="33">
        <v>2083.54</v>
      </c>
      <c r="K203" s="33">
        <v>8.5823999999999998</v>
      </c>
      <c r="L203" s="33">
        <v>6.0469499999999998</v>
      </c>
      <c r="Q203" s="33" t="s">
        <v>256</v>
      </c>
      <c r="R203" s="33" t="s">
        <v>208</v>
      </c>
    </row>
    <row r="204" spans="1:18" ht="27.6" hidden="1" x14ac:dyDescent="0.25">
      <c r="A204" s="33" t="s">
        <v>123</v>
      </c>
      <c r="B204" s="33" t="s">
        <v>63</v>
      </c>
      <c r="C204" s="33" t="s">
        <v>208</v>
      </c>
      <c r="D204" s="33" t="s">
        <v>5</v>
      </c>
      <c r="E204" s="33" t="s">
        <v>203</v>
      </c>
      <c r="F204" s="33" t="s">
        <v>17</v>
      </c>
      <c r="G204" s="33" t="s">
        <v>204</v>
      </c>
      <c r="H204" s="33" t="s">
        <v>209</v>
      </c>
      <c r="I204" s="33" t="s">
        <v>209</v>
      </c>
      <c r="J204" s="33">
        <v>2083.54</v>
      </c>
      <c r="K204" s="33">
        <v>8.5823999999999998</v>
      </c>
      <c r="L204" s="33">
        <v>6.0469499999999998</v>
      </c>
      <c r="Q204" s="33" t="s">
        <v>256</v>
      </c>
      <c r="R204" s="33" t="s">
        <v>208</v>
      </c>
    </row>
    <row r="205" spans="1:18" ht="27.6" hidden="1" x14ac:dyDescent="0.25">
      <c r="A205" s="33" t="s">
        <v>123</v>
      </c>
      <c r="B205" s="33" t="s">
        <v>64</v>
      </c>
      <c r="C205" s="33" t="s">
        <v>208</v>
      </c>
      <c r="D205" s="33" t="s">
        <v>5</v>
      </c>
      <c r="E205" s="33" t="s">
        <v>203</v>
      </c>
      <c r="F205" s="33" t="s">
        <v>17</v>
      </c>
      <c r="G205" s="33" t="s">
        <v>204</v>
      </c>
      <c r="H205" s="33" t="s">
        <v>209</v>
      </c>
      <c r="I205" s="33" t="s">
        <v>209</v>
      </c>
      <c r="J205" s="33">
        <v>2083.54</v>
      </c>
      <c r="K205" s="33">
        <v>8.5823999999999998</v>
      </c>
      <c r="L205" s="33">
        <v>6.0469499999999998</v>
      </c>
      <c r="Q205" s="33" t="s">
        <v>256</v>
      </c>
      <c r="R205" s="33" t="s">
        <v>208</v>
      </c>
    </row>
    <row r="206" spans="1:18" ht="27.6" hidden="1" x14ac:dyDescent="0.25">
      <c r="A206" s="33" t="s">
        <v>123</v>
      </c>
      <c r="B206" s="33" t="s">
        <v>66</v>
      </c>
      <c r="C206" s="33" t="s">
        <v>208</v>
      </c>
      <c r="D206" s="33" t="s">
        <v>5</v>
      </c>
      <c r="E206" s="33" t="s">
        <v>203</v>
      </c>
      <c r="F206" s="33" t="s">
        <v>17</v>
      </c>
      <c r="G206" s="33" t="s">
        <v>204</v>
      </c>
      <c r="H206" s="33" t="s">
        <v>209</v>
      </c>
      <c r="I206" s="33" t="s">
        <v>209</v>
      </c>
      <c r="J206" s="33">
        <v>2083.54</v>
      </c>
      <c r="K206" s="33">
        <v>8.5823999999999998</v>
      </c>
      <c r="L206" s="33">
        <v>6.0469499999999998</v>
      </c>
      <c r="Q206" s="33" t="s">
        <v>256</v>
      </c>
      <c r="R206" s="33" t="s">
        <v>208</v>
      </c>
    </row>
    <row r="207" spans="1:18" ht="27.6" hidden="1" x14ac:dyDescent="0.25">
      <c r="A207" s="33" t="s">
        <v>123</v>
      </c>
      <c r="B207" s="33" t="s">
        <v>67</v>
      </c>
      <c r="C207" s="33" t="s">
        <v>208</v>
      </c>
      <c r="D207" s="33" t="s">
        <v>5</v>
      </c>
      <c r="E207" s="33" t="s">
        <v>203</v>
      </c>
      <c r="F207" s="33" t="s">
        <v>17</v>
      </c>
      <c r="G207" s="33" t="s">
        <v>204</v>
      </c>
      <c r="H207" s="33" t="s">
        <v>209</v>
      </c>
      <c r="I207" s="33" t="s">
        <v>209</v>
      </c>
      <c r="J207" s="33">
        <v>2083.54</v>
      </c>
      <c r="K207" s="33">
        <v>8.5823999999999998</v>
      </c>
      <c r="L207" s="33">
        <v>6.0469499999999998</v>
      </c>
      <c r="Q207" s="33" t="s">
        <v>256</v>
      </c>
      <c r="R207" s="33" t="s">
        <v>208</v>
      </c>
    </row>
    <row r="208" spans="1:18" ht="27.6" x14ac:dyDescent="0.25">
      <c r="A208" s="33" t="s">
        <v>123</v>
      </c>
      <c r="B208" s="33" t="s">
        <v>68</v>
      </c>
      <c r="C208" s="33" t="s">
        <v>208</v>
      </c>
      <c r="D208" s="33" t="s">
        <v>5</v>
      </c>
      <c r="E208" s="33" t="s">
        <v>203</v>
      </c>
      <c r="F208" s="33" t="s">
        <v>17</v>
      </c>
      <c r="G208" s="33" t="s">
        <v>204</v>
      </c>
      <c r="H208" s="33" t="s">
        <v>209</v>
      </c>
      <c r="I208" s="33" t="s">
        <v>209</v>
      </c>
      <c r="J208" s="33">
        <v>2083.54</v>
      </c>
      <c r="K208" s="33">
        <v>8.5823999999999998</v>
      </c>
      <c r="L208" s="33">
        <v>6.0469499999999998</v>
      </c>
      <c r="Q208" s="33" t="s">
        <v>256</v>
      </c>
      <c r="R208" s="33" t="s">
        <v>208</v>
      </c>
    </row>
    <row r="209" spans="1:18" ht="27.6" hidden="1" x14ac:dyDescent="0.25">
      <c r="A209" s="33" t="s">
        <v>123</v>
      </c>
      <c r="B209" s="33" t="s">
        <v>77</v>
      </c>
      <c r="C209" s="33" t="s">
        <v>208</v>
      </c>
      <c r="D209" s="33" t="s">
        <v>5</v>
      </c>
      <c r="E209" s="33" t="s">
        <v>203</v>
      </c>
      <c r="F209" s="33" t="s">
        <v>17</v>
      </c>
      <c r="G209" s="33" t="s">
        <v>204</v>
      </c>
      <c r="H209" s="33" t="s">
        <v>209</v>
      </c>
      <c r="I209" s="33" t="s">
        <v>209</v>
      </c>
      <c r="J209" s="33">
        <v>2083.54</v>
      </c>
      <c r="K209" s="33">
        <v>8.5823999999999998</v>
      </c>
      <c r="L209" s="33">
        <v>6.0469499999999998</v>
      </c>
      <c r="Q209" s="33" t="s">
        <v>256</v>
      </c>
      <c r="R209" s="33" t="s">
        <v>208</v>
      </c>
    </row>
    <row r="210" spans="1:18" ht="27.6" hidden="1" x14ac:dyDescent="0.25">
      <c r="A210" s="33" t="s">
        <v>113</v>
      </c>
      <c r="B210" s="33" t="s">
        <v>56</v>
      </c>
      <c r="C210" s="33" t="s">
        <v>208</v>
      </c>
      <c r="D210" s="33" t="s">
        <v>5</v>
      </c>
      <c r="E210" s="33" t="s">
        <v>203</v>
      </c>
      <c r="F210" s="33" t="s">
        <v>17</v>
      </c>
      <c r="G210" s="33" t="s">
        <v>204</v>
      </c>
      <c r="H210" s="33" t="s">
        <v>209</v>
      </c>
      <c r="I210" s="33" t="s">
        <v>209</v>
      </c>
      <c r="J210" s="33">
        <v>2083.54</v>
      </c>
      <c r="K210" s="33">
        <v>8.5823999999999998</v>
      </c>
      <c r="L210" s="33">
        <v>6.0469499999999998</v>
      </c>
      <c r="Q210" s="33" t="s">
        <v>256</v>
      </c>
      <c r="R210" s="33" t="s">
        <v>208</v>
      </c>
    </row>
    <row r="211" spans="1:18" ht="27.6" hidden="1" x14ac:dyDescent="0.25">
      <c r="A211" s="33" t="s">
        <v>113</v>
      </c>
      <c r="B211" s="33" t="s">
        <v>62</v>
      </c>
      <c r="C211" s="33" t="s">
        <v>208</v>
      </c>
      <c r="D211" s="33" t="s">
        <v>5</v>
      </c>
      <c r="E211" s="33" t="s">
        <v>203</v>
      </c>
      <c r="F211" s="33" t="s">
        <v>17</v>
      </c>
      <c r="G211" s="33" t="s">
        <v>204</v>
      </c>
      <c r="H211" s="33" t="s">
        <v>209</v>
      </c>
      <c r="I211" s="33" t="s">
        <v>209</v>
      </c>
      <c r="J211" s="33">
        <v>2083.54</v>
      </c>
      <c r="K211" s="33">
        <v>8.5823999999999998</v>
      </c>
      <c r="L211" s="33">
        <v>6.0469499999999998</v>
      </c>
      <c r="Q211" s="33" t="s">
        <v>256</v>
      </c>
      <c r="R211" s="33" t="s">
        <v>208</v>
      </c>
    </row>
    <row r="212" spans="1:18" ht="27.6" hidden="1" x14ac:dyDescent="0.25">
      <c r="A212" s="33" t="s">
        <v>113</v>
      </c>
      <c r="B212" s="33" t="s">
        <v>65</v>
      </c>
      <c r="C212" s="33" t="s">
        <v>208</v>
      </c>
      <c r="D212" s="33" t="s">
        <v>5</v>
      </c>
      <c r="E212" s="33" t="s">
        <v>203</v>
      </c>
      <c r="F212" s="33" t="s">
        <v>17</v>
      </c>
      <c r="G212" s="33" t="s">
        <v>204</v>
      </c>
      <c r="H212" s="33" t="s">
        <v>209</v>
      </c>
      <c r="I212" s="33" t="s">
        <v>209</v>
      </c>
      <c r="J212" s="33">
        <v>2083.54</v>
      </c>
      <c r="K212" s="33">
        <v>8.5823999999999998</v>
      </c>
      <c r="L212" s="33">
        <v>6.0469499999999998</v>
      </c>
      <c r="Q212" s="33" t="s">
        <v>256</v>
      </c>
      <c r="R212" s="33" t="s">
        <v>208</v>
      </c>
    </row>
    <row r="213" spans="1:18" ht="27.6" hidden="1" x14ac:dyDescent="0.25">
      <c r="A213" s="33" t="s">
        <v>172</v>
      </c>
      <c r="B213" s="33" t="s">
        <v>78</v>
      </c>
      <c r="C213" s="33" t="s">
        <v>208</v>
      </c>
      <c r="D213" s="33" t="s">
        <v>5</v>
      </c>
      <c r="E213" s="33" t="s">
        <v>203</v>
      </c>
      <c r="F213" s="33" t="s">
        <v>17</v>
      </c>
      <c r="G213" s="33" t="s">
        <v>204</v>
      </c>
      <c r="H213" s="33" t="s">
        <v>209</v>
      </c>
      <c r="I213" s="33" t="s">
        <v>209</v>
      </c>
      <c r="J213" s="33">
        <v>2083.54</v>
      </c>
      <c r="K213" s="33">
        <v>8.5823999999999998</v>
      </c>
      <c r="L213" s="33">
        <v>6.0469499999999998</v>
      </c>
      <c r="Q213" s="33" t="s">
        <v>256</v>
      </c>
      <c r="R213" s="33" t="s">
        <v>208</v>
      </c>
    </row>
    <row r="214" spans="1:18" ht="27.6" hidden="1" x14ac:dyDescent="0.25">
      <c r="A214" s="33" t="s">
        <v>118</v>
      </c>
      <c r="B214" s="33" t="s">
        <v>57</v>
      </c>
      <c r="C214" s="33" t="s">
        <v>208</v>
      </c>
      <c r="D214" s="33" t="s">
        <v>5</v>
      </c>
      <c r="E214" s="33" t="s">
        <v>203</v>
      </c>
      <c r="F214" s="33" t="s">
        <v>17</v>
      </c>
      <c r="G214" s="33" t="s">
        <v>204</v>
      </c>
      <c r="H214" s="33" t="s">
        <v>209</v>
      </c>
      <c r="I214" s="33" t="s">
        <v>209</v>
      </c>
      <c r="J214" s="33">
        <v>2083.54</v>
      </c>
      <c r="K214" s="33">
        <v>8.5823999999999998</v>
      </c>
      <c r="L214" s="33">
        <v>6.0469499999999998</v>
      </c>
      <c r="Q214" s="33" t="s">
        <v>256</v>
      </c>
      <c r="R214" s="33" t="s">
        <v>208</v>
      </c>
    </row>
    <row r="215" spans="1:18" ht="27.6" hidden="1" x14ac:dyDescent="0.25">
      <c r="A215" s="33" t="s">
        <v>118</v>
      </c>
      <c r="B215" s="33" t="s">
        <v>58</v>
      </c>
      <c r="C215" s="33" t="s">
        <v>208</v>
      </c>
      <c r="D215" s="33" t="s">
        <v>5</v>
      </c>
      <c r="E215" s="33" t="s">
        <v>203</v>
      </c>
      <c r="F215" s="33" t="s">
        <v>17</v>
      </c>
      <c r="G215" s="33" t="s">
        <v>204</v>
      </c>
      <c r="H215" s="33" t="s">
        <v>209</v>
      </c>
      <c r="I215" s="33" t="s">
        <v>209</v>
      </c>
      <c r="J215" s="33">
        <v>2083.54</v>
      </c>
      <c r="K215" s="33">
        <v>8.5823999999999998</v>
      </c>
      <c r="L215" s="33">
        <v>6.0469499999999998</v>
      </c>
      <c r="Q215" s="33" t="s">
        <v>256</v>
      </c>
      <c r="R215" s="33" t="s">
        <v>208</v>
      </c>
    </row>
    <row r="216" spans="1:18" ht="27.6" hidden="1" x14ac:dyDescent="0.25">
      <c r="A216" s="33" t="s">
        <v>118</v>
      </c>
      <c r="B216" s="33" t="s">
        <v>69</v>
      </c>
      <c r="C216" s="33" t="s">
        <v>208</v>
      </c>
      <c r="D216" s="33" t="s">
        <v>5</v>
      </c>
      <c r="E216" s="33" t="s">
        <v>203</v>
      </c>
      <c r="F216" s="33" t="s">
        <v>17</v>
      </c>
      <c r="G216" s="33" t="s">
        <v>204</v>
      </c>
      <c r="H216" s="33" t="s">
        <v>209</v>
      </c>
      <c r="I216" s="33" t="s">
        <v>209</v>
      </c>
      <c r="J216" s="33">
        <v>2083.54</v>
      </c>
      <c r="K216" s="33">
        <v>8.5823999999999998</v>
      </c>
      <c r="L216" s="33">
        <v>6.0469499999999998</v>
      </c>
      <c r="Q216" s="33" t="s">
        <v>256</v>
      </c>
      <c r="R216" s="33" t="s">
        <v>208</v>
      </c>
    </row>
    <row r="217" spans="1:18" ht="27.6" hidden="1" x14ac:dyDescent="0.25">
      <c r="A217" s="33" t="s">
        <v>118</v>
      </c>
      <c r="B217" s="33" t="s">
        <v>70</v>
      </c>
      <c r="C217" s="33" t="s">
        <v>208</v>
      </c>
      <c r="D217" s="33" t="s">
        <v>5</v>
      </c>
      <c r="E217" s="33" t="s">
        <v>203</v>
      </c>
      <c r="F217" s="33" t="s">
        <v>17</v>
      </c>
      <c r="G217" s="33" t="s">
        <v>204</v>
      </c>
      <c r="H217" s="33" t="s">
        <v>209</v>
      </c>
      <c r="I217" s="33" t="s">
        <v>209</v>
      </c>
      <c r="J217" s="33">
        <v>2083.54</v>
      </c>
      <c r="K217" s="33">
        <v>8.5823999999999998</v>
      </c>
      <c r="L217" s="33">
        <v>6.0469499999999998</v>
      </c>
      <c r="Q217" s="33" t="s">
        <v>256</v>
      </c>
      <c r="R217" s="33" t="s">
        <v>208</v>
      </c>
    </row>
    <row r="218" spans="1:18" ht="27.6" hidden="1" x14ac:dyDescent="0.25">
      <c r="A218" s="33" t="s">
        <v>118</v>
      </c>
      <c r="B218" s="33" t="s">
        <v>71</v>
      </c>
      <c r="C218" s="33" t="s">
        <v>208</v>
      </c>
      <c r="D218" s="33" t="s">
        <v>5</v>
      </c>
      <c r="E218" s="33" t="s">
        <v>203</v>
      </c>
      <c r="F218" s="33" t="s">
        <v>17</v>
      </c>
      <c r="G218" s="33" t="s">
        <v>204</v>
      </c>
      <c r="H218" s="33" t="s">
        <v>209</v>
      </c>
      <c r="I218" s="33" t="s">
        <v>209</v>
      </c>
      <c r="J218" s="33">
        <v>2083.54</v>
      </c>
      <c r="K218" s="33">
        <v>8.5823999999999998</v>
      </c>
      <c r="L218" s="33">
        <v>6.0469499999999998</v>
      </c>
      <c r="Q218" s="33" t="s">
        <v>256</v>
      </c>
      <c r="R218" s="33" t="s">
        <v>208</v>
      </c>
    </row>
    <row r="219" spans="1:18" ht="27.6" hidden="1" x14ac:dyDescent="0.25">
      <c r="A219" s="33" t="s">
        <v>118</v>
      </c>
      <c r="B219" s="33" t="s">
        <v>73</v>
      </c>
      <c r="C219" s="33" t="s">
        <v>208</v>
      </c>
      <c r="D219" s="33" t="s">
        <v>5</v>
      </c>
      <c r="E219" s="33" t="s">
        <v>203</v>
      </c>
      <c r="F219" s="33" t="s">
        <v>17</v>
      </c>
      <c r="G219" s="33" t="s">
        <v>204</v>
      </c>
      <c r="H219" s="33" t="s">
        <v>209</v>
      </c>
      <c r="I219" s="33" t="s">
        <v>209</v>
      </c>
      <c r="J219" s="33">
        <v>2083.54</v>
      </c>
      <c r="K219" s="33">
        <v>8.5823999999999998</v>
      </c>
      <c r="L219" s="33">
        <v>6.0469499999999998</v>
      </c>
      <c r="Q219" s="33" t="s">
        <v>256</v>
      </c>
      <c r="R219" s="33" t="s">
        <v>208</v>
      </c>
    </row>
    <row r="220" spans="1:18" ht="27.6" hidden="1" x14ac:dyDescent="0.25">
      <c r="A220" s="33" t="s">
        <v>118</v>
      </c>
      <c r="B220" s="33" t="s">
        <v>74</v>
      </c>
      <c r="C220" s="33" t="s">
        <v>208</v>
      </c>
      <c r="D220" s="33" t="s">
        <v>5</v>
      </c>
      <c r="E220" s="33" t="s">
        <v>203</v>
      </c>
      <c r="F220" s="33" t="s">
        <v>17</v>
      </c>
      <c r="G220" s="33" t="s">
        <v>204</v>
      </c>
      <c r="H220" s="33" t="s">
        <v>209</v>
      </c>
      <c r="I220" s="33" t="s">
        <v>209</v>
      </c>
      <c r="J220" s="33">
        <v>2083.54</v>
      </c>
      <c r="K220" s="33">
        <v>8.5823999999999998</v>
      </c>
      <c r="L220" s="33">
        <v>6.0469499999999998</v>
      </c>
      <c r="Q220" s="33" t="s">
        <v>256</v>
      </c>
      <c r="R220" s="33" t="s">
        <v>208</v>
      </c>
    </row>
    <row r="221" spans="1:18" ht="27.6" hidden="1" x14ac:dyDescent="0.25">
      <c r="A221" s="33" t="s">
        <v>118</v>
      </c>
      <c r="B221" s="33" t="s">
        <v>75</v>
      </c>
      <c r="C221" s="33" t="s">
        <v>208</v>
      </c>
      <c r="D221" s="33" t="s">
        <v>5</v>
      </c>
      <c r="E221" s="33" t="s">
        <v>203</v>
      </c>
      <c r="F221" s="33" t="s">
        <v>17</v>
      </c>
      <c r="G221" s="33" t="s">
        <v>204</v>
      </c>
      <c r="H221" s="33" t="s">
        <v>209</v>
      </c>
      <c r="I221" s="33" t="s">
        <v>209</v>
      </c>
      <c r="J221" s="33">
        <v>2083.54</v>
      </c>
      <c r="K221" s="33">
        <v>8.5823999999999998</v>
      </c>
      <c r="L221" s="33">
        <v>6.0469499999999998</v>
      </c>
      <c r="Q221" s="33" t="s">
        <v>256</v>
      </c>
      <c r="R221" s="33" t="s">
        <v>208</v>
      </c>
    </row>
    <row r="222" spans="1:18" ht="27.6" hidden="1" x14ac:dyDescent="0.25">
      <c r="A222" s="33" t="s">
        <v>118</v>
      </c>
      <c r="B222" s="33" t="s">
        <v>76</v>
      </c>
      <c r="C222" s="33" t="s">
        <v>208</v>
      </c>
      <c r="D222" s="33" t="s">
        <v>5</v>
      </c>
      <c r="E222" s="33" t="s">
        <v>203</v>
      </c>
      <c r="F222" s="33" t="s">
        <v>17</v>
      </c>
      <c r="G222" s="33" t="s">
        <v>204</v>
      </c>
      <c r="H222" s="33" t="s">
        <v>209</v>
      </c>
      <c r="I222" s="33" t="s">
        <v>209</v>
      </c>
      <c r="J222" s="33">
        <v>2083.54</v>
      </c>
      <c r="K222" s="33">
        <v>8.5823999999999998</v>
      </c>
      <c r="L222" s="33">
        <v>6.0469499999999998</v>
      </c>
      <c r="Q222" s="33" t="s">
        <v>256</v>
      </c>
      <c r="R222" s="33" t="s">
        <v>208</v>
      </c>
    </row>
    <row r="223" spans="1:18" ht="96.6" hidden="1" x14ac:dyDescent="0.25">
      <c r="A223" s="33" t="s">
        <v>108</v>
      </c>
      <c r="B223" s="33" t="s">
        <v>55</v>
      </c>
      <c r="C223" s="33" t="s">
        <v>202</v>
      </c>
      <c r="D223" s="33" t="s">
        <v>5</v>
      </c>
      <c r="E223" s="33" t="s">
        <v>203</v>
      </c>
      <c r="F223" s="33" t="s">
        <v>18</v>
      </c>
      <c r="G223" s="33" t="s">
        <v>204</v>
      </c>
      <c r="H223" s="33" t="s">
        <v>205</v>
      </c>
      <c r="I223" s="33" t="s">
        <v>206</v>
      </c>
      <c r="J223" s="33">
        <v>1554.91</v>
      </c>
      <c r="K223" s="33">
        <v>1.44232</v>
      </c>
      <c r="L223" s="33">
        <v>0.88997999999999999</v>
      </c>
      <c r="Q223" s="33" t="s">
        <v>207</v>
      </c>
      <c r="R223" s="33">
        <v>2023</v>
      </c>
    </row>
    <row r="224" spans="1:18" ht="96.6" hidden="1" x14ac:dyDescent="0.25">
      <c r="A224" s="33" t="s">
        <v>108</v>
      </c>
      <c r="B224" s="33" t="s">
        <v>61</v>
      </c>
      <c r="C224" s="33" t="s">
        <v>202</v>
      </c>
      <c r="D224" s="33" t="s">
        <v>5</v>
      </c>
      <c r="E224" s="33" t="s">
        <v>203</v>
      </c>
      <c r="F224" s="33" t="s">
        <v>18</v>
      </c>
      <c r="G224" s="33" t="s">
        <v>204</v>
      </c>
      <c r="H224" s="33" t="s">
        <v>205</v>
      </c>
      <c r="I224" s="33" t="s">
        <v>206</v>
      </c>
      <c r="J224" s="33">
        <v>1554.91</v>
      </c>
      <c r="K224" s="33">
        <v>1.44232</v>
      </c>
      <c r="L224" s="33">
        <v>0.88997999999999999</v>
      </c>
      <c r="Q224" s="33" t="s">
        <v>207</v>
      </c>
      <c r="R224" s="33">
        <v>2023</v>
      </c>
    </row>
    <row r="225" spans="1:18" ht="96.6" hidden="1" x14ac:dyDescent="0.25">
      <c r="A225" s="33" t="s">
        <v>157</v>
      </c>
      <c r="B225" s="33" t="s">
        <v>72</v>
      </c>
      <c r="C225" s="33" t="s">
        <v>202</v>
      </c>
      <c r="D225" s="33" t="s">
        <v>5</v>
      </c>
      <c r="E225" s="33" t="s">
        <v>203</v>
      </c>
      <c r="F225" s="33" t="s">
        <v>18</v>
      </c>
      <c r="G225" s="33" t="s">
        <v>204</v>
      </c>
      <c r="H225" s="33" t="s">
        <v>205</v>
      </c>
      <c r="I225" s="33" t="s">
        <v>206</v>
      </c>
      <c r="J225" s="33">
        <v>1554.91</v>
      </c>
      <c r="K225" s="33">
        <v>1.44232</v>
      </c>
      <c r="L225" s="33">
        <v>0.88997999999999999</v>
      </c>
      <c r="Q225" s="33" t="s">
        <v>207</v>
      </c>
      <c r="R225" s="33">
        <v>2023</v>
      </c>
    </row>
    <row r="226" spans="1:18" ht="96.6" hidden="1" x14ac:dyDescent="0.25">
      <c r="A226" s="33" t="s">
        <v>123</v>
      </c>
      <c r="B226" s="33" t="s">
        <v>59</v>
      </c>
      <c r="C226" s="33" t="s">
        <v>202</v>
      </c>
      <c r="D226" s="33" t="s">
        <v>5</v>
      </c>
      <c r="E226" s="33" t="s">
        <v>203</v>
      </c>
      <c r="F226" s="33" t="s">
        <v>18</v>
      </c>
      <c r="G226" s="33" t="s">
        <v>204</v>
      </c>
      <c r="H226" s="33" t="s">
        <v>205</v>
      </c>
      <c r="I226" s="33" t="s">
        <v>206</v>
      </c>
      <c r="J226" s="33">
        <v>1554.91</v>
      </c>
      <c r="K226" s="33">
        <v>1.44232</v>
      </c>
      <c r="L226" s="33">
        <v>0.88997999999999999</v>
      </c>
      <c r="Q226" s="33" t="s">
        <v>207</v>
      </c>
      <c r="R226" s="33">
        <v>2023</v>
      </c>
    </row>
    <row r="227" spans="1:18" ht="96.6" hidden="1" x14ac:dyDescent="0.25">
      <c r="A227" s="33" t="s">
        <v>123</v>
      </c>
      <c r="B227" s="33" t="s">
        <v>60</v>
      </c>
      <c r="C227" s="33" t="s">
        <v>202</v>
      </c>
      <c r="D227" s="33" t="s">
        <v>5</v>
      </c>
      <c r="E227" s="33" t="s">
        <v>203</v>
      </c>
      <c r="F227" s="33" t="s">
        <v>18</v>
      </c>
      <c r="G227" s="33" t="s">
        <v>204</v>
      </c>
      <c r="H227" s="33" t="s">
        <v>205</v>
      </c>
      <c r="I227" s="33" t="s">
        <v>206</v>
      </c>
      <c r="J227" s="33">
        <v>1554.91</v>
      </c>
      <c r="K227" s="33">
        <v>1.44232</v>
      </c>
      <c r="L227" s="33">
        <v>0.88997999999999999</v>
      </c>
      <c r="Q227" s="33" t="s">
        <v>207</v>
      </c>
      <c r="R227" s="33">
        <v>2023</v>
      </c>
    </row>
    <row r="228" spans="1:18" ht="96.6" hidden="1" x14ac:dyDescent="0.25">
      <c r="A228" s="33" t="s">
        <v>123</v>
      </c>
      <c r="B228" s="33" t="s">
        <v>63</v>
      </c>
      <c r="C228" s="33" t="s">
        <v>202</v>
      </c>
      <c r="D228" s="33" t="s">
        <v>5</v>
      </c>
      <c r="E228" s="33" t="s">
        <v>203</v>
      </c>
      <c r="F228" s="33" t="s">
        <v>18</v>
      </c>
      <c r="G228" s="33" t="s">
        <v>204</v>
      </c>
      <c r="H228" s="33" t="s">
        <v>205</v>
      </c>
      <c r="I228" s="33" t="s">
        <v>206</v>
      </c>
      <c r="J228" s="33">
        <v>1554.91</v>
      </c>
      <c r="K228" s="33">
        <v>1.44232</v>
      </c>
      <c r="L228" s="33">
        <v>0.88997999999999999</v>
      </c>
      <c r="Q228" s="33" t="s">
        <v>207</v>
      </c>
      <c r="R228" s="33">
        <v>2023</v>
      </c>
    </row>
    <row r="229" spans="1:18" ht="96.6" hidden="1" x14ac:dyDescent="0.25">
      <c r="A229" s="33" t="s">
        <v>123</v>
      </c>
      <c r="B229" s="33" t="s">
        <v>64</v>
      </c>
      <c r="C229" s="33" t="s">
        <v>202</v>
      </c>
      <c r="D229" s="33" t="s">
        <v>5</v>
      </c>
      <c r="E229" s="33" t="s">
        <v>203</v>
      </c>
      <c r="F229" s="33" t="s">
        <v>18</v>
      </c>
      <c r="G229" s="33" t="s">
        <v>204</v>
      </c>
      <c r="H229" s="33" t="s">
        <v>205</v>
      </c>
      <c r="I229" s="33" t="s">
        <v>206</v>
      </c>
      <c r="J229" s="33">
        <v>1554.91</v>
      </c>
      <c r="K229" s="33">
        <v>1.44232</v>
      </c>
      <c r="L229" s="33">
        <v>0.88997999999999999</v>
      </c>
      <c r="Q229" s="33" t="s">
        <v>207</v>
      </c>
      <c r="R229" s="33">
        <v>2023</v>
      </c>
    </row>
    <row r="230" spans="1:18" ht="96.6" hidden="1" x14ac:dyDescent="0.25">
      <c r="A230" s="33" t="s">
        <v>123</v>
      </c>
      <c r="B230" s="33" t="s">
        <v>66</v>
      </c>
      <c r="C230" s="33" t="s">
        <v>202</v>
      </c>
      <c r="D230" s="33" t="s">
        <v>5</v>
      </c>
      <c r="E230" s="33" t="s">
        <v>203</v>
      </c>
      <c r="F230" s="33" t="s">
        <v>18</v>
      </c>
      <c r="G230" s="33" t="s">
        <v>204</v>
      </c>
      <c r="H230" s="33" t="s">
        <v>205</v>
      </c>
      <c r="I230" s="33" t="s">
        <v>206</v>
      </c>
      <c r="J230" s="33">
        <v>1554.91</v>
      </c>
      <c r="K230" s="33">
        <v>1.44232</v>
      </c>
      <c r="L230" s="33">
        <v>0.88997999999999999</v>
      </c>
      <c r="Q230" s="33" t="s">
        <v>207</v>
      </c>
      <c r="R230" s="33">
        <v>2023</v>
      </c>
    </row>
    <row r="231" spans="1:18" ht="96.6" hidden="1" x14ac:dyDescent="0.25">
      <c r="A231" s="33" t="s">
        <v>123</v>
      </c>
      <c r="B231" s="33" t="s">
        <v>67</v>
      </c>
      <c r="C231" s="33" t="s">
        <v>202</v>
      </c>
      <c r="D231" s="33" t="s">
        <v>5</v>
      </c>
      <c r="E231" s="33" t="s">
        <v>203</v>
      </c>
      <c r="F231" s="33" t="s">
        <v>18</v>
      </c>
      <c r="G231" s="33" t="s">
        <v>204</v>
      </c>
      <c r="H231" s="33" t="s">
        <v>205</v>
      </c>
      <c r="I231" s="33" t="s">
        <v>206</v>
      </c>
      <c r="J231" s="33">
        <v>1554.91</v>
      </c>
      <c r="K231" s="33">
        <v>1.44232</v>
      </c>
      <c r="L231" s="33">
        <v>0.88997999999999999</v>
      </c>
      <c r="Q231" s="33" t="s">
        <v>207</v>
      </c>
      <c r="R231" s="33">
        <v>2023</v>
      </c>
    </row>
    <row r="232" spans="1:18" ht="96.6" x14ac:dyDescent="0.25">
      <c r="A232" s="33" t="s">
        <v>123</v>
      </c>
      <c r="B232" s="33" t="s">
        <v>68</v>
      </c>
      <c r="C232" s="33" t="s">
        <v>202</v>
      </c>
      <c r="D232" s="33" t="s">
        <v>5</v>
      </c>
      <c r="E232" s="33" t="s">
        <v>203</v>
      </c>
      <c r="F232" s="33" t="s">
        <v>18</v>
      </c>
      <c r="G232" s="33" t="s">
        <v>204</v>
      </c>
      <c r="H232" s="33" t="s">
        <v>205</v>
      </c>
      <c r="I232" s="33" t="s">
        <v>206</v>
      </c>
      <c r="J232" s="33">
        <v>1554.91</v>
      </c>
      <c r="K232" s="33">
        <v>1.44232</v>
      </c>
      <c r="L232" s="33">
        <v>0.88997999999999999</v>
      </c>
      <c r="Q232" s="33" t="s">
        <v>207</v>
      </c>
      <c r="R232" s="33">
        <v>2023</v>
      </c>
    </row>
    <row r="233" spans="1:18" ht="96.6" hidden="1" x14ac:dyDescent="0.25">
      <c r="A233" s="33" t="s">
        <v>123</v>
      </c>
      <c r="B233" s="33" t="s">
        <v>77</v>
      </c>
      <c r="C233" s="33" t="s">
        <v>202</v>
      </c>
      <c r="D233" s="33" t="s">
        <v>5</v>
      </c>
      <c r="E233" s="33" t="s">
        <v>203</v>
      </c>
      <c r="F233" s="33" t="s">
        <v>18</v>
      </c>
      <c r="G233" s="33" t="s">
        <v>204</v>
      </c>
      <c r="H233" s="33" t="s">
        <v>205</v>
      </c>
      <c r="I233" s="33" t="s">
        <v>206</v>
      </c>
      <c r="J233" s="33">
        <v>1554.91</v>
      </c>
      <c r="K233" s="33">
        <v>1.44232</v>
      </c>
      <c r="L233" s="33">
        <v>0.88997999999999999</v>
      </c>
      <c r="Q233" s="33" t="s">
        <v>207</v>
      </c>
      <c r="R233" s="33">
        <v>2023</v>
      </c>
    </row>
    <row r="234" spans="1:18" ht="96.6" hidden="1" x14ac:dyDescent="0.25">
      <c r="A234" s="33" t="s">
        <v>113</v>
      </c>
      <c r="B234" s="33" t="s">
        <v>56</v>
      </c>
      <c r="C234" s="33" t="s">
        <v>202</v>
      </c>
      <c r="D234" s="33" t="s">
        <v>5</v>
      </c>
      <c r="E234" s="33" t="s">
        <v>203</v>
      </c>
      <c r="F234" s="33" t="s">
        <v>18</v>
      </c>
      <c r="G234" s="33" t="s">
        <v>204</v>
      </c>
      <c r="H234" s="33" t="s">
        <v>205</v>
      </c>
      <c r="I234" s="33" t="s">
        <v>206</v>
      </c>
      <c r="J234" s="33">
        <v>1554.91</v>
      </c>
      <c r="K234" s="33">
        <v>1.44232</v>
      </c>
      <c r="L234" s="33">
        <v>0.88997999999999999</v>
      </c>
      <c r="Q234" s="33" t="s">
        <v>207</v>
      </c>
      <c r="R234" s="33">
        <v>2023</v>
      </c>
    </row>
    <row r="235" spans="1:18" ht="96.6" hidden="1" x14ac:dyDescent="0.25">
      <c r="A235" s="33" t="s">
        <v>113</v>
      </c>
      <c r="B235" s="33" t="s">
        <v>62</v>
      </c>
      <c r="C235" s="33" t="s">
        <v>202</v>
      </c>
      <c r="D235" s="33" t="s">
        <v>5</v>
      </c>
      <c r="E235" s="33" t="s">
        <v>203</v>
      </c>
      <c r="F235" s="33" t="s">
        <v>18</v>
      </c>
      <c r="G235" s="33" t="s">
        <v>204</v>
      </c>
      <c r="H235" s="33" t="s">
        <v>205</v>
      </c>
      <c r="I235" s="33" t="s">
        <v>206</v>
      </c>
      <c r="J235" s="33">
        <v>1554.91</v>
      </c>
      <c r="K235" s="33">
        <v>1.44232</v>
      </c>
      <c r="L235" s="33">
        <v>0.88997999999999999</v>
      </c>
      <c r="Q235" s="33" t="s">
        <v>207</v>
      </c>
      <c r="R235" s="33">
        <v>2023</v>
      </c>
    </row>
    <row r="236" spans="1:18" ht="96.6" hidden="1" x14ac:dyDescent="0.25">
      <c r="A236" s="33" t="s">
        <v>113</v>
      </c>
      <c r="B236" s="33" t="s">
        <v>65</v>
      </c>
      <c r="C236" s="33" t="s">
        <v>202</v>
      </c>
      <c r="D236" s="33" t="s">
        <v>5</v>
      </c>
      <c r="E236" s="33" t="s">
        <v>203</v>
      </c>
      <c r="F236" s="33" t="s">
        <v>18</v>
      </c>
      <c r="G236" s="33" t="s">
        <v>204</v>
      </c>
      <c r="H236" s="33" t="s">
        <v>205</v>
      </c>
      <c r="I236" s="33" t="s">
        <v>206</v>
      </c>
      <c r="J236" s="33">
        <v>1554.91</v>
      </c>
      <c r="K236" s="33">
        <v>1.44232</v>
      </c>
      <c r="L236" s="33">
        <v>0.88997999999999999</v>
      </c>
      <c r="Q236" s="33" t="s">
        <v>207</v>
      </c>
      <c r="R236" s="33">
        <v>2023</v>
      </c>
    </row>
    <row r="237" spans="1:18" ht="96.6" hidden="1" x14ac:dyDescent="0.25">
      <c r="A237" s="33" t="s">
        <v>172</v>
      </c>
      <c r="B237" s="33" t="s">
        <v>78</v>
      </c>
      <c r="C237" s="33" t="s">
        <v>202</v>
      </c>
      <c r="D237" s="33" t="s">
        <v>5</v>
      </c>
      <c r="E237" s="33" t="s">
        <v>203</v>
      </c>
      <c r="F237" s="33" t="s">
        <v>18</v>
      </c>
      <c r="G237" s="33" t="s">
        <v>204</v>
      </c>
      <c r="H237" s="33" t="s">
        <v>205</v>
      </c>
      <c r="I237" s="33" t="s">
        <v>206</v>
      </c>
      <c r="J237" s="33">
        <v>1554.91</v>
      </c>
      <c r="K237" s="33">
        <v>1.44232</v>
      </c>
      <c r="L237" s="33">
        <v>0.88997999999999999</v>
      </c>
      <c r="Q237" s="33" t="s">
        <v>207</v>
      </c>
      <c r="R237" s="33">
        <v>2023</v>
      </c>
    </row>
    <row r="238" spans="1:18" ht="96.6" hidden="1" x14ac:dyDescent="0.25">
      <c r="A238" s="33" t="s">
        <v>118</v>
      </c>
      <c r="B238" s="33" t="s">
        <v>57</v>
      </c>
      <c r="C238" s="33" t="s">
        <v>202</v>
      </c>
      <c r="D238" s="33" t="s">
        <v>5</v>
      </c>
      <c r="E238" s="33" t="s">
        <v>203</v>
      </c>
      <c r="F238" s="33" t="s">
        <v>18</v>
      </c>
      <c r="G238" s="33" t="s">
        <v>204</v>
      </c>
      <c r="H238" s="33" t="s">
        <v>205</v>
      </c>
      <c r="I238" s="33" t="s">
        <v>206</v>
      </c>
      <c r="J238" s="33">
        <v>1554.91</v>
      </c>
      <c r="K238" s="33">
        <v>1.44232</v>
      </c>
      <c r="L238" s="33">
        <v>0.88997999999999999</v>
      </c>
      <c r="Q238" s="33" t="s">
        <v>207</v>
      </c>
      <c r="R238" s="33">
        <v>2023</v>
      </c>
    </row>
    <row r="239" spans="1:18" ht="96.6" hidden="1" x14ac:dyDescent="0.25">
      <c r="A239" s="33" t="s">
        <v>118</v>
      </c>
      <c r="B239" s="33" t="s">
        <v>58</v>
      </c>
      <c r="C239" s="33" t="s">
        <v>202</v>
      </c>
      <c r="D239" s="33" t="s">
        <v>5</v>
      </c>
      <c r="E239" s="33" t="s">
        <v>203</v>
      </c>
      <c r="F239" s="33" t="s">
        <v>18</v>
      </c>
      <c r="G239" s="33" t="s">
        <v>204</v>
      </c>
      <c r="H239" s="33" t="s">
        <v>205</v>
      </c>
      <c r="I239" s="33" t="s">
        <v>206</v>
      </c>
      <c r="J239" s="33">
        <v>1554.91</v>
      </c>
      <c r="K239" s="33">
        <v>1.44232</v>
      </c>
      <c r="L239" s="33">
        <v>0.88997999999999999</v>
      </c>
      <c r="Q239" s="33" t="s">
        <v>207</v>
      </c>
      <c r="R239" s="33">
        <v>2023</v>
      </c>
    </row>
    <row r="240" spans="1:18" ht="96.6" hidden="1" x14ac:dyDescent="0.25">
      <c r="A240" s="33" t="s">
        <v>118</v>
      </c>
      <c r="B240" s="33" t="s">
        <v>69</v>
      </c>
      <c r="C240" s="33" t="s">
        <v>202</v>
      </c>
      <c r="D240" s="33" t="s">
        <v>5</v>
      </c>
      <c r="E240" s="33" t="s">
        <v>203</v>
      </c>
      <c r="F240" s="33" t="s">
        <v>18</v>
      </c>
      <c r="G240" s="33" t="s">
        <v>204</v>
      </c>
      <c r="H240" s="33" t="s">
        <v>205</v>
      </c>
      <c r="I240" s="33" t="s">
        <v>206</v>
      </c>
      <c r="J240" s="33">
        <v>1554.91</v>
      </c>
      <c r="K240" s="33">
        <v>1.44232</v>
      </c>
      <c r="L240" s="33">
        <v>0.88997999999999999</v>
      </c>
      <c r="Q240" s="33" t="s">
        <v>207</v>
      </c>
      <c r="R240" s="33">
        <v>2023</v>
      </c>
    </row>
    <row r="241" spans="1:18" ht="96.6" hidden="1" x14ac:dyDescent="0.25">
      <c r="A241" s="33" t="s">
        <v>118</v>
      </c>
      <c r="B241" s="33" t="s">
        <v>70</v>
      </c>
      <c r="C241" s="33" t="s">
        <v>202</v>
      </c>
      <c r="D241" s="33" t="s">
        <v>5</v>
      </c>
      <c r="E241" s="33" t="s">
        <v>203</v>
      </c>
      <c r="F241" s="33" t="s">
        <v>18</v>
      </c>
      <c r="G241" s="33" t="s">
        <v>204</v>
      </c>
      <c r="H241" s="33" t="s">
        <v>205</v>
      </c>
      <c r="I241" s="33" t="s">
        <v>206</v>
      </c>
      <c r="J241" s="33">
        <v>1554.91</v>
      </c>
      <c r="K241" s="33">
        <v>1.44232</v>
      </c>
      <c r="L241" s="33">
        <v>0.88997999999999999</v>
      </c>
      <c r="Q241" s="33" t="s">
        <v>207</v>
      </c>
      <c r="R241" s="33">
        <v>2023</v>
      </c>
    </row>
    <row r="242" spans="1:18" ht="96.6" hidden="1" x14ac:dyDescent="0.25">
      <c r="A242" s="33" t="s">
        <v>118</v>
      </c>
      <c r="B242" s="33" t="s">
        <v>71</v>
      </c>
      <c r="C242" s="33" t="s">
        <v>202</v>
      </c>
      <c r="D242" s="33" t="s">
        <v>5</v>
      </c>
      <c r="E242" s="33" t="s">
        <v>203</v>
      </c>
      <c r="F242" s="33" t="s">
        <v>18</v>
      </c>
      <c r="G242" s="33" t="s">
        <v>204</v>
      </c>
      <c r="H242" s="33" t="s">
        <v>205</v>
      </c>
      <c r="I242" s="33" t="s">
        <v>206</v>
      </c>
      <c r="J242" s="33">
        <v>1554.91</v>
      </c>
      <c r="K242" s="33">
        <v>1.44232</v>
      </c>
      <c r="L242" s="33">
        <v>0.88997999999999999</v>
      </c>
      <c r="Q242" s="33" t="s">
        <v>207</v>
      </c>
      <c r="R242" s="33">
        <v>2023</v>
      </c>
    </row>
    <row r="243" spans="1:18" ht="96.6" hidden="1" x14ac:dyDescent="0.25">
      <c r="A243" s="33" t="s">
        <v>118</v>
      </c>
      <c r="B243" s="33" t="s">
        <v>73</v>
      </c>
      <c r="C243" s="33" t="s">
        <v>202</v>
      </c>
      <c r="D243" s="33" t="s">
        <v>5</v>
      </c>
      <c r="E243" s="33" t="s">
        <v>203</v>
      </c>
      <c r="F243" s="33" t="s">
        <v>18</v>
      </c>
      <c r="G243" s="33" t="s">
        <v>204</v>
      </c>
      <c r="H243" s="33" t="s">
        <v>205</v>
      </c>
      <c r="I243" s="33" t="s">
        <v>206</v>
      </c>
      <c r="J243" s="33">
        <v>1554.91</v>
      </c>
      <c r="K243" s="33">
        <v>1.44232</v>
      </c>
      <c r="L243" s="33">
        <v>0.88997999999999999</v>
      </c>
      <c r="Q243" s="33" t="s">
        <v>207</v>
      </c>
      <c r="R243" s="33">
        <v>2023</v>
      </c>
    </row>
    <row r="244" spans="1:18" ht="96.6" hidden="1" x14ac:dyDescent="0.25">
      <c r="A244" s="33" t="s">
        <v>118</v>
      </c>
      <c r="B244" s="33" t="s">
        <v>74</v>
      </c>
      <c r="C244" s="33" t="s">
        <v>202</v>
      </c>
      <c r="D244" s="33" t="s">
        <v>5</v>
      </c>
      <c r="E244" s="33" t="s">
        <v>203</v>
      </c>
      <c r="F244" s="33" t="s">
        <v>18</v>
      </c>
      <c r="G244" s="33" t="s">
        <v>204</v>
      </c>
      <c r="H244" s="33" t="s">
        <v>205</v>
      </c>
      <c r="I244" s="33" t="s">
        <v>206</v>
      </c>
      <c r="J244" s="33">
        <v>1554.91</v>
      </c>
      <c r="K244" s="33">
        <v>1.44232</v>
      </c>
      <c r="L244" s="33">
        <v>0.88997999999999999</v>
      </c>
      <c r="Q244" s="33" t="s">
        <v>207</v>
      </c>
      <c r="R244" s="33">
        <v>2023</v>
      </c>
    </row>
    <row r="245" spans="1:18" ht="96.6" hidden="1" x14ac:dyDescent="0.25">
      <c r="A245" s="33" t="s">
        <v>118</v>
      </c>
      <c r="B245" s="33" t="s">
        <v>75</v>
      </c>
      <c r="C245" s="33" t="s">
        <v>202</v>
      </c>
      <c r="D245" s="33" t="s">
        <v>5</v>
      </c>
      <c r="E245" s="33" t="s">
        <v>203</v>
      </c>
      <c r="F245" s="33" t="s">
        <v>18</v>
      </c>
      <c r="G245" s="33" t="s">
        <v>204</v>
      </c>
      <c r="H245" s="33" t="s">
        <v>205</v>
      </c>
      <c r="I245" s="33" t="s">
        <v>206</v>
      </c>
      <c r="J245" s="33">
        <v>1554.91</v>
      </c>
      <c r="K245" s="33">
        <v>1.44232</v>
      </c>
      <c r="L245" s="33">
        <v>0.88997999999999999</v>
      </c>
      <c r="Q245" s="33" t="s">
        <v>207</v>
      </c>
      <c r="R245" s="33">
        <v>2023</v>
      </c>
    </row>
    <row r="246" spans="1:18" ht="96.6" hidden="1" x14ac:dyDescent="0.25">
      <c r="A246" s="33" t="s">
        <v>118</v>
      </c>
      <c r="B246" s="33" t="s">
        <v>76</v>
      </c>
      <c r="C246" s="33" t="s">
        <v>202</v>
      </c>
      <c r="D246" s="33" t="s">
        <v>5</v>
      </c>
      <c r="E246" s="33" t="s">
        <v>203</v>
      </c>
      <c r="F246" s="33" t="s">
        <v>18</v>
      </c>
      <c r="G246" s="33" t="s">
        <v>204</v>
      </c>
      <c r="H246" s="33" t="s">
        <v>205</v>
      </c>
      <c r="I246" s="33" t="s">
        <v>206</v>
      </c>
      <c r="J246" s="33">
        <v>1554.91</v>
      </c>
      <c r="K246" s="33">
        <v>1.44232</v>
      </c>
      <c r="L246" s="33">
        <v>0.88997999999999999</v>
      </c>
      <c r="Q246" s="33" t="s">
        <v>207</v>
      </c>
      <c r="R246" s="33">
        <v>2023</v>
      </c>
    </row>
    <row r="247" spans="1:18" ht="69" hidden="1" x14ac:dyDescent="0.25">
      <c r="A247" s="33" t="s">
        <v>108</v>
      </c>
      <c r="B247" s="33" t="s">
        <v>55</v>
      </c>
      <c r="C247" s="33" t="s">
        <v>202</v>
      </c>
      <c r="D247" s="33" t="s">
        <v>5</v>
      </c>
      <c r="E247" s="33" t="s">
        <v>203</v>
      </c>
      <c r="F247" s="33" t="s">
        <v>19</v>
      </c>
      <c r="G247" s="33" t="s">
        <v>219</v>
      </c>
      <c r="H247" s="33" t="s">
        <v>220</v>
      </c>
      <c r="I247" s="33" t="s">
        <v>221</v>
      </c>
      <c r="J247" s="33">
        <v>53.06</v>
      </c>
      <c r="K247" s="33">
        <v>2.98E-2</v>
      </c>
      <c r="L247" s="33">
        <v>2.7300000000000001E-2</v>
      </c>
      <c r="Q247" s="33" t="s">
        <v>222</v>
      </c>
      <c r="R247" s="33" t="s">
        <v>208</v>
      </c>
    </row>
    <row r="248" spans="1:18" ht="69" hidden="1" x14ac:dyDescent="0.25">
      <c r="A248" s="33" t="s">
        <v>108</v>
      </c>
      <c r="B248" s="33" t="s">
        <v>61</v>
      </c>
      <c r="C248" s="33" t="s">
        <v>202</v>
      </c>
      <c r="D248" s="33" t="s">
        <v>5</v>
      </c>
      <c r="E248" s="33" t="s">
        <v>203</v>
      </c>
      <c r="F248" s="33" t="s">
        <v>19</v>
      </c>
      <c r="G248" s="33" t="s">
        <v>219</v>
      </c>
      <c r="H248" s="33" t="s">
        <v>220</v>
      </c>
      <c r="I248" s="33" t="s">
        <v>221</v>
      </c>
      <c r="J248" s="33">
        <v>53.06</v>
      </c>
      <c r="K248" s="33">
        <v>2.98E-2</v>
      </c>
      <c r="L248" s="33">
        <v>2.7300000000000001E-2</v>
      </c>
      <c r="Q248" s="33" t="s">
        <v>222</v>
      </c>
      <c r="R248" s="33" t="s">
        <v>208</v>
      </c>
    </row>
    <row r="249" spans="1:18" ht="69" hidden="1" x14ac:dyDescent="0.25">
      <c r="A249" s="33" t="s">
        <v>157</v>
      </c>
      <c r="B249" s="33" t="s">
        <v>72</v>
      </c>
      <c r="C249" s="33" t="s">
        <v>202</v>
      </c>
      <c r="D249" s="33" t="s">
        <v>5</v>
      </c>
      <c r="E249" s="33" t="s">
        <v>203</v>
      </c>
      <c r="F249" s="33" t="s">
        <v>19</v>
      </c>
      <c r="G249" s="33" t="s">
        <v>219</v>
      </c>
      <c r="H249" s="33" t="s">
        <v>220</v>
      </c>
      <c r="I249" s="33" t="s">
        <v>221</v>
      </c>
      <c r="J249" s="33">
        <v>53.06</v>
      </c>
      <c r="K249" s="33">
        <v>2.98E-2</v>
      </c>
      <c r="L249" s="33">
        <v>2.7300000000000001E-2</v>
      </c>
      <c r="Q249" s="33" t="s">
        <v>222</v>
      </c>
      <c r="R249" s="33" t="s">
        <v>208</v>
      </c>
    </row>
    <row r="250" spans="1:18" ht="69" hidden="1" x14ac:dyDescent="0.25">
      <c r="A250" s="33" t="s">
        <v>123</v>
      </c>
      <c r="B250" s="33" t="s">
        <v>59</v>
      </c>
      <c r="C250" s="33" t="s">
        <v>202</v>
      </c>
      <c r="D250" s="33" t="s">
        <v>5</v>
      </c>
      <c r="E250" s="33" t="s">
        <v>203</v>
      </c>
      <c r="F250" s="33" t="s">
        <v>19</v>
      </c>
      <c r="G250" s="33" t="s">
        <v>219</v>
      </c>
      <c r="H250" s="33" t="s">
        <v>220</v>
      </c>
      <c r="I250" s="33" t="s">
        <v>221</v>
      </c>
      <c r="J250" s="33">
        <v>53.06</v>
      </c>
      <c r="K250" s="33">
        <v>2.98E-2</v>
      </c>
      <c r="L250" s="33">
        <v>2.7300000000000001E-2</v>
      </c>
      <c r="Q250" s="33" t="s">
        <v>222</v>
      </c>
      <c r="R250" s="33" t="s">
        <v>208</v>
      </c>
    </row>
    <row r="251" spans="1:18" ht="69" hidden="1" x14ac:dyDescent="0.25">
      <c r="A251" s="33" t="s">
        <v>123</v>
      </c>
      <c r="B251" s="33" t="s">
        <v>60</v>
      </c>
      <c r="C251" s="33" t="s">
        <v>202</v>
      </c>
      <c r="D251" s="33" t="s">
        <v>5</v>
      </c>
      <c r="E251" s="33" t="s">
        <v>203</v>
      </c>
      <c r="F251" s="33" t="s">
        <v>19</v>
      </c>
      <c r="G251" s="33" t="s">
        <v>219</v>
      </c>
      <c r="H251" s="33" t="s">
        <v>220</v>
      </c>
      <c r="I251" s="33" t="s">
        <v>221</v>
      </c>
      <c r="J251" s="33">
        <v>53.06</v>
      </c>
      <c r="K251" s="33">
        <v>2.98E-2</v>
      </c>
      <c r="L251" s="33">
        <v>2.7300000000000001E-2</v>
      </c>
      <c r="Q251" s="33" t="s">
        <v>222</v>
      </c>
      <c r="R251" s="33" t="s">
        <v>208</v>
      </c>
    </row>
    <row r="252" spans="1:18" ht="69" hidden="1" x14ac:dyDescent="0.25">
      <c r="A252" s="33" t="s">
        <v>123</v>
      </c>
      <c r="B252" s="33" t="s">
        <v>63</v>
      </c>
      <c r="C252" s="33" t="s">
        <v>202</v>
      </c>
      <c r="D252" s="33" t="s">
        <v>5</v>
      </c>
      <c r="E252" s="33" t="s">
        <v>203</v>
      </c>
      <c r="F252" s="33" t="s">
        <v>19</v>
      </c>
      <c r="G252" s="33" t="s">
        <v>219</v>
      </c>
      <c r="H252" s="33" t="s">
        <v>220</v>
      </c>
      <c r="I252" s="33" t="s">
        <v>221</v>
      </c>
      <c r="J252" s="33">
        <v>53.06</v>
      </c>
      <c r="K252" s="33">
        <v>2.98E-2</v>
      </c>
      <c r="L252" s="33">
        <v>2.7300000000000001E-2</v>
      </c>
      <c r="Q252" s="33" t="s">
        <v>222</v>
      </c>
      <c r="R252" s="33" t="s">
        <v>208</v>
      </c>
    </row>
    <row r="253" spans="1:18" ht="69" hidden="1" x14ac:dyDescent="0.25">
      <c r="A253" s="33" t="s">
        <v>123</v>
      </c>
      <c r="B253" s="33" t="s">
        <v>64</v>
      </c>
      <c r="C253" s="33" t="s">
        <v>202</v>
      </c>
      <c r="D253" s="33" t="s">
        <v>5</v>
      </c>
      <c r="E253" s="33" t="s">
        <v>203</v>
      </c>
      <c r="F253" s="33" t="s">
        <v>19</v>
      </c>
      <c r="G253" s="33" t="s">
        <v>219</v>
      </c>
      <c r="H253" s="33" t="s">
        <v>220</v>
      </c>
      <c r="I253" s="33" t="s">
        <v>221</v>
      </c>
      <c r="J253" s="33">
        <v>53.06</v>
      </c>
      <c r="K253" s="33">
        <v>2.98E-2</v>
      </c>
      <c r="L253" s="33">
        <v>2.7300000000000001E-2</v>
      </c>
      <c r="Q253" s="33" t="s">
        <v>222</v>
      </c>
      <c r="R253" s="33" t="s">
        <v>208</v>
      </c>
    </row>
    <row r="254" spans="1:18" ht="69" hidden="1" x14ac:dyDescent="0.25">
      <c r="A254" s="33" t="s">
        <v>123</v>
      </c>
      <c r="B254" s="33" t="s">
        <v>66</v>
      </c>
      <c r="C254" s="33" t="s">
        <v>202</v>
      </c>
      <c r="D254" s="33" t="s">
        <v>5</v>
      </c>
      <c r="E254" s="33" t="s">
        <v>203</v>
      </c>
      <c r="F254" s="33" t="s">
        <v>19</v>
      </c>
      <c r="G254" s="33" t="s">
        <v>219</v>
      </c>
      <c r="H254" s="33" t="s">
        <v>220</v>
      </c>
      <c r="I254" s="33" t="s">
        <v>221</v>
      </c>
      <c r="J254" s="33">
        <v>53.06</v>
      </c>
      <c r="K254" s="33">
        <v>2.98E-2</v>
      </c>
      <c r="L254" s="33">
        <v>2.7300000000000001E-2</v>
      </c>
      <c r="Q254" s="33" t="s">
        <v>222</v>
      </c>
      <c r="R254" s="33" t="s">
        <v>208</v>
      </c>
    </row>
    <row r="255" spans="1:18" ht="69" hidden="1" x14ac:dyDescent="0.25">
      <c r="A255" s="33" t="s">
        <v>123</v>
      </c>
      <c r="B255" s="33" t="s">
        <v>67</v>
      </c>
      <c r="C255" s="33" t="s">
        <v>202</v>
      </c>
      <c r="D255" s="33" t="s">
        <v>5</v>
      </c>
      <c r="E255" s="33" t="s">
        <v>203</v>
      </c>
      <c r="F255" s="33" t="s">
        <v>19</v>
      </c>
      <c r="G255" s="33" t="s">
        <v>219</v>
      </c>
      <c r="H255" s="33" t="s">
        <v>220</v>
      </c>
      <c r="I255" s="33" t="s">
        <v>221</v>
      </c>
      <c r="J255" s="33">
        <v>53.06</v>
      </c>
      <c r="K255" s="33">
        <v>2.98E-2</v>
      </c>
      <c r="L255" s="33">
        <v>2.7300000000000001E-2</v>
      </c>
      <c r="Q255" s="33" t="s">
        <v>222</v>
      </c>
      <c r="R255" s="33" t="s">
        <v>208</v>
      </c>
    </row>
    <row r="256" spans="1:18" ht="69" x14ac:dyDescent="0.25">
      <c r="A256" s="33" t="s">
        <v>123</v>
      </c>
      <c r="B256" s="33" t="s">
        <v>68</v>
      </c>
      <c r="C256" s="33" t="s">
        <v>202</v>
      </c>
      <c r="D256" s="33" t="s">
        <v>5</v>
      </c>
      <c r="E256" s="33" t="s">
        <v>203</v>
      </c>
      <c r="F256" s="33" t="s">
        <v>19</v>
      </c>
      <c r="G256" s="33" t="s">
        <v>219</v>
      </c>
      <c r="H256" s="33" t="s">
        <v>220</v>
      </c>
      <c r="I256" s="33" t="s">
        <v>221</v>
      </c>
      <c r="J256" s="33">
        <v>53.06</v>
      </c>
      <c r="K256" s="33">
        <v>2.98E-2</v>
      </c>
      <c r="L256" s="33">
        <v>2.7300000000000001E-2</v>
      </c>
      <c r="Q256" s="33" t="s">
        <v>222</v>
      </c>
      <c r="R256" s="33" t="s">
        <v>208</v>
      </c>
    </row>
    <row r="257" spans="1:18" ht="69" hidden="1" x14ac:dyDescent="0.25">
      <c r="A257" s="33" t="s">
        <v>123</v>
      </c>
      <c r="B257" s="33" t="s">
        <v>77</v>
      </c>
      <c r="C257" s="33" t="s">
        <v>202</v>
      </c>
      <c r="D257" s="33" t="s">
        <v>5</v>
      </c>
      <c r="E257" s="33" t="s">
        <v>203</v>
      </c>
      <c r="F257" s="33" t="s">
        <v>19</v>
      </c>
      <c r="G257" s="33" t="s">
        <v>219</v>
      </c>
      <c r="H257" s="33" t="s">
        <v>220</v>
      </c>
      <c r="I257" s="33" t="s">
        <v>221</v>
      </c>
      <c r="J257" s="33">
        <v>53.06</v>
      </c>
      <c r="K257" s="33">
        <v>2.98E-2</v>
      </c>
      <c r="L257" s="33">
        <v>2.7300000000000001E-2</v>
      </c>
      <c r="Q257" s="33" t="s">
        <v>222</v>
      </c>
      <c r="R257" s="33" t="s">
        <v>208</v>
      </c>
    </row>
    <row r="258" spans="1:18" ht="69" hidden="1" x14ac:dyDescent="0.25">
      <c r="A258" s="33" t="s">
        <v>113</v>
      </c>
      <c r="B258" s="33" t="s">
        <v>56</v>
      </c>
      <c r="C258" s="33" t="s">
        <v>202</v>
      </c>
      <c r="D258" s="33" t="s">
        <v>5</v>
      </c>
      <c r="E258" s="33" t="s">
        <v>203</v>
      </c>
      <c r="F258" s="33" t="s">
        <v>19</v>
      </c>
      <c r="G258" s="33" t="s">
        <v>219</v>
      </c>
      <c r="H258" s="33" t="s">
        <v>220</v>
      </c>
      <c r="I258" s="33" t="s">
        <v>221</v>
      </c>
      <c r="J258" s="33">
        <v>53.06</v>
      </c>
      <c r="K258" s="33">
        <v>2.98E-2</v>
      </c>
      <c r="L258" s="33">
        <v>2.7300000000000001E-2</v>
      </c>
      <c r="Q258" s="33" t="s">
        <v>222</v>
      </c>
      <c r="R258" s="33" t="s">
        <v>208</v>
      </c>
    </row>
    <row r="259" spans="1:18" ht="69" hidden="1" x14ac:dyDescent="0.25">
      <c r="A259" s="33" t="s">
        <v>113</v>
      </c>
      <c r="B259" s="33" t="s">
        <v>62</v>
      </c>
      <c r="C259" s="33" t="s">
        <v>202</v>
      </c>
      <c r="D259" s="33" t="s">
        <v>5</v>
      </c>
      <c r="E259" s="33" t="s">
        <v>203</v>
      </c>
      <c r="F259" s="33" t="s">
        <v>19</v>
      </c>
      <c r="G259" s="33" t="s">
        <v>219</v>
      </c>
      <c r="H259" s="33" t="s">
        <v>220</v>
      </c>
      <c r="I259" s="33" t="s">
        <v>221</v>
      </c>
      <c r="J259" s="33">
        <v>53.06</v>
      </c>
      <c r="K259" s="33">
        <v>2.98E-2</v>
      </c>
      <c r="L259" s="33">
        <v>2.7300000000000001E-2</v>
      </c>
      <c r="Q259" s="33" t="s">
        <v>222</v>
      </c>
      <c r="R259" s="33" t="s">
        <v>208</v>
      </c>
    </row>
    <row r="260" spans="1:18" ht="69" hidden="1" x14ac:dyDescent="0.25">
      <c r="A260" s="33" t="s">
        <v>113</v>
      </c>
      <c r="B260" s="33" t="s">
        <v>65</v>
      </c>
      <c r="C260" s="33" t="s">
        <v>202</v>
      </c>
      <c r="D260" s="33" t="s">
        <v>5</v>
      </c>
      <c r="E260" s="33" t="s">
        <v>203</v>
      </c>
      <c r="F260" s="33" t="s">
        <v>19</v>
      </c>
      <c r="G260" s="33" t="s">
        <v>219</v>
      </c>
      <c r="H260" s="33" t="s">
        <v>220</v>
      </c>
      <c r="I260" s="33" t="s">
        <v>221</v>
      </c>
      <c r="J260" s="33">
        <v>53.06</v>
      </c>
      <c r="K260" s="33">
        <v>2.98E-2</v>
      </c>
      <c r="L260" s="33">
        <v>2.7300000000000001E-2</v>
      </c>
      <c r="Q260" s="33" t="s">
        <v>222</v>
      </c>
      <c r="R260" s="33" t="s">
        <v>208</v>
      </c>
    </row>
    <row r="261" spans="1:18" ht="69" hidden="1" x14ac:dyDescent="0.25">
      <c r="A261" s="33" t="s">
        <v>172</v>
      </c>
      <c r="B261" s="33" t="s">
        <v>78</v>
      </c>
      <c r="C261" s="33" t="s">
        <v>202</v>
      </c>
      <c r="D261" s="33" t="s">
        <v>5</v>
      </c>
      <c r="E261" s="33" t="s">
        <v>203</v>
      </c>
      <c r="F261" s="33" t="s">
        <v>19</v>
      </c>
      <c r="G261" s="33" t="s">
        <v>219</v>
      </c>
      <c r="H261" s="33" t="s">
        <v>220</v>
      </c>
      <c r="I261" s="33" t="s">
        <v>221</v>
      </c>
      <c r="J261" s="33">
        <v>53.06</v>
      </c>
      <c r="K261" s="33">
        <v>2.98E-2</v>
      </c>
      <c r="L261" s="33">
        <v>2.7300000000000001E-2</v>
      </c>
      <c r="Q261" s="33" t="s">
        <v>222</v>
      </c>
      <c r="R261" s="33" t="s">
        <v>208</v>
      </c>
    </row>
    <row r="262" spans="1:18" ht="69" hidden="1" x14ac:dyDescent="0.25">
      <c r="A262" s="33" t="s">
        <v>118</v>
      </c>
      <c r="B262" s="33" t="s">
        <v>57</v>
      </c>
      <c r="C262" s="33" t="s">
        <v>202</v>
      </c>
      <c r="D262" s="33" t="s">
        <v>5</v>
      </c>
      <c r="E262" s="33" t="s">
        <v>203</v>
      </c>
      <c r="F262" s="33" t="s">
        <v>19</v>
      </c>
      <c r="G262" s="33" t="s">
        <v>219</v>
      </c>
      <c r="H262" s="33" t="s">
        <v>220</v>
      </c>
      <c r="I262" s="33" t="s">
        <v>221</v>
      </c>
      <c r="J262" s="33">
        <v>53.06</v>
      </c>
      <c r="K262" s="33">
        <v>2.98E-2</v>
      </c>
      <c r="L262" s="33">
        <v>2.7300000000000001E-2</v>
      </c>
      <c r="Q262" s="33" t="s">
        <v>222</v>
      </c>
      <c r="R262" s="33" t="s">
        <v>208</v>
      </c>
    </row>
    <row r="263" spans="1:18" ht="69" hidden="1" x14ac:dyDescent="0.25">
      <c r="A263" s="33" t="s">
        <v>118</v>
      </c>
      <c r="B263" s="33" t="s">
        <v>58</v>
      </c>
      <c r="C263" s="33" t="s">
        <v>202</v>
      </c>
      <c r="D263" s="33" t="s">
        <v>5</v>
      </c>
      <c r="E263" s="33" t="s">
        <v>203</v>
      </c>
      <c r="F263" s="33" t="s">
        <v>19</v>
      </c>
      <c r="G263" s="33" t="s">
        <v>219</v>
      </c>
      <c r="H263" s="33" t="s">
        <v>220</v>
      </c>
      <c r="I263" s="33" t="s">
        <v>221</v>
      </c>
      <c r="J263" s="33">
        <v>53.06</v>
      </c>
      <c r="K263" s="33">
        <v>2.98E-2</v>
      </c>
      <c r="L263" s="33">
        <v>2.7300000000000001E-2</v>
      </c>
      <c r="Q263" s="33" t="s">
        <v>222</v>
      </c>
      <c r="R263" s="33" t="s">
        <v>208</v>
      </c>
    </row>
    <row r="264" spans="1:18" ht="69" hidden="1" x14ac:dyDescent="0.25">
      <c r="A264" s="33" t="s">
        <v>118</v>
      </c>
      <c r="B264" s="33" t="s">
        <v>69</v>
      </c>
      <c r="C264" s="33" t="s">
        <v>202</v>
      </c>
      <c r="D264" s="33" t="s">
        <v>5</v>
      </c>
      <c r="E264" s="33" t="s">
        <v>203</v>
      </c>
      <c r="F264" s="33" t="s">
        <v>19</v>
      </c>
      <c r="G264" s="33" t="s">
        <v>219</v>
      </c>
      <c r="H264" s="33" t="s">
        <v>220</v>
      </c>
      <c r="I264" s="33" t="s">
        <v>221</v>
      </c>
      <c r="J264" s="33">
        <v>53.06</v>
      </c>
      <c r="K264" s="33">
        <v>2.98E-2</v>
      </c>
      <c r="L264" s="33">
        <v>2.7300000000000001E-2</v>
      </c>
      <c r="Q264" s="33" t="s">
        <v>222</v>
      </c>
      <c r="R264" s="33" t="s">
        <v>208</v>
      </c>
    </row>
    <row r="265" spans="1:18" ht="69" hidden="1" x14ac:dyDescent="0.25">
      <c r="A265" s="33" t="s">
        <v>118</v>
      </c>
      <c r="B265" s="33" t="s">
        <v>70</v>
      </c>
      <c r="C265" s="33" t="s">
        <v>202</v>
      </c>
      <c r="D265" s="33" t="s">
        <v>5</v>
      </c>
      <c r="E265" s="33" t="s">
        <v>203</v>
      </c>
      <c r="F265" s="33" t="s">
        <v>19</v>
      </c>
      <c r="G265" s="33" t="s">
        <v>219</v>
      </c>
      <c r="H265" s="33" t="s">
        <v>220</v>
      </c>
      <c r="I265" s="33" t="s">
        <v>221</v>
      </c>
      <c r="J265" s="33">
        <v>53.06</v>
      </c>
      <c r="K265" s="33">
        <v>2.98E-2</v>
      </c>
      <c r="L265" s="33">
        <v>2.7300000000000001E-2</v>
      </c>
      <c r="Q265" s="33" t="s">
        <v>222</v>
      </c>
      <c r="R265" s="33" t="s">
        <v>208</v>
      </c>
    </row>
    <row r="266" spans="1:18" ht="69" hidden="1" x14ac:dyDescent="0.25">
      <c r="A266" s="33" t="s">
        <v>118</v>
      </c>
      <c r="B266" s="33" t="s">
        <v>71</v>
      </c>
      <c r="C266" s="33" t="s">
        <v>202</v>
      </c>
      <c r="D266" s="33" t="s">
        <v>5</v>
      </c>
      <c r="E266" s="33" t="s">
        <v>203</v>
      </c>
      <c r="F266" s="33" t="s">
        <v>19</v>
      </c>
      <c r="G266" s="33" t="s">
        <v>219</v>
      </c>
      <c r="H266" s="33" t="s">
        <v>220</v>
      </c>
      <c r="I266" s="33" t="s">
        <v>221</v>
      </c>
      <c r="J266" s="33">
        <v>53.06</v>
      </c>
      <c r="K266" s="33">
        <v>2.98E-2</v>
      </c>
      <c r="L266" s="33">
        <v>2.7300000000000001E-2</v>
      </c>
      <c r="Q266" s="33" t="s">
        <v>222</v>
      </c>
      <c r="R266" s="33" t="s">
        <v>208</v>
      </c>
    </row>
    <row r="267" spans="1:18" ht="69" hidden="1" x14ac:dyDescent="0.25">
      <c r="A267" s="33" t="s">
        <v>118</v>
      </c>
      <c r="B267" s="33" t="s">
        <v>73</v>
      </c>
      <c r="C267" s="33" t="s">
        <v>202</v>
      </c>
      <c r="D267" s="33" t="s">
        <v>5</v>
      </c>
      <c r="E267" s="33" t="s">
        <v>203</v>
      </c>
      <c r="F267" s="33" t="s">
        <v>19</v>
      </c>
      <c r="G267" s="33" t="s">
        <v>219</v>
      </c>
      <c r="H267" s="33" t="s">
        <v>220</v>
      </c>
      <c r="I267" s="33" t="s">
        <v>221</v>
      </c>
      <c r="J267" s="33">
        <v>53.06</v>
      </c>
      <c r="K267" s="33">
        <v>2.98E-2</v>
      </c>
      <c r="L267" s="33">
        <v>2.7300000000000001E-2</v>
      </c>
      <c r="Q267" s="33" t="s">
        <v>222</v>
      </c>
      <c r="R267" s="33" t="s">
        <v>208</v>
      </c>
    </row>
    <row r="268" spans="1:18" ht="69" hidden="1" x14ac:dyDescent="0.25">
      <c r="A268" s="33" t="s">
        <v>118</v>
      </c>
      <c r="B268" s="33" t="s">
        <v>74</v>
      </c>
      <c r="C268" s="33" t="s">
        <v>202</v>
      </c>
      <c r="D268" s="33" t="s">
        <v>5</v>
      </c>
      <c r="E268" s="33" t="s">
        <v>203</v>
      </c>
      <c r="F268" s="33" t="s">
        <v>19</v>
      </c>
      <c r="G268" s="33" t="s">
        <v>219</v>
      </c>
      <c r="H268" s="33" t="s">
        <v>220</v>
      </c>
      <c r="I268" s="33" t="s">
        <v>221</v>
      </c>
      <c r="J268" s="33">
        <v>53.06</v>
      </c>
      <c r="K268" s="33">
        <v>2.98E-2</v>
      </c>
      <c r="L268" s="33">
        <v>2.7300000000000001E-2</v>
      </c>
      <c r="Q268" s="33" t="s">
        <v>222</v>
      </c>
      <c r="R268" s="33" t="s">
        <v>208</v>
      </c>
    </row>
    <row r="269" spans="1:18" ht="69" hidden="1" x14ac:dyDescent="0.25">
      <c r="A269" s="33" t="s">
        <v>118</v>
      </c>
      <c r="B269" s="33" t="s">
        <v>75</v>
      </c>
      <c r="C269" s="33" t="s">
        <v>202</v>
      </c>
      <c r="D269" s="33" t="s">
        <v>5</v>
      </c>
      <c r="E269" s="33" t="s">
        <v>203</v>
      </c>
      <c r="F269" s="33" t="s">
        <v>19</v>
      </c>
      <c r="G269" s="33" t="s">
        <v>219</v>
      </c>
      <c r="H269" s="33" t="s">
        <v>220</v>
      </c>
      <c r="I269" s="33" t="s">
        <v>221</v>
      </c>
      <c r="J269" s="33">
        <v>53.06</v>
      </c>
      <c r="K269" s="33">
        <v>2.98E-2</v>
      </c>
      <c r="L269" s="33">
        <v>2.7300000000000001E-2</v>
      </c>
      <c r="Q269" s="33" t="s">
        <v>222</v>
      </c>
      <c r="R269" s="33" t="s">
        <v>208</v>
      </c>
    </row>
    <row r="270" spans="1:18" ht="69" hidden="1" x14ac:dyDescent="0.25">
      <c r="A270" s="33" t="s">
        <v>118</v>
      </c>
      <c r="B270" s="33" t="s">
        <v>76</v>
      </c>
      <c r="C270" s="33" t="s">
        <v>202</v>
      </c>
      <c r="D270" s="33" t="s">
        <v>5</v>
      </c>
      <c r="E270" s="33" t="s">
        <v>203</v>
      </c>
      <c r="F270" s="33" t="s">
        <v>19</v>
      </c>
      <c r="G270" s="33" t="s">
        <v>219</v>
      </c>
      <c r="H270" s="33" t="s">
        <v>220</v>
      </c>
      <c r="I270" s="33" t="s">
        <v>221</v>
      </c>
      <c r="J270" s="33">
        <v>53.06</v>
      </c>
      <c r="K270" s="33">
        <v>2.98E-2</v>
      </c>
      <c r="L270" s="33">
        <v>2.7300000000000001E-2</v>
      </c>
      <c r="Q270" s="33" t="s">
        <v>222</v>
      </c>
      <c r="R270" s="33" t="s">
        <v>208</v>
      </c>
    </row>
    <row r="271" spans="1:18" ht="69" hidden="1" x14ac:dyDescent="0.25">
      <c r="A271" s="33" t="s">
        <v>108</v>
      </c>
      <c r="B271" s="33" t="s">
        <v>55</v>
      </c>
      <c r="C271" s="33" t="s">
        <v>202</v>
      </c>
      <c r="D271" s="33" t="s">
        <v>5</v>
      </c>
      <c r="E271" s="33" t="s">
        <v>203</v>
      </c>
      <c r="F271" s="33" t="s">
        <v>20</v>
      </c>
      <c r="G271" s="33" t="s">
        <v>219</v>
      </c>
      <c r="H271" s="33" t="s">
        <v>220</v>
      </c>
      <c r="I271" s="33" t="s">
        <v>221</v>
      </c>
      <c r="J271" s="33">
        <v>62.87</v>
      </c>
      <c r="K271" s="33">
        <v>8.9399999999999993E-2</v>
      </c>
      <c r="L271" s="33">
        <v>0.1638</v>
      </c>
      <c r="Q271" s="33" t="s">
        <v>222</v>
      </c>
      <c r="R271" s="33" t="s">
        <v>208</v>
      </c>
    </row>
    <row r="272" spans="1:18" ht="69" hidden="1" x14ac:dyDescent="0.25">
      <c r="A272" s="33" t="s">
        <v>108</v>
      </c>
      <c r="B272" s="33" t="s">
        <v>61</v>
      </c>
      <c r="C272" s="33" t="s">
        <v>202</v>
      </c>
      <c r="D272" s="33" t="s">
        <v>5</v>
      </c>
      <c r="E272" s="33" t="s">
        <v>203</v>
      </c>
      <c r="F272" s="33" t="s">
        <v>20</v>
      </c>
      <c r="G272" s="33" t="s">
        <v>219</v>
      </c>
      <c r="H272" s="33" t="s">
        <v>220</v>
      </c>
      <c r="I272" s="33" t="s">
        <v>221</v>
      </c>
      <c r="J272" s="33">
        <v>62.87</v>
      </c>
      <c r="K272" s="33">
        <v>8.9399999999999993E-2</v>
      </c>
      <c r="L272" s="33">
        <v>0.1638</v>
      </c>
      <c r="Q272" s="33" t="s">
        <v>222</v>
      </c>
      <c r="R272" s="33" t="s">
        <v>208</v>
      </c>
    </row>
    <row r="273" spans="1:18" ht="69" hidden="1" x14ac:dyDescent="0.25">
      <c r="A273" s="33" t="s">
        <v>157</v>
      </c>
      <c r="B273" s="33" t="s">
        <v>72</v>
      </c>
      <c r="C273" s="33" t="s">
        <v>202</v>
      </c>
      <c r="D273" s="33" t="s">
        <v>5</v>
      </c>
      <c r="E273" s="33" t="s">
        <v>203</v>
      </c>
      <c r="F273" s="33" t="s">
        <v>20</v>
      </c>
      <c r="G273" s="33" t="s">
        <v>219</v>
      </c>
      <c r="H273" s="33" t="s">
        <v>220</v>
      </c>
      <c r="I273" s="33" t="s">
        <v>221</v>
      </c>
      <c r="J273" s="33">
        <v>62.87</v>
      </c>
      <c r="K273" s="33">
        <v>8.9399999999999993E-2</v>
      </c>
      <c r="L273" s="33">
        <v>0.1638</v>
      </c>
      <c r="Q273" s="33" t="s">
        <v>222</v>
      </c>
      <c r="R273" s="33" t="s">
        <v>208</v>
      </c>
    </row>
    <row r="274" spans="1:18" ht="69" hidden="1" x14ac:dyDescent="0.25">
      <c r="A274" s="33" t="s">
        <v>123</v>
      </c>
      <c r="B274" s="33" t="s">
        <v>59</v>
      </c>
      <c r="C274" s="33" t="s">
        <v>202</v>
      </c>
      <c r="D274" s="33" t="s">
        <v>5</v>
      </c>
      <c r="E274" s="33" t="s">
        <v>203</v>
      </c>
      <c r="F274" s="33" t="s">
        <v>20</v>
      </c>
      <c r="G274" s="33" t="s">
        <v>219</v>
      </c>
      <c r="H274" s="33" t="s">
        <v>220</v>
      </c>
      <c r="I274" s="33" t="s">
        <v>221</v>
      </c>
      <c r="J274" s="33">
        <v>62.87</v>
      </c>
      <c r="K274" s="33">
        <v>8.9399999999999993E-2</v>
      </c>
      <c r="L274" s="33">
        <v>0.1638</v>
      </c>
      <c r="Q274" s="33" t="s">
        <v>222</v>
      </c>
      <c r="R274" s="33" t="s">
        <v>208</v>
      </c>
    </row>
    <row r="275" spans="1:18" ht="69" hidden="1" x14ac:dyDescent="0.25">
      <c r="A275" s="33" t="s">
        <v>123</v>
      </c>
      <c r="B275" s="33" t="s">
        <v>60</v>
      </c>
      <c r="C275" s="33" t="s">
        <v>202</v>
      </c>
      <c r="D275" s="33" t="s">
        <v>5</v>
      </c>
      <c r="E275" s="33" t="s">
        <v>203</v>
      </c>
      <c r="F275" s="33" t="s">
        <v>20</v>
      </c>
      <c r="G275" s="33" t="s">
        <v>219</v>
      </c>
      <c r="H275" s="33" t="s">
        <v>220</v>
      </c>
      <c r="I275" s="33" t="s">
        <v>221</v>
      </c>
      <c r="J275" s="33">
        <v>62.87</v>
      </c>
      <c r="K275" s="33">
        <v>8.9399999999999993E-2</v>
      </c>
      <c r="L275" s="33">
        <v>0.1638</v>
      </c>
      <c r="Q275" s="33" t="s">
        <v>222</v>
      </c>
      <c r="R275" s="33" t="s">
        <v>208</v>
      </c>
    </row>
    <row r="276" spans="1:18" ht="69" hidden="1" x14ac:dyDescent="0.25">
      <c r="A276" s="33" t="s">
        <v>123</v>
      </c>
      <c r="B276" s="33" t="s">
        <v>63</v>
      </c>
      <c r="C276" s="33" t="s">
        <v>202</v>
      </c>
      <c r="D276" s="33" t="s">
        <v>5</v>
      </c>
      <c r="E276" s="33" t="s">
        <v>203</v>
      </c>
      <c r="F276" s="33" t="s">
        <v>20</v>
      </c>
      <c r="G276" s="33" t="s">
        <v>219</v>
      </c>
      <c r="H276" s="33" t="s">
        <v>220</v>
      </c>
      <c r="I276" s="33" t="s">
        <v>221</v>
      </c>
      <c r="J276" s="33">
        <v>62.87</v>
      </c>
      <c r="K276" s="33">
        <v>8.9399999999999993E-2</v>
      </c>
      <c r="L276" s="33">
        <v>0.1638</v>
      </c>
      <c r="Q276" s="33" t="s">
        <v>222</v>
      </c>
      <c r="R276" s="33" t="s">
        <v>208</v>
      </c>
    </row>
    <row r="277" spans="1:18" ht="69" hidden="1" x14ac:dyDescent="0.25">
      <c r="A277" s="33" t="s">
        <v>123</v>
      </c>
      <c r="B277" s="33" t="s">
        <v>64</v>
      </c>
      <c r="C277" s="33" t="s">
        <v>202</v>
      </c>
      <c r="D277" s="33" t="s">
        <v>5</v>
      </c>
      <c r="E277" s="33" t="s">
        <v>203</v>
      </c>
      <c r="F277" s="33" t="s">
        <v>20</v>
      </c>
      <c r="G277" s="33" t="s">
        <v>219</v>
      </c>
      <c r="H277" s="33" t="s">
        <v>220</v>
      </c>
      <c r="I277" s="33" t="s">
        <v>221</v>
      </c>
      <c r="J277" s="33">
        <v>62.87</v>
      </c>
      <c r="K277" s="33">
        <v>8.9399999999999993E-2</v>
      </c>
      <c r="L277" s="33">
        <v>0.1638</v>
      </c>
      <c r="Q277" s="33" t="s">
        <v>222</v>
      </c>
      <c r="R277" s="33" t="s">
        <v>208</v>
      </c>
    </row>
    <row r="278" spans="1:18" ht="69" hidden="1" x14ac:dyDescent="0.25">
      <c r="A278" s="33" t="s">
        <v>123</v>
      </c>
      <c r="B278" s="33" t="s">
        <v>66</v>
      </c>
      <c r="C278" s="33" t="s">
        <v>202</v>
      </c>
      <c r="D278" s="33" t="s">
        <v>5</v>
      </c>
      <c r="E278" s="33" t="s">
        <v>203</v>
      </c>
      <c r="F278" s="33" t="s">
        <v>20</v>
      </c>
      <c r="G278" s="33" t="s">
        <v>219</v>
      </c>
      <c r="H278" s="33" t="s">
        <v>220</v>
      </c>
      <c r="I278" s="33" t="s">
        <v>221</v>
      </c>
      <c r="J278" s="33">
        <v>62.87</v>
      </c>
      <c r="K278" s="33">
        <v>8.9399999999999993E-2</v>
      </c>
      <c r="L278" s="33">
        <v>0.1638</v>
      </c>
      <c r="Q278" s="33" t="s">
        <v>222</v>
      </c>
      <c r="R278" s="33" t="s">
        <v>208</v>
      </c>
    </row>
    <row r="279" spans="1:18" ht="69" hidden="1" x14ac:dyDescent="0.25">
      <c r="A279" s="33" t="s">
        <v>123</v>
      </c>
      <c r="B279" s="33" t="s">
        <v>67</v>
      </c>
      <c r="C279" s="33" t="s">
        <v>202</v>
      </c>
      <c r="D279" s="33" t="s">
        <v>5</v>
      </c>
      <c r="E279" s="33" t="s">
        <v>203</v>
      </c>
      <c r="F279" s="33" t="s">
        <v>20</v>
      </c>
      <c r="G279" s="33" t="s">
        <v>219</v>
      </c>
      <c r="H279" s="33" t="s">
        <v>220</v>
      </c>
      <c r="I279" s="33" t="s">
        <v>221</v>
      </c>
      <c r="J279" s="33">
        <v>62.87</v>
      </c>
      <c r="K279" s="33">
        <v>8.9399999999999993E-2</v>
      </c>
      <c r="L279" s="33">
        <v>0.1638</v>
      </c>
      <c r="Q279" s="33" t="s">
        <v>222</v>
      </c>
      <c r="R279" s="33" t="s">
        <v>208</v>
      </c>
    </row>
    <row r="280" spans="1:18" ht="69" x14ac:dyDescent="0.25">
      <c r="A280" s="33" t="s">
        <v>123</v>
      </c>
      <c r="B280" s="33" t="s">
        <v>68</v>
      </c>
      <c r="C280" s="33" t="s">
        <v>202</v>
      </c>
      <c r="D280" s="33" t="s">
        <v>5</v>
      </c>
      <c r="E280" s="33" t="s">
        <v>203</v>
      </c>
      <c r="F280" s="33" t="s">
        <v>20</v>
      </c>
      <c r="G280" s="33" t="s">
        <v>219</v>
      </c>
      <c r="H280" s="33" t="s">
        <v>220</v>
      </c>
      <c r="I280" s="33" t="s">
        <v>221</v>
      </c>
      <c r="J280" s="33">
        <v>62.87</v>
      </c>
      <c r="K280" s="33">
        <v>8.9399999999999993E-2</v>
      </c>
      <c r="L280" s="33">
        <v>0.1638</v>
      </c>
      <c r="Q280" s="33" t="s">
        <v>222</v>
      </c>
      <c r="R280" s="33" t="s">
        <v>208</v>
      </c>
    </row>
    <row r="281" spans="1:18" ht="69" hidden="1" x14ac:dyDescent="0.25">
      <c r="A281" s="33" t="s">
        <v>123</v>
      </c>
      <c r="B281" s="33" t="s">
        <v>77</v>
      </c>
      <c r="C281" s="33" t="s">
        <v>202</v>
      </c>
      <c r="D281" s="33" t="s">
        <v>5</v>
      </c>
      <c r="E281" s="33" t="s">
        <v>203</v>
      </c>
      <c r="F281" s="33" t="s">
        <v>20</v>
      </c>
      <c r="G281" s="33" t="s">
        <v>219</v>
      </c>
      <c r="H281" s="33" t="s">
        <v>220</v>
      </c>
      <c r="I281" s="33" t="s">
        <v>221</v>
      </c>
      <c r="J281" s="33">
        <v>62.87</v>
      </c>
      <c r="K281" s="33">
        <v>8.9399999999999993E-2</v>
      </c>
      <c r="L281" s="33">
        <v>0.1638</v>
      </c>
      <c r="Q281" s="33" t="s">
        <v>222</v>
      </c>
      <c r="R281" s="33" t="s">
        <v>208</v>
      </c>
    </row>
    <row r="282" spans="1:18" ht="69" hidden="1" x14ac:dyDescent="0.25">
      <c r="A282" s="33" t="s">
        <v>113</v>
      </c>
      <c r="B282" s="33" t="s">
        <v>56</v>
      </c>
      <c r="C282" s="33" t="s">
        <v>202</v>
      </c>
      <c r="D282" s="33" t="s">
        <v>5</v>
      </c>
      <c r="E282" s="33" t="s">
        <v>203</v>
      </c>
      <c r="F282" s="33" t="s">
        <v>20</v>
      </c>
      <c r="G282" s="33" t="s">
        <v>219</v>
      </c>
      <c r="H282" s="33" t="s">
        <v>220</v>
      </c>
      <c r="I282" s="33" t="s">
        <v>221</v>
      </c>
      <c r="J282" s="33">
        <v>62.87</v>
      </c>
      <c r="K282" s="33">
        <v>8.9399999999999993E-2</v>
      </c>
      <c r="L282" s="33">
        <v>0.1638</v>
      </c>
      <c r="Q282" s="33" t="s">
        <v>222</v>
      </c>
      <c r="R282" s="33" t="s">
        <v>208</v>
      </c>
    </row>
    <row r="283" spans="1:18" ht="69" hidden="1" x14ac:dyDescent="0.25">
      <c r="A283" s="33" t="s">
        <v>113</v>
      </c>
      <c r="B283" s="33" t="s">
        <v>62</v>
      </c>
      <c r="C283" s="33" t="s">
        <v>202</v>
      </c>
      <c r="D283" s="33" t="s">
        <v>5</v>
      </c>
      <c r="E283" s="33" t="s">
        <v>203</v>
      </c>
      <c r="F283" s="33" t="s">
        <v>20</v>
      </c>
      <c r="G283" s="33" t="s">
        <v>219</v>
      </c>
      <c r="H283" s="33" t="s">
        <v>220</v>
      </c>
      <c r="I283" s="33" t="s">
        <v>221</v>
      </c>
      <c r="J283" s="33">
        <v>62.87</v>
      </c>
      <c r="K283" s="33">
        <v>8.9399999999999993E-2</v>
      </c>
      <c r="L283" s="33">
        <v>0.1638</v>
      </c>
      <c r="Q283" s="33" t="s">
        <v>222</v>
      </c>
      <c r="R283" s="33" t="s">
        <v>208</v>
      </c>
    </row>
    <row r="284" spans="1:18" ht="69" hidden="1" x14ac:dyDescent="0.25">
      <c r="A284" s="33" t="s">
        <v>113</v>
      </c>
      <c r="B284" s="33" t="s">
        <v>65</v>
      </c>
      <c r="C284" s="33" t="s">
        <v>202</v>
      </c>
      <c r="D284" s="33" t="s">
        <v>5</v>
      </c>
      <c r="E284" s="33" t="s">
        <v>203</v>
      </c>
      <c r="F284" s="33" t="s">
        <v>20</v>
      </c>
      <c r="G284" s="33" t="s">
        <v>219</v>
      </c>
      <c r="H284" s="33" t="s">
        <v>220</v>
      </c>
      <c r="I284" s="33" t="s">
        <v>221</v>
      </c>
      <c r="J284" s="33">
        <v>62.87</v>
      </c>
      <c r="K284" s="33">
        <v>8.9399999999999993E-2</v>
      </c>
      <c r="L284" s="33">
        <v>0.1638</v>
      </c>
      <c r="Q284" s="33" t="s">
        <v>222</v>
      </c>
      <c r="R284" s="33" t="s">
        <v>208</v>
      </c>
    </row>
    <row r="285" spans="1:18" ht="69" hidden="1" x14ac:dyDescent="0.25">
      <c r="A285" s="33" t="s">
        <v>172</v>
      </c>
      <c r="B285" s="33" t="s">
        <v>78</v>
      </c>
      <c r="C285" s="33" t="s">
        <v>202</v>
      </c>
      <c r="D285" s="33" t="s">
        <v>5</v>
      </c>
      <c r="E285" s="33" t="s">
        <v>203</v>
      </c>
      <c r="F285" s="33" t="s">
        <v>20</v>
      </c>
      <c r="G285" s="33" t="s">
        <v>219</v>
      </c>
      <c r="H285" s="33" t="s">
        <v>220</v>
      </c>
      <c r="I285" s="33" t="s">
        <v>221</v>
      </c>
      <c r="J285" s="33">
        <v>62.87</v>
      </c>
      <c r="K285" s="33">
        <v>8.9399999999999993E-2</v>
      </c>
      <c r="L285" s="33">
        <v>0.1638</v>
      </c>
      <c r="Q285" s="33" t="s">
        <v>222</v>
      </c>
      <c r="R285" s="33" t="s">
        <v>208</v>
      </c>
    </row>
    <row r="286" spans="1:18" ht="69" hidden="1" x14ac:dyDescent="0.25">
      <c r="A286" s="33" t="s">
        <v>118</v>
      </c>
      <c r="B286" s="33" t="s">
        <v>57</v>
      </c>
      <c r="C286" s="33" t="s">
        <v>202</v>
      </c>
      <c r="D286" s="33" t="s">
        <v>5</v>
      </c>
      <c r="E286" s="33" t="s">
        <v>203</v>
      </c>
      <c r="F286" s="33" t="s">
        <v>20</v>
      </c>
      <c r="G286" s="33" t="s">
        <v>219</v>
      </c>
      <c r="H286" s="33" t="s">
        <v>220</v>
      </c>
      <c r="I286" s="33" t="s">
        <v>221</v>
      </c>
      <c r="J286" s="33">
        <v>62.87</v>
      </c>
      <c r="K286" s="33">
        <v>8.9399999999999993E-2</v>
      </c>
      <c r="L286" s="33">
        <v>0.1638</v>
      </c>
      <c r="Q286" s="33" t="s">
        <v>222</v>
      </c>
      <c r="R286" s="33" t="s">
        <v>208</v>
      </c>
    </row>
    <row r="287" spans="1:18" ht="69" hidden="1" x14ac:dyDescent="0.25">
      <c r="A287" s="33" t="s">
        <v>118</v>
      </c>
      <c r="B287" s="33" t="s">
        <v>58</v>
      </c>
      <c r="C287" s="33" t="s">
        <v>202</v>
      </c>
      <c r="D287" s="33" t="s">
        <v>5</v>
      </c>
      <c r="E287" s="33" t="s">
        <v>203</v>
      </c>
      <c r="F287" s="33" t="s">
        <v>20</v>
      </c>
      <c r="G287" s="33" t="s">
        <v>219</v>
      </c>
      <c r="H287" s="33" t="s">
        <v>220</v>
      </c>
      <c r="I287" s="33" t="s">
        <v>221</v>
      </c>
      <c r="J287" s="33">
        <v>62.87</v>
      </c>
      <c r="K287" s="33">
        <v>8.9399999999999993E-2</v>
      </c>
      <c r="L287" s="33">
        <v>0.1638</v>
      </c>
      <c r="Q287" s="33" t="s">
        <v>222</v>
      </c>
      <c r="R287" s="33" t="s">
        <v>208</v>
      </c>
    </row>
    <row r="288" spans="1:18" ht="69" hidden="1" x14ac:dyDescent="0.25">
      <c r="A288" s="33" t="s">
        <v>118</v>
      </c>
      <c r="B288" s="33" t="s">
        <v>69</v>
      </c>
      <c r="C288" s="33" t="s">
        <v>202</v>
      </c>
      <c r="D288" s="33" t="s">
        <v>5</v>
      </c>
      <c r="E288" s="33" t="s">
        <v>203</v>
      </c>
      <c r="F288" s="33" t="s">
        <v>20</v>
      </c>
      <c r="G288" s="33" t="s">
        <v>219</v>
      </c>
      <c r="H288" s="33" t="s">
        <v>220</v>
      </c>
      <c r="I288" s="33" t="s">
        <v>221</v>
      </c>
      <c r="J288" s="33">
        <v>62.87</v>
      </c>
      <c r="K288" s="33">
        <v>8.9399999999999993E-2</v>
      </c>
      <c r="L288" s="33">
        <v>0.1638</v>
      </c>
      <c r="Q288" s="33" t="s">
        <v>222</v>
      </c>
      <c r="R288" s="33" t="s">
        <v>208</v>
      </c>
    </row>
    <row r="289" spans="1:18" ht="69" hidden="1" x14ac:dyDescent="0.25">
      <c r="A289" s="33" t="s">
        <v>118</v>
      </c>
      <c r="B289" s="33" t="s">
        <v>70</v>
      </c>
      <c r="C289" s="33" t="s">
        <v>202</v>
      </c>
      <c r="D289" s="33" t="s">
        <v>5</v>
      </c>
      <c r="E289" s="33" t="s">
        <v>203</v>
      </c>
      <c r="F289" s="33" t="s">
        <v>20</v>
      </c>
      <c r="G289" s="33" t="s">
        <v>219</v>
      </c>
      <c r="H289" s="33" t="s">
        <v>220</v>
      </c>
      <c r="I289" s="33" t="s">
        <v>221</v>
      </c>
      <c r="J289" s="33">
        <v>62.87</v>
      </c>
      <c r="K289" s="33">
        <v>8.9399999999999993E-2</v>
      </c>
      <c r="L289" s="33">
        <v>0.1638</v>
      </c>
      <c r="Q289" s="33" t="s">
        <v>222</v>
      </c>
      <c r="R289" s="33" t="s">
        <v>208</v>
      </c>
    </row>
    <row r="290" spans="1:18" ht="69" hidden="1" x14ac:dyDescent="0.25">
      <c r="A290" s="33" t="s">
        <v>118</v>
      </c>
      <c r="B290" s="33" t="s">
        <v>71</v>
      </c>
      <c r="C290" s="33" t="s">
        <v>202</v>
      </c>
      <c r="D290" s="33" t="s">
        <v>5</v>
      </c>
      <c r="E290" s="33" t="s">
        <v>203</v>
      </c>
      <c r="F290" s="33" t="s">
        <v>20</v>
      </c>
      <c r="G290" s="33" t="s">
        <v>219</v>
      </c>
      <c r="H290" s="33" t="s">
        <v>220</v>
      </c>
      <c r="I290" s="33" t="s">
        <v>221</v>
      </c>
      <c r="J290" s="33">
        <v>62.87</v>
      </c>
      <c r="K290" s="33">
        <v>8.9399999999999993E-2</v>
      </c>
      <c r="L290" s="33">
        <v>0.1638</v>
      </c>
      <c r="Q290" s="33" t="s">
        <v>222</v>
      </c>
      <c r="R290" s="33" t="s">
        <v>208</v>
      </c>
    </row>
    <row r="291" spans="1:18" ht="69" hidden="1" x14ac:dyDescent="0.25">
      <c r="A291" s="33" t="s">
        <v>118</v>
      </c>
      <c r="B291" s="33" t="s">
        <v>73</v>
      </c>
      <c r="C291" s="33" t="s">
        <v>202</v>
      </c>
      <c r="D291" s="33" t="s">
        <v>5</v>
      </c>
      <c r="E291" s="33" t="s">
        <v>203</v>
      </c>
      <c r="F291" s="33" t="s">
        <v>20</v>
      </c>
      <c r="G291" s="33" t="s">
        <v>219</v>
      </c>
      <c r="H291" s="33" t="s">
        <v>220</v>
      </c>
      <c r="I291" s="33" t="s">
        <v>221</v>
      </c>
      <c r="J291" s="33">
        <v>62.87</v>
      </c>
      <c r="K291" s="33">
        <v>8.9399999999999993E-2</v>
      </c>
      <c r="L291" s="33">
        <v>0.1638</v>
      </c>
      <c r="Q291" s="33" t="s">
        <v>222</v>
      </c>
      <c r="R291" s="33" t="s">
        <v>208</v>
      </c>
    </row>
    <row r="292" spans="1:18" ht="69" hidden="1" x14ac:dyDescent="0.25">
      <c r="A292" s="33" t="s">
        <v>118</v>
      </c>
      <c r="B292" s="33" t="s">
        <v>74</v>
      </c>
      <c r="C292" s="33" t="s">
        <v>202</v>
      </c>
      <c r="D292" s="33" t="s">
        <v>5</v>
      </c>
      <c r="E292" s="33" t="s">
        <v>203</v>
      </c>
      <c r="F292" s="33" t="s">
        <v>20</v>
      </c>
      <c r="G292" s="33" t="s">
        <v>219</v>
      </c>
      <c r="H292" s="33" t="s">
        <v>220</v>
      </c>
      <c r="I292" s="33" t="s">
        <v>221</v>
      </c>
      <c r="J292" s="33">
        <v>62.87</v>
      </c>
      <c r="K292" s="33">
        <v>8.9399999999999993E-2</v>
      </c>
      <c r="L292" s="33">
        <v>0.1638</v>
      </c>
      <c r="Q292" s="33" t="s">
        <v>222</v>
      </c>
      <c r="R292" s="33" t="s">
        <v>208</v>
      </c>
    </row>
    <row r="293" spans="1:18" ht="69" hidden="1" x14ac:dyDescent="0.25">
      <c r="A293" s="33" t="s">
        <v>118</v>
      </c>
      <c r="B293" s="33" t="s">
        <v>75</v>
      </c>
      <c r="C293" s="33" t="s">
        <v>202</v>
      </c>
      <c r="D293" s="33" t="s">
        <v>5</v>
      </c>
      <c r="E293" s="33" t="s">
        <v>203</v>
      </c>
      <c r="F293" s="33" t="s">
        <v>20</v>
      </c>
      <c r="G293" s="33" t="s">
        <v>219</v>
      </c>
      <c r="H293" s="33" t="s">
        <v>220</v>
      </c>
      <c r="I293" s="33" t="s">
        <v>221</v>
      </c>
      <c r="J293" s="33">
        <v>62.87</v>
      </c>
      <c r="K293" s="33">
        <v>8.9399999999999993E-2</v>
      </c>
      <c r="L293" s="33">
        <v>0.1638</v>
      </c>
      <c r="Q293" s="33" t="s">
        <v>222</v>
      </c>
      <c r="R293" s="33" t="s">
        <v>208</v>
      </c>
    </row>
    <row r="294" spans="1:18" ht="69" hidden="1" x14ac:dyDescent="0.25">
      <c r="A294" s="33" t="s">
        <v>118</v>
      </c>
      <c r="B294" s="33" t="s">
        <v>76</v>
      </c>
      <c r="C294" s="33" t="s">
        <v>202</v>
      </c>
      <c r="D294" s="33" t="s">
        <v>5</v>
      </c>
      <c r="E294" s="33" t="s">
        <v>203</v>
      </c>
      <c r="F294" s="33" t="s">
        <v>20</v>
      </c>
      <c r="G294" s="33" t="s">
        <v>219</v>
      </c>
      <c r="H294" s="33" t="s">
        <v>220</v>
      </c>
      <c r="I294" s="33" t="s">
        <v>221</v>
      </c>
      <c r="J294" s="33">
        <v>62.87</v>
      </c>
      <c r="K294" s="33">
        <v>8.9399999999999993E-2</v>
      </c>
      <c r="L294" s="33">
        <v>0.1638</v>
      </c>
      <c r="Q294" s="33" t="s">
        <v>222</v>
      </c>
      <c r="R294" s="33" t="s">
        <v>208</v>
      </c>
    </row>
    <row r="295" spans="1:18" hidden="1" x14ac:dyDescent="0.25">
      <c r="A295" s="33" t="s">
        <v>108</v>
      </c>
      <c r="B295" s="33" t="s">
        <v>55</v>
      </c>
      <c r="C295" s="33" t="s">
        <v>208</v>
      </c>
      <c r="D295" s="33" t="s">
        <v>5</v>
      </c>
      <c r="E295" s="33" t="s">
        <v>203</v>
      </c>
      <c r="F295" s="33" t="s">
        <v>22</v>
      </c>
      <c r="G295" s="33" t="s">
        <v>223</v>
      </c>
      <c r="H295" s="33" t="s">
        <v>209</v>
      </c>
      <c r="I295" s="33" t="s">
        <v>209</v>
      </c>
      <c r="M295" s="33">
        <v>1300</v>
      </c>
      <c r="Q295" s="33" t="s">
        <v>224</v>
      </c>
      <c r="R295" s="33" t="s">
        <v>208</v>
      </c>
    </row>
    <row r="296" spans="1:18" hidden="1" x14ac:dyDescent="0.25">
      <c r="A296" s="33" t="s">
        <v>108</v>
      </c>
      <c r="B296" s="33" t="s">
        <v>61</v>
      </c>
      <c r="C296" s="33" t="s">
        <v>208</v>
      </c>
      <c r="D296" s="33" t="s">
        <v>5</v>
      </c>
      <c r="E296" s="33" t="s">
        <v>203</v>
      </c>
      <c r="F296" s="33" t="s">
        <v>22</v>
      </c>
      <c r="G296" s="33" t="s">
        <v>223</v>
      </c>
      <c r="H296" s="33" t="s">
        <v>209</v>
      </c>
      <c r="I296" s="33" t="s">
        <v>209</v>
      </c>
      <c r="M296" s="33">
        <v>1300</v>
      </c>
      <c r="Q296" s="33" t="s">
        <v>224</v>
      </c>
      <c r="R296" s="33" t="s">
        <v>208</v>
      </c>
    </row>
    <row r="297" spans="1:18" hidden="1" x14ac:dyDescent="0.25">
      <c r="A297" s="33" t="s">
        <v>157</v>
      </c>
      <c r="B297" s="33" t="s">
        <v>72</v>
      </c>
      <c r="C297" s="33" t="s">
        <v>208</v>
      </c>
      <c r="D297" s="33" t="s">
        <v>5</v>
      </c>
      <c r="E297" s="33" t="s">
        <v>203</v>
      </c>
      <c r="F297" s="33" t="s">
        <v>22</v>
      </c>
      <c r="G297" s="33" t="s">
        <v>223</v>
      </c>
      <c r="H297" s="33" t="s">
        <v>209</v>
      </c>
      <c r="I297" s="33" t="s">
        <v>209</v>
      </c>
      <c r="M297" s="33">
        <v>1300</v>
      </c>
      <c r="Q297" s="33" t="s">
        <v>224</v>
      </c>
      <c r="R297" s="33" t="s">
        <v>208</v>
      </c>
    </row>
    <row r="298" spans="1:18" hidden="1" x14ac:dyDescent="0.25">
      <c r="A298" s="33" t="s">
        <v>123</v>
      </c>
      <c r="B298" s="33" t="s">
        <v>59</v>
      </c>
      <c r="C298" s="33" t="s">
        <v>208</v>
      </c>
      <c r="D298" s="33" t="s">
        <v>5</v>
      </c>
      <c r="E298" s="33" t="s">
        <v>203</v>
      </c>
      <c r="F298" s="33" t="s">
        <v>22</v>
      </c>
      <c r="G298" s="33" t="s">
        <v>223</v>
      </c>
      <c r="H298" s="33" t="s">
        <v>209</v>
      </c>
      <c r="I298" s="33" t="s">
        <v>209</v>
      </c>
      <c r="M298" s="33">
        <v>1300</v>
      </c>
      <c r="Q298" s="33" t="s">
        <v>224</v>
      </c>
      <c r="R298" s="33" t="s">
        <v>208</v>
      </c>
    </row>
    <row r="299" spans="1:18" hidden="1" x14ac:dyDescent="0.25">
      <c r="A299" s="33" t="s">
        <v>123</v>
      </c>
      <c r="B299" s="33" t="s">
        <v>60</v>
      </c>
      <c r="C299" s="33" t="s">
        <v>208</v>
      </c>
      <c r="D299" s="33" t="s">
        <v>5</v>
      </c>
      <c r="E299" s="33" t="s">
        <v>203</v>
      </c>
      <c r="F299" s="33" t="s">
        <v>22</v>
      </c>
      <c r="G299" s="33" t="s">
        <v>223</v>
      </c>
      <c r="H299" s="33" t="s">
        <v>209</v>
      </c>
      <c r="I299" s="33" t="s">
        <v>209</v>
      </c>
      <c r="M299" s="33">
        <v>1300</v>
      </c>
      <c r="Q299" s="33" t="s">
        <v>224</v>
      </c>
      <c r="R299" s="33" t="s">
        <v>208</v>
      </c>
    </row>
    <row r="300" spans="1:18" hidden="1" x14ac:dyDescent="0.25">
      <c r="A300" s="33" t="s">
        <v>123</v>
      </c>
      <c r="B300" s="33" t="s">
        <v>63</v>
      </c>
      <c r="C300" s="33" t="s">
        <v>208</v>
      </c>
      <c r="D300" s="33" t="s">
        <v>5</v>
      </c>
      <c r="E300" s="33" t="s">
        <v>203</v>
      </c>
      <c r="F300" s="33" t="s">
        <v>22</v>
      </c>
      <c r="G300" s="33" t="s">
        <v>223</v>
      </c>
      <c r="H300" s="33" t="s">
        <v>209</v>
      </c>
      <c r="I300" s="33" t="s">
        <v>209</v>
      </c>
      <c r="M300" s="33">
        <v>1300</v>
      </c>
      <c r="Q300" s="33" t="s">
        <v>224</v>
      </c>
      <c r="R300" s="33" t="s">
        <v>208</v>
      </c>
    </row>
    <row r="301" spans="1:18" hidden="1" x14ac:dyDescent="0.25">
      <c r="A301" s="33" t="s">
        <v>123</v>
      </c>
      <c r="B301" s="33" t="s">
        <v>64</v>
      </c>
      <c r="C301" s="33" t="s">
        <v>208</v>
      </c>
      <c r="D301" s="33" t="s">
        <v>5</v>
      </c>
      <c r="E301" s="33" t="s">
        <v>203</v>
      </c>
      <c r="F301" s="33" t="s">
        <v>22</v>
      </c>
      <c r="G301" s="33" t="s">
        <v>223</v>
      </c>
      <c r="H301" s="33" t="s">
        <v>209</v>
      </c>
      <c r="I301" s="33" t="s">
        <v>209</v>
      </c>
      <c r="M301" s="33">
        <v>1300</v>
      </c>
      <c r="Q301" s="33" t="s">
        <v>224</v>
      </c>
      <c r="R301" s="33" t="s">
        <v>208</v>
      </c>
    </row>
    <row r="302" spans="1:18" hidden="1" x14ac:dyDescent="0.25">
      <c r="A302" s="33" t="s">
        <v>123</v>
      </c>
      <c r="B302" s="33" t="s">
        <v>66</v>
      </c>
      <c r="C302" s="33" t="s">
        <v>208</v>
      </c>
      <c r="D302" s="33" t="s">
        <v>5</v>
      </c>
      <c r="E302" s="33" t="s">
        <v>203</v>
      </c>
      <c r="F302" s="33" t="s">
        <v>22</v>
      </c>
      <c r="G302" s="33" t="s">
        <v>223</v>
      </c>
      <c r="H302" s="33" t="s">
        <v>209</v>
      </c>
      <c r="I302" s="33" t="s">
        <v>209</v>
      </c>
      <c r="M302" s="33">
        <v>1300</v>
      </c>
      <c r="Q302" s="33" t="s">
        <v>224</v>
      </c>
      <c r="R302" s="33" t="s">
        <v>208</v>
      </c>
    </row>
    <row r="303" spans="1:18" hidden="1" x14ac:dyDescent="0.25">
      <c r="A303" s="33" t="s">
        <v>123</v>
      </c>
      <c r="B303" s="33" t="s">
        <v>67</v>
      </c>
      <c r="C303" s="33" t="s">
        <v>208</v>
      </c>
      <c r="D303" s="33" t="s">
        <v>5</v>
      </c>
      <c r="E303" s="33" t="s">
        <v>203</v>
      </c>
      <c r="F303" s="33" t="s">
        <v>22</v>
      </c>
      <c r="G303" s="33" t="s">
        <v>223</v>
      </c>
      <c r="H303" s="33" t="s">
        <v>209</v>
      </c>
      <c r="I303" s="33" t="s">
        <v>209</v>
      </c>
      <c r="M303" s="33">
        <v>1300</v>
      </c>
      <c r="Q303" s="33" t="s">
        <v>224</v>
      </c>
      <c r="R303" s="33" t="s">
        <v>208</v>
      </c>
    </row>
    <row r="304" spans="1:18" x14ac:dyDescent="0.25">
      <c r="A304" s="33" t="s">
        <v>123</v>
      </c>
      <c r="B304" s="33" t="s">
        <v>68</v>
      </c>
      <c r="C304" s="33" t="s">
        <v>208</v>
      </c>
      <c r="D304" s="33" t="s">
        <v>5</v>
      </c>
      <c r="E304" s="33" t="s">
        <v>203</v>
      </c>
      <c r="F304" s="33" t="s">
        <v>22</v>
      </c>
      <c r="G304" s="33" t="s">
        <v>223</v>
      </c>
      <c r="H304" s="33" t="s">
        <v>209</v>
      </c>
      <c r="I304" s="33" t="s">
        <v>209</v>
      </c>
      <c r="M304" s="33">
        <v>1300</v>
      </c>
      <c r="Q304" s="33" t="s">
        <v>224</v>
      </c>
      <c r="R304" s="33" t="s">
        <v>208</v>
      </c>
    </row>
    <row r="305" spans="1:18" hidden="1" x14ac:dyDescent="0.25">
      <c r="A305" s="33" t="s">
        <v>123</v>
      </c>
      <c r="B305" s="33" t="s">
        <v>77</v>
      </c>
      <c r="C305" s="33" t="s">
        <v>208</v>
      </c>
      <c r="D305" s="33" t="s">
        <v>5</v>
      </c>
      <c r="E305" s="33" t="s">
        <v>203</v>
      </c>
      <c r="F305" s="33" t="s">
        <v>22</v>
      </c>
      <c r="G305" s="33" t="s">
        <v>223</v>
      </c>
      <c r="H305" s="33" t="s">
        <v>209</v>
      </c>
      <c r="I305" s="33" t="s">
        <v>209</v>
      </c>
      <c r="M305" s="33">
        <v>1300</v>
      </c>
      <c r="Q305" s="33" t="s">
        <v>224</v>
      </c>
      <c r="R305" s="33" t="s">
        <v>208</v>
      </c>
    </row>
    <row r="306" spans="1:18" hidden="1" x14ac:dyDescent="0.25">
      <c r="A306" s="33" t="s">
        <v>113</v>
      </c>
      <c r="B306" s="33" t="s">
        <v>56</v>
      </c>
      <c r="C306" s="33" t="e" cm="1">
        <f t="array" ref="C306">-#REF!</f>
        <v>#REF!</v>
      </c>
      <c r="D306" s="33" t="s">
        <v>5</v>
      </c>
      <c r="E306" s="33" t="s">
        <v>203</v>
      </c>
      <c r="F306" s="33" t="s">
        <v>22</v>
      </c>
      <c r="G306" s="33" t="s">
        <v>223</v>
      </c>
      <c r="H306" s="33" t="s">
        <v>209</v>
      </c>
      <c r="I306" s="33" t="s">
        <v>209</v>
      </c>
      <c r="M306" s="33">
        <v>1300</v>
      </c>
      <c r="Q306" s="33" t="s">
        <v>224</v>
      </c>
      <c r="R306" s="33" t="s">
        <v>208</v>
      </c>
    </row>
    <row r="307" spans="1:18" hidden="1" x14ac:dyDescent="0.25">
      <c r="A307" s="33" t="s">
        <v>113</v>
      </c>
      <c r="B307" s="33" t="s">
        <v>62</v>
      </c>
      <c r="C307" s="33" t="s">
        <v>208</v>
      </c>
      <c r="D307" s="33" t="s">
        <v>5</v>
      </c>
      <c r="E307" s="33" t="s">
        <v>203</v>
      </c>
      <c r="F307" s="33" t="s">
        <v>22</v>
      </c>
      <c r="G307" s="33" t="s">
        <v>223</v>
      </c>
      <c r="H307" s="33" t="s">
        <v>209</v>
      </c>
      <c r="I307" s="33" t="s">
        <v>209</v>
      </c>
      <c r="M307" s="33">
        <v>1300</v>
      </c>
      <c r="Q307" s="33" t="s">
        <v>224</v>
      </c>
      <c r="R307" s="33" t="s">
        <v>208</v>
      </c>
    </row>
    <row r="308" spans="1:18" hidden="1" x14ac:dyDescent="0.25">
      <c r="A308" s="33" t="s">
        <v>113</v>
      </c>
      <c r="B308" s="33" t="s">
        <v>65</v>
      </c>
      <c r="C308" s="33" t="s">
        <v>208</v>
      </c>
      <c r="D308" s="33" t="s">
        <v>5</v>
      </c>
      <c r="E308" s="33" t="s">
        <v>203</v>
      </c>
      <c r="F308" s="33" t="s">
        <v>22</v>
      </c>
      <c r="G308" s="33" t="s">
        <v>223</v>
      </c>
      <c r="H308" s="33" t="s">
        <v>209</v>
      </c>
      <c r="I308" s="33" t="s">
        <v>209</v>
      </c>
      <c r="M308" s="33">
        <v>1300</v>
      </c>
      <c r="Q308" s="33" t="s">
        <v>224</v>
      </c>
      <c r="R308" s="33" t="s">
        <v>208</v>
      </c>
    </row>
    <row r="309" spans="1:18" hidden="1" x14ac:dyDescent="0.25">
      <c r="A309" s="33" t="s">
        <v>172</v>
      </c>
      <c r="B309" s="33" t="s">
        <v>78</v>
      </c>
      <c r="C309" s="33" t="s">
        <v>208</v>
      </c>
      <c r="D309" s="33" t="s">
        <v>5</v>
      </c>
      <c r="E309" s="33" t="s">
        <v>203</v>
      </c>
      <c r="F309" s="33" t="s">
        <v>22</v>
      </c>
      <c r="G309" s="33" t="s">
        <v>223</v>
      </c>
      <c r="H309" s="33" t="s">
        <v>209</v>
      </c>
      <c r="I309" s="33" t="s">
        <v>209</v>
      </c>
      <c r="M309" s="33">
        <v>1300</v>
      </c>
      <c r="Q309" s="33" t="s">
        <v>224</v>
      </c>
      <c r="R309" s="33" t="s">
        <v>208</v>
      </c>
    </row>
    <row r="310" spans="1:18" hidden="1" x14ac:dyDescent="0.25">
      <c r="A310" s="33" t="s">
        <v>118</v>
      </c>
      <c r="B310" s="33" t="s">
        <v>57</v>
      </c>
      <c r="C310" s="33" t="s">
        <v>208</v>
      </c>
      <c r="D310" s="33" t="s">
        <v>5</v>
      </c>
      <c r="E310" s="33" t="s">
        <v>203</v>
      </c>
      <c r="F310" s="33" t="s">
        <v>22</v>
      </c>
      <c r="G310" s="33" t="s">
        <v>223</v>
      </c>
      <c r="H310" s="33" t="s">
        <v>209</v>
      </c>
      <c r="I310" s="33" t="s">
        <v>209</v>
      </c>
      <c r="M310" s="33">
        <v>1300</v>
      </c>
      <c r="Q310" s="33" t="s">
        <v>224</v>
      </c>
      <c r="R310" s="33" t="s">
        <v>208</v>
      </c>
    </row>
    <row r="311" spans="1:18" hidden="1" x14ac:dyDescent="0.25">
      <c r="A311" s="33" t="s">
        <v>118</v>
      </c>
      <c r="B311" s="33" t="s">
        <v>58</v>
      </c>
      <c r="C311" s="33" t="s">
        <v>208</v>
      </c>
      <c r="D311" s="33" t="s">
        <v>5</v>
      </c>
      <c r="E311" s="33" t="s">
        <v>203</v>
      </c>
      <c r="F311" s="33" t="s">
        <v>22</v>
      </c>
      <c r="G311" s="33" t="s">
        <v>223</v>
      </c>
      <c r="H311" s="33" t="s">
        <v>209</v>
      </c>
      <c r="I311" s="33" t="s">
        <v>209</v>
      </c>
      <c r="M311" s="33">
        <v>1300</v>
      </c>
      <c r="Q311" s="33" t="s">
        <v>224</v>
      </c>
      <c r="R311" s="33" t="s">
        <v>208</v>
      </c>
    </row>
    <row r="312" spans="1:18" hidden="1" x14ac:dyDescent="0.25">
      <c r="A312" s="33" t="s">
        <v>118</v>
      </c>
      <c r="B312" s="33" t="s">
        <v>69</v>
      </c>
      <c r="C312" s="33" t="s">
        <v>208</v>
      </c>
      <c r="D312" s="33" t="s">
        <v>5</v>
      </c>
      <c r="E312" s="33" t="s">
        <v>203</v>
      </c>
      <c r="F312" s="33" t="s">
        <v>22</v>
      </c>
      <c r="G312" s="33" t="s">
        <v>223</v>
      </c>
      <c r="H312" s="33" t="s">
        <v>209</v>
      </c>
      <c r="I312" s="33" t="s">
        <v>209</v>
      </c>
      <c r="M312" s="33">
        <v>1300</v>
      </c>
      <c r="Q312" s="33" t="s">
        <v>224</v>
      </c>
      <c r="R312" s="33" t="s">
        <v>208</v>
      </c>
    </row>
    <row r="313" spans="1:18" hidden="1" x14ac:dyDescent="0.25">
      <c r="A313" s="33" t="s">
        <v>118</v>
      </c>
      <c r="B313" s="33" t="s">
        <v>70</v>
      </c>
      <c r="C313" s="33" t="s">
        <v>208</v>
      </c>
      <c r="D313" s="33" t="s">
        <v>5</v>
      </c>
      <c r="E313" s="33" t="s">
        <v>203</v>
      </c>
      <c r="F313" s="33" t="s">
        <v>22</v>
      </c>
      <c r="G313" s="33" t="s">
        <v>223</v>
      </c>
      <c r="H313" s="33" t="s">
        <v>209</v>
      </c>
      <c r="I313" s="33" t="s">
        <v>209</v>
      </c>
      <c r="M313" s="33">
        <v>1300</v>
      </c>
      <c r="Q313" s="33" t="s">
        <v>224</v>
      </c>
      <c r="R313" s="33" t="s">
        <v>208</v>
      </c>
    </row>
    <row r="314" spans="1:18" hidden="1" x14ac:dyDescent="0.25">
      <c r="A314" s="33" t="s">
        <v>118</v>
      </c>
      <c r="B314" s="33" t="s">
        <v>71</v>
      </c>
      <c r="C314" s="33" t="s">
        <v>208</v>
      </c>
      <c r="D314" s="33" t="s">
        <v>5</v>
      </c>
      <c r="E314" s="33" t="s">
        <v>203</v>
      </c>
      <c r="F314" s="33" t="s">
        <v>22</v>
      </c>
      <c r="G314" s="33" t="s">
        <v>223</v>
      </c>
      <c r="H314" s="33" t="s">
        <v>209</v>
      </c>
      <c r="I314" s="33" t="s">
        <v>209</v>
      </c>
      <c r="M314" s="33">
        <v>1300</v>
      </c>
      <c r="Q314" s="33" t="s">
        <v>224</v>
      </c>
      <c r="R314" s="33" t="s">
        <v>208</v>
      </c>
    </row>
    <row r="315" spans="1:18" hidden="1" x14ac:dyDescent="0.25">
      <c r="A315" s="33" t="s">
        <v>118</v>
      </c>
      <c r="B315" s="33" t="s">
        <v>73</v>
      </c>
      <c r="C315" s="33" t="s">
        <v>208</v>
      </c>
      <c r="D315" s="33" t="s">
        <v>5</v>
      </c>
      <c r="E315" s="33" t="s">
        <v>203</v>
      </c>
      <c r="F315" s="33" t="s">
        <v>22</v>
      </c>
      <c r="G315" s="33" t="s">
        <v>223</v>
      </c>
      <c r="H315" s="33" t="s">
        <v>209</v>
      </c>
      <c r="I315" s="33" t="s">
        <v>209</v>
      </c>
      <c r="M315" s="33">
        <v>1300</v>
      </c>
      <c r="Q315" s="33" t="s">
        <v>224</v>
      </c>
      <c r="R315" s="33" t="s">
        <v>208</v>
      </c>
    </row>
    <row r="316" spans="1:18" hidden="1" x14ac:dyDescent="0.25">
      <c r="A316" s="33" t="s">
        <v>118</v>
      </c>
      <c r="B316" s="33" t="s">
        <v>74</v>
      </c>
      <c r="C316" s="33" t="s">
        <v>208</v>
      </c>
      <c r="D316" s="33" t="s">
        <v>5</v>
      </c>
      <c r="E316" s="33" t="s">
        <v>203</v>
      </c>
      <c r="F316" s="33" t="s">
        <v>22</v>
      </c>
      <c r="G316" s="33" t="s">
        <v>223</v>
      </c>
      <c r="H316" s="33" t="s">
        <v>209</v>
      </c>
      <c r="I316" s="33" t="s">
        <v>209</v>
      </c>
      <c r="M316" s="33">
        <v>1300</v>
      </c>
      <c r="Q316" s="33" t="s">
        <v>224</v>
      </c>
      <c r="R316" s="33" t="s">
        <v>208</v>
      </c>
    </row>
    <row r="317" spans="1:18" hidden="1" x14ac:dyDescent="0.25">
      <c r="A317" s="33" t="s">
        <v>118</v>
      </c>
      <c r="B317" s="33" t="s">
        <v>75</v>
      </c>
      <c r="C317" s="33" t="s">
        <v>208</v>
      </c>
      <c r="D317" s="33" t="s">
        <v>5</v>
      </c>
      <c r="E317" s="33" t="s">
        <v>203</v>
      </c>
      <c r="F317" s="33" t="s">
        <v>22</v>
      </c>
      <c r="G317" s="33" t="s">
        <v>223</v>
      </c>
      <c r="H317" s="33" t="s">
        <v>209</v>
      </c>
      <c r="I317" s="33" t="s">
        <v>209</v>
      </c>
      <c r="M317" s="33">
        <v>1300</v>
      </c>
      <c r="Q317" s="33" t="s">
        <v>224</v>
      </c>
      <c r="R317" s="33" t="s">
        <v>208</v>
      </c>
    </row>
    <row r="318" spans="1:18" hidden="1" x14ac:dyDescent="0.25">
      <c r="A318" s="33" t="s">
        <v>118</v>
      </c>
      <c r="B318" s="33" t="s">
        <v>76</v>
      </c>
      <c r="C318" s="33" t="s">
        <v>208</v>
      </c>
      <c r="D318" s="33" t="s">
        <v>5</v>
      </c>
      <c r="E318" s="33" t="s">
        <v>203</v>
      </c>
      <c r="F318" s="33" t="s">
        <v>22</v>
      </c>
      <c r="G318" s="33" t="s">
        <v>223</v>
      </c>
      <c r="H318" s="33" t="s">
        <v>209</v>
      </c>
      <c r="I318" s="33" t="s">
        <v>209</v>
      </c>
      <c r="M318" s="33">
        <v>1300</v>
      </c>
      <c r="Q318" s="33" t="s">
        <v>224</v>
      </c>
      <c r="R318" s="33" t="s">
        <v>208</v>
      </c>
    </row>
    <row r="319" spans="1:18" ht="55.2" hidden="1" x14ac:dyDescent="0.25">
      <c r="A319" s="33" t="s">
        <v>108</v>
      </c>
      <c r="B319" s="33" t="s">
        <v>55</v>
      </c>
      <c r="C319" s="33" t="s">
        <v>112</v>
      </c>
      <c r="D319" s="33" t="s">
        <v>6</v>
      </c>
      <c r="E319" s="33" t="s">
        <v>203</v>
      </c>
      <c r="F319" s="33" t="s">
        <v>23</v>
      </c>
      <c r="G319" s="33" t="s">
        <v>225</v>
      </c>
      <c r="H319" s="33" t="s">
        <v>226</v>
      </c>
      <c r="I319" s="33" t="s">
        <v>227</v>
      </c>
      <c r="J319" s="33">
        <v>308.2</v>
      </c>
      <c r="K319" s="33">
        <v>0.44640000000000002</v>
      </c>
      <c r="L319" s="33">
        <v>0.54873000000000005</v>
      </c>
      <c r="Q319" s="33" t="s">
        <v>228</v>
      </c>
      <c r="R319" s="33">
        <v>2023</v>
      </c>
    </row>
    <row r="320" spans="1:18" ht="27.6" hidden="1" x14ac:dyDescent="0.25">
      <c r="A320" s="33" t="s">
        <v>108</v>
      </c>
      <c r="B320" s="33" t="s">
        <v>61</v>
      </c>
      <c r="C320" s="33" t="s">
        <v>243</v>
      </c>
      <c r="D320" s="33" t="s">
        <v>6</v>
      </c>
      <c r="E320" s="33" t="s">
        <v>203</v>
      </c>
      <c r="F320" s="33" t="s">
        <v>23</v>
      </c>
      <c r="G320" s="33" t="s">
        <v>230</v>
      </c>
      <c r="H320" s="33" t="s">
        <v>257</v>
      </c>
      <c r="I320" s="33" t="s">
        <v>258</v>
      </c>
      <c r="J320" s="33">
        <v>819.65599999999995</v>
      </c>
      <c r="K320" s="33">
        <v>1.4508000000000001</v>
      </c>
      <c r="L320" s="33">
        <v>1.911</v>
      </c>
      <c r="Q320" s="33" t="s">
        <v>259</v>
      </c>
      <c r="R320" s="33" t="s">
        <v>208</v>
      </c>
    </row>
    <row r="321" spans="1:18" ht="27.6" hidden="1" x14ac:dyDescent="0.25">
      <c r="A321" s="33" t="s">
        <v>157</v>
      </c>
      <c r="B321" s="33" t="s">
        <v>72</v>
      </c>
      <c r="C321" s="33" t="s">
        <v>234</v>
      </c>
      <c r="D321" s="33" t="s">
        <v>6</v>
      </c>
      <c r="E321" s="33" t="s">
        <v>203</v>
      </c>
      <c r="F321" s="33" t="s">
        <v>23</v>
      </c>
      <c r="G321" s="33" t="s">
        <v>230</v>
      </c>
      <c r="H321" s="33" t="s">
        <v>257</v>
      </c>
      <c r="I321" s="33" t="s">
        <v>258</v>
      </c>
      <c r="J321" s="33">
        <v>1046.1320000000001</v>
      </c>
      <c r="K321" s="33">
        <v>2.6505000000000001</v>
      </c>
      <c r="L321" s="33">
        <v>3.8220000000000001</v>
      </c>
      <c r="Q321" s="33" t="s">
        <v>259</v>
      </c>
      <c r="R321" s="33" t="s">
        <v>208</v>
      </c>
    </row>
    <row r="322" spans="1:18" ht="27.6" hidden="1" x14ac:dyDescent="0.25">
      <c r="A322" s="33" t="s">
        <v>123</v>
      </c>
      <c r="B322" s="33" t="s">
        <v>59</v>
      </c>
      <c r="C322" s="33" t="s">
        <v>234</v>
      </c>
      <c r="D322" s="33" t="s">
        <v>6</v>
      </c>
      <c r="E322" s="33" t="s">
        <v>203</v>
      </c>
      <c r="F322" s="33" t="s">
        <v>23</v>
      </c>
      <c r="G322" s="33" t="s">
        <v>230</v>
      </c>
      <c r="H322" s="33" t="s">
        <v>257</v>
      </c>
      <c r="I322" s="33" t="s">
        <v>258</v>
      </c>
      <c r="J322" s="33">
        <v>1046.1320000000001</v>
      </c>
      <c r="K322" s="33">
        <v>2.6505000000000001</v>
      </c>
      <c r="L322" s="33">
        <v>3.8220000000000001</v>
      </c>
      <c r="Q322" s="33" t="s">
        <v>259</v>
      </c>
      <c r="R322" s="33" t="s">
        <v>208</v>
      </c>
    </row>
    <row r="323" spans="1:18" ht="27.6" hidden="1" x14ac:dyDescent="0.25">
      <c r="A323" s="33" t="s">
        <v>123</v>
      </c>
      <c r="B323" s="33" t="s">
        <v>60</v>
      </c>
      <c r="C323" s="33" t="s">
        <v>234</v>
      </c>
      <c r="D323" s="33" t="s">
        <v>6</v>
      </c>
      <c r="E323" s="33" t="s">
        <v>203</v>
      </c>
      <c r="F323" s="33" t="s">
        <v>23</v>
      </c>
      <c r="G323" s="33" t="s">
        <v>230</v>
      </c>
      <c r="H323" s="33" t="s">
        <v>257</v>
      </c>
      <c r="I323" s="33" t="s">
        <v>258</v>
      </c>
      <c r="J323" s="33">
        <v>1046.1320000000001</v>
      </c>
      <c r="K323" s="33">
        <v>2.6505000000000001</v>
      </c>
      <c r="L323" s="33">
        <v>3.8220000000000001</v>
      </c>
      <c r="Q323" s="33" t="s">
        <v>259</v>
      </c>
      <c r="R323" s="33" t="s">
        <v>208</v>
      </c>
    </row>
    <row r="324" spans="1:18" ht="27.6" hidden="1" x14ac:dyDescent="0.25">
      <c r="A324" s="33" t="s">
        <v>123</v>
      </c>
      <c r="B324" s="33" t="s">
        <v>63</v>
      </c>
      <c r="C324" s="33" t="s">
        <v>234</v>
      </c>
      <c r="D324" s="33" t="s">
        <v>6</v>
      </c>
      <c r="E324" s="33" t="s">
        <v>203</v>
      </c>
      <c r="F324" s="33" t="s">
        <v>23</v>
      </c>
      <c r="G324" s="33" t="s">
        <v>230</v>
      </c>
      <c r="H324" s="33" t="s">
        <v>257</v>
      </c>
      <c r="I324" s="33" t="s">
        <v>258</v>
      </c>
      <c r="J324" s="33">
        <v>1046.1320000000001</v>
      </c>
      <c r="K324" s="33">
        <v>2.6505000000000001</v>
      </c>
      <c r="L324" s="33">
        <v>3.8220000000000001</v>
      </c>
      <c r="Q324" s="33" t="s">
        <v>259</v>
      </c>
      <c r="R324" s="33" t="s">
        <v>208</v>
      </c>
    </row>
    <row r="325" spans="1:18" ht="27.6" hidden="1" x14ac:dyDescent="0.25">
      <c r="A325" s="33" t="s">
        <v>123</v>
      </c>
      <c r="B325" s="33" t="s">
        <v>64</v>
      </c>
      <c r="C325" s="33" t="s">
        <v>239</v>
      </c>
      <c r="D325" s="33" t="s">
        <v>6</v>
      </c>
      <c r="E325" s="33" t="s">
        <v>203</v>
      </c>
      <c r="F325" s="33" t="s">
        <v>23</v>
      </c>
      <c r="G325" s="33" t="s">
        <v>230</v>
      </c>
      <c r="H325" s="33" t="s">
        <v>257</v>
      </c>
      <c r="I325" s="33" t="s">
        <v>258</v>
      </c>
      <c r="J325" s="33">
        <v>672.78700000000003</v>
      </c>
      <c r="K325" s="33">
        <v>1.3671</v>
      </c>
      <c r="L325" s="33">
        <v>1.911</v>
      </c>
      <c r="Q325" s="33" t="s">
        <v>259</v>
      </c>
      <c r="R325" s="33" t="s">
        <v>208</v>
      </c>
    </row>
    <row r="326" spans="1:18" ht="27.6" hidden="1" x14ac:dyDescent="0.25">
      <c r="A326" s="33" t="s">
        <v>123</v>
      </c>
      <c r="B326" s="33" t="s">
        <v>66</v>
      </c>
      <c r="C326" s="33" t="s">
        <v>234</v>
      </c>
      <c r="D326" s="33" t="s">
        <v>6</v>
      </c>
      <c r="E326" s="33" t="s">
        <v>203</v>
      </c>
      <c r="F326" s="33" t="s">
        <v>23</v>
      </c>
      <c r="G326" s="33" t="s">
        <v>230</v>
      </c>
      <c r="H326" s="33" t="s">
        <v>257</v>
      </c>
      <c r="I326" s="33" t="s">
        <v>258</v>
      </c>
      <c r="J326" s="33">
        <v>1046.1320000000001</v>
      </c>
      <c r="K326" s="33">
        <v>2.6505000000000001</v>
      </c>
      <c r="L326" s="33">
        <v>3.8220000000000001</v>
      </c>
      <c r="Q326" s="33" t="s">
        <v>259</v>
      </c>
      <c r="R326" s="33" t="s">
        <v>208</v>
      </c>
    </row>
    <row r="327" spans="1:18" ht="55.2" hidden="1" x14ac:dyDescent="0.25">
      <c r="A327" s="33" t="s">
        <v>123</v>
      </c>
      <c r="B327" s="33" t="s">
        <v>67</v>
      </c>
      <c r="C327" s="33" t="s">
        <v>116</v>
      </c>
      <c r="D327" s="33" t="s">
        <v>6</v>
      </c>
      <c r="E327" s="33" t="s">
        <v>203</v>
      </c>
      <c r="F327" s="33" t="s">
        <v>23</v>
      </c>
      <c r="G327" s="33" t="s">
        <v>225</v>
      </c>
      <c r="H327" s="33" t="s">
        <v>226</v>
      </c>
      <c r="I327" s="33" t="s">
        <v>227</v>
      </c>
      <c r="J327" s="33">
        <v>149.80000000000001</v>
      </c>
      <c r="K327" s="33">
        <v>0.33479999999999999</v>
      </c>
      <c r="L327" s="33">
        <v>0.45863999999999999</v>
      </c>
      <c r="Q327" s="33" t="s">
        <v>228</v>
      </c>
      <c r="R327" s="33">
        <v>2023</v>
      </c>
    </row>
    <row r="328" spans="1:18" ht="55.2" x14ac:dyDescent="0.25">
      <c r="A328" s="33" t="s">
        <v>123</v>
      </c>
      <c r="B328" s="33" t="s">
        <v>68</v>
      </c>
      <c r="C328" s="33" t="s">
        <v>146</v>
      </c>
      <c r="D328" s="33" t="s">
        <v>6</v>
      </c>
      <c r="E328" s="33" t="s">
        <v>203</v>
      </c>
      <c r="F328" s="33" t="s">
        <v>23</v>
      </c>
      <c r="G328" s="33" t="s">
        <v>225</v>
      </c>
      <c r="H328" s="33" t="s">
        <v>226</v>
      </c>
      <c r="I328" s="33" t="s">
        <v>227</v>
      </c>
      <c r="J328" s="33">
        <v>347.2</v>
      </c>
      <c r="K328" s="33">
        <v>0.33479999999999999</v>
      </c>
      <c r="L328" s="33">
        <v>1.3731899999999999</v>
      </c>
      <c r="Q328" s="33" t="s">
        <v>228</v>
      </c>
      <c r="R328" s="33">
        <v>2023</v>
      </c>
    </row>
    <row r="329" spans="1:18" ht="27.6" hidden="1" x14ac:dyDescent="0.25">
      <c r="A329" s="33" t="s">
        <v>123</v>
      </c>
      <c r="B329" s="33" t="s">
        <v>77</v>
      </c>
      <c r="C329" s="33" t="s">
        <v>243</v>
      </c>
      <c r="D329" s="33" t="s">
        <v>6</v>
      </c>
      <c r="E329" s="33" t="s">
        <v>203</v>
      </c>
      <c r="F329" s="33" t="s">
        <v>23</v>
      </c>
      <c r="G329" s="33" t="s">
        <v>230</v>
      </c>
      <c r="H329" s="33" t="s">
        <v>257</v>
      </c>
      <c r="I329" s="33" t="s">
        <v>258</v>
      </c>
      <c r="J329" s="33">
        <v>819.65599999999995</v>
      </c>
      <c r="K329" s="33">
        <v>1.4508000000000001</v>
      </c>
      <c r="L329" s="33">
        <v>1.911</v>
      </c>
      <c r="Q329" s="33" t="s">
        <v>259</v>
      </c>
      <c r="R329" s="33" t="s">
        <v>208</v>
      </c>
    </row>
    <row r="330" spans="1:18" ht="55.2" hidden="1" x14ac:dyDescent="0.25">
      <c r="A330" s="33" t="s">
        <v>113</v>
      </c>
      <c r="B330" s="33" t="s">
        <v>56</v>
      </c>
      <c r="C330" s="33" t="s">
        <v>116</v>
      </c>
      <c r="D330" s="33" t="s">
        <v>6</v>
      </c>
      <c r="E330" s="33" t="s">
        <v>203</v>
      </c>
      <c r="F330" s="33" t="s">
        <v>23</v>
      </c>
      <c r="G330" s="33" t="s">
        <v>225</v>
      </c>
      <c r="H330" s="33" t="s">
        <v>226</v>
      </c>
      <c r="I330" s="33" t="s">
        <v>227</v>
      </c>
      <c r="J330" s="33">
        <v>149.80000000000001</v>
      </c>
      <c r="K330" s="33">
        <v>0.33479999999999999</v>
      </c>
      <c r="L330" s="33">
        <v>0.45863999999999999</v>
      </c>
      <c r="Q330" s="33" t="s">
        <v>228</v>
      </c>
      <c r="R330" s="33">
        <v>2023</v>
      </c>
    </row>
    <row r="331" spans="1:18" ht="27.6" hidden="1" x14ac:dyDescent="0.25">
      <c r="A331" s="33" t="s">
        <v>113</v>
      </c>
      <c r="B331" s="33" t="s">
        <v>62</v>
      </c>
      <c r="C331" s="33" t="s">
        <v>234</v>
      </c>
      <c r="D331" s="33" t="s">
        <v>6</v>
      </c>
      <c r="E331" s="33" t="s">
        <v>203</v>
      </c>
      <c r="F331" s="33" t="s">
        <v>23</v>
      </c>
      <c r="G331" s="33" t="s">
        <v>230</v>
      </c>
      <c r="H331" s="33" t="s">
        <v>257</v>
      </c>
      <c r="I331" s="33" t="s">
        <v>258</v>
      </c>
      <c r="J331" s="33">
        <v>1046.1320000000001</v>
      </c>
      <c r="K331" s="33">
        <v>2.6505000000000001</v>
      </c>
      <c r="L331" s="33">
        <v>3.8220000000000001</v>
      </c>
      <c r="Q331" s="33" t="s">
        <v>259</v>
      </c>
      <c r="R331" s="33" t="s">
        <v>208</v>
      </c>
    </row>
    <row r="332" spans="1:18" ht="55.2" hidden="1" x14ac:dyDescent="0.25">
      <c r="A332" s="33" t="s">
        <v>113</v>
      </c>
      <c r="B332" s="33" t="s">
        <v>65</v>
      </c>
      <c r="C332" s="33" t="s">
        <v>116</v>
      </c>
      <c r="D332" s="33" t="s">
        <v>6</v>
      </c>
      <c r="E332" s="33" t="s">
        <v>203</v>
      </c>
      <c r="F332" s="33" t="s">
        <v>23</v>
      </c>
      <c r="G332" s="33" t="s">
        <v>225</v>
      </c>
      <c r="H332" s="33" t="s">
        <v>226</v>
      </c>
      <c r="I332" s="33" t="s">
        <v>227</v>
      </c>
      <c r="J332" s="33">
        <v>149.80000000000001</v>
      </c>
      <c r="K332" s="33">
        <v>0.33479999999999999</v>
      </c>
      <c r="L332" s="33">
        <v>0.45863999999999999</v>
      </c>
      <c r="Q332" s="33" t="s">
        <v>228</v>
      </c>
      <c r="R332" s="33">
        <v>2023</v>
      </c>
    </row>
    <row r="333" spans="1:18" ht="27.6" hidden="1" x14ac:dyDescent="0.25">
      <c r="A333" s="33" t="s">
        <v>172</v>
      </c>
      <c r="B333" s="33" t="s">
        <v>78</v>
      </c>
      <c r="C333" s="33" t="s">
        <v>239</v>
      </c>
      <c r="D333" s="33" t="s">
        <v>6</v>
      </c>
      <c r="E333" s="33" t="s">
        <v>203</v>
      </c>
      <c r="F333" s="33" t="s">
        <v>23</v>
      </c>
      <c r="G333" s="33" t="s">
        <v>230</v>
      </c>
      <c r="H333" s="33" t="s">
        <v>257</v>
      </c>
      <c r="I333" s="33" t="s">
        <v>258</v>
      </c>
      <c r="J333" s="33">
        <v>672.78700000000003</v>
      </c>
      <c r="K333" s="33">
        <v>1.3671</v>
      </c>
      <c r="L333" s="33">
        <v>1.911</v>
      </c>
      <c r="Q333" s="33" t="s">
        <v>259</v>
      </c>
      <c r="R333" s="33" t="s">
        <v>208</v>
      </c>
    </row>
    <row r="334" spans="1:18" ht="55.2" hidden="1" x14ac:dyDescent="0.25">
      <c r="A334" s="33" t="s">
        <v>118</v>
      </c>
      <c r="B334" s="33" t="s">
        <v>57</v>
      </c>
      <c r="C334" s="33" t="s">
        <v>120</v>
      </c>
      <c r="D334" s="33" t="s">
        <v>6</v>
      </c>
      <c r="E334" s="33" t="s">
        <v>203</v>
      </c>
      <c r="F334" s="33" t="s">
        <v>23</v>
      </c>
      <c r="G334" s="33" t="s">
        <v>225</v>
      </c>
      <c r="H334" s="33" t="s">
        <v>226</v>
      </c>
      <c r="I334" s="33" t="s">
        <v>227</v>
      </c>
      <c r="J334" s="33">
        <v>151.9</v>
      </c>
      <c r="K334" s="33">
        <v>0.33479999999999999</v>
      </c>
      <c r="L334" s="33">
        <v>0.64154999999999995</v>
      </c>
      <c r="Q334" s="33" t="s">
        <v>228</v>
      </c>
      <c r="R334" s="33">
        <v>2023</v>
      </c>
    </row>
    <row r="335" spans="1:18" ht="55.2" hidden="1" x14ac:dyDescent="0.25">
      <c r="A335" s="33" t="s">
        <v>118</v>
      </c>
      <c r="B335" s="33" t="s">
        <v>58</v>
      </c>
      <c r="C335" s="33" t="s">
        <v>112</v>
      </c>
      <c r="D335" s="33" t="s">
        <v>6</v>
      </c>
      <c r="E335" s="33" t="s">
        <v>203</v>
      </c>
      <c r="F335" s="33" t="s">
        <v>23</v>
      </c>
      <c r="G335" s="33" t="s">
        <v>225</v>
      </c>
      <c r="H335" s="33" t="s">
        <v>226</v>
      </c>
      <c r="I335" s="33" t="s">
        <v>227</v>
      </c>
      <c r="J335" s="33">
        <v>308.2</v>
      </c>
      <c r="K335" s="33">
        <v>0.44640000000000002</v>
      </c>
      <c r="L335" s="33">
        <v>0.54873000000000005</v>
      </c>
      <c r="Q335" s="33" t="s">
        <v>228</v>
      </c>
      <c r="R335" s="33">
        <v>2023</v>
      </c>
    </row>
    <row r="336" spans="1:18" ht="27.6" hidden="1" x14ac:dyDescent="0.25">
      <c r="A336" s="33" t="s">
        <v>118</v>
      </c>
      <c r="B336" s="33" t="s">
        <v>69</v>
      </c>
      <c r="C336" s="33" t="s">
        <v>239</v>
      </c>
      <c r="D336" s="33" t="s">
        <v>6</v>
      </c>
      <c r="E336" s="33" t="s">
        <v>203</v>
      </c>
      <c r="F336" s="33" t="s">
        <v>23</v>
      </c>
      <c r="G336" s="33" t="s">
        <v>230</v>
      </c>
      <c r="H336" s="33" t="s">
        <v>257</v>
      </c>
      <c r="I336" s="33" t="s">
        <v>258</v>
      </c>
      <c r="J336" s="33">
        <v>672.78700000000003</v>
      </c>
      <c r="K336" s="33">
        <v>1.3671</v>
      </c>
      <c r="L336" s="33">
        <v>1.911</v>
      </c>
      <c r="Q336" s="33" t="s">
        <v>259</v>
      </c>
      <c r="R336" s="33" t="s">
        <v>208</v>
      </c>
    </row>
    <row r="337" spans="1:18" ht="69" hidden="1" x14ac:dyDescent="0.25">
      <c r="A337" s="33" t="s">
        <v>118</v>
      </c>
      <c r="B337" s="33" t="s">
        <v>70</v>
      </c>
      <c r="C337" s="33" t="s">
        <v>152</v>
      </c>
      <c r="D337" s="33" t="s">
        <v>6</v>
      </c>
      <c r="E337" s="33" t="s">
        <v>203</v>
      </c>
      <c r="F337" s="33" t="s">
        <v>23</v>
      </c>
      <c r="G337" s="33" t="s">
        <v>244</v>
      </c>
      <c r="H337" s="33" t="s">
        <v>245</v>
      </c>
      <c r="I337" s="33" t="s">
        <v>246</v>
      </c>
      <c r="J337" s="33">
        <v>0.438</v>
      </c>
      <c r="Q337" s="33" t="s">
        <v>247</v>
      </c>
      <c r="R337" s="33">
        <v>2023</v>
      </c>
    </row>
    <row r="338" spans="1:18" ht="55.2" hidden="1" x14ac:dyDescent="0.25">
      <c r="A338" s="33" t="s">
        <v>118</v>
      </c>
      <c r="B338" s="33" t="s">
        <v>71</v>
      </c>
      <c r="C338" s="33" t="s">
        <v>156</v>
      </c>
      <c r="D338" s="33" t="s">
        <v>6</v>
      </c>
      <c r="E338" s="33" t="s">
        <v>203</v>
      </c>
      <c r="F338" s="33" t="s">
        <v>23</v>
      </c>
      <c r="G338" s="33" t="s">
        <v>225</v>
      </c>
      <c r="H338" s="33" t="s">
        <v>226</v>
      </c>
      <c r="I338" s="33" t="s">
        <v>227</v>
      </c>
      <c r="J338" s="33">
        <v>712.9</v>
      </c>
      <c r="K338" s="33">
        <v>0.33479999999999999</v>
      </c>
      <c r="L338" s="33">
        <v>3.1149300000000002</v>
      </c>
      <c r="Q338" s="33" t="s">
        <v>228</v>
      </c>
      <c r="R338" s="33">
        <v>2023</v>
      </c>
    </row>
    <row r="339" spans="1:18" ht="55.2" hidden="1" x14ac:dyDescent="0.25">
      <c r="A339" s="33" t="s">
        <v>118</v>
      </c>
      <c r="B339" s="33" t="s">
        <v>73</v>
      </c>
      <c r="C339" s="33" t="s">
        <v>161</v>
      </c>
      <c r="D339" s="33" t="s">
        <v>6</v>
      </c>
      <c r="E339" s="33" t="s">
        <v>203</v>
      </c>
      <c r="F339" s="33" t="s">
        <v>23</v>
      </c>
      <c r="G339" s="33" t="s">
        <v>225</v>
      </c>
      <c r="H339" s="33" t="s">
        <v>226</v>
      </c>
      <c r="I339" s="33" t="s">
        <v>227</v>
      </c>
      <c r="J339" s="33">
        <v>372.7</v>
      </c>
      <c r="K339" s="33">
        <v>0.1116</v>
      </c>
      <c r="L339" s="33">
        <v>1.2830999999999999</v>
      </c>
      <c r="Q339" s="33" t="s">
        <v>228</v>
      </c>
      <c r="R339" s="33">
        <v>2023</v>
      </c>
    </row>
    <row r="340" spans="1:18" ht="138" hidden="1" x14ac:dyDescent="0.25">
      <c r="A340" s="33" t="s">
        <v>118</v>
      </c>
      <c r="B340" s="33" t="s">
        <v>74</v>
      </c>
      <c r="C340" s="33" t="s">
        <v>164</v>
      </c>
      <c r="D340" s="33" t="s">
        <v>6</v>
      </c>
      <c r="E340" s="33" t="s">
        <v>203</v>
      </c>
      <c r="F340" s="33" t="s">
        <v>23</v>
      </c>
      <c r="G340" s="33" t="s">
        <v>248</v>
      </c>
      <c r="H340" s="33" t="s">
        <v>249</v>
      </c>
      <c r="I340" s="33" t="s">
        <v>250</v>
      </c>
      <c r="J340" s="33">
        <v>38.51</v>
      </c>
      <c r="Q340" s="33" t="s">
        <v>251</v>
      </c>
      <c r="R340" s="33">
        <v>2023</v>
      </c>
    </row>
    <row r="341" spans="1:18" ht="55.2" hidden="1" x14ac:dyDescent="0.25">
      <c r="A341" s="33" t="s">
        <v>118</v>
      </c>
      <c r="B341" s="33" t="s">
        <v>75</v>
      </c>
      <c r="C341" s="33" t="s">
        <v>167</v>
      </c>
      <c r="D341" s="33" t="s">
        <v>6</v>
      </c>
      <c r="E341" s="33" t="s">
        <v>203</v>
      </c>
      <c r="F341" s="33" t="s">
        <v>23</v>
      </c>
      <c r="G341" s="33" t="s">
        <v>225</v>
      </c>
      <c r="H341" s="33" t="s">
        <v>226</v>
      </c>
      <c r="I341" s="33" t="s">
        <v>227</v>
      </c>
      <c r="J341" s="33">
        <v>609.4</v>
      </c>
      <c r="K341" s="33">
        <v>0.44640000000000002</v>
      </c>
      <c r="L341" s="33">
        <v>2.7491099999999999</v>
      </c>
      <c r="Q341" s="33" t="s">
        <v>228</v>
      </c>
      <c r="R341" s="33">
        <v>2023</v>
      </c>
    </row>
    <row r="342" spans="1:18" ht="55.2" hidden="1" x14ac:dyDescent="0.25">
      <c r="A342" s="33" t="s">
        <v>118</v>
      </c>
      <c r="B342" s="33" t="s">
        <v>76</v>
      </c>
      <c r="C342" s="33" t="s">
        <v>76</v>
      </c>
      <c r="D342" s="33" t="s">
        <v>6</v>
      </c>
      <c r="E342" s="33" t="s">
        <v>203</v>
      </c>
      <c r="F342" s="33" t="s">
        <v>23</v>
      </c>
      <c r="G342" s="33" t="s">
        <v>225</v>
      </c>
      <c r="H342" s="33" t="s">
        <v>226</v>
      </c>
      <c r="I342" s="33" t="s">
        <v>227</v>
      </c>
      <c r="J342" s="33">
        <v>895.8</v>
      </c>
      <c r="K342" s="33">
        <v>0.33479999999999999</v>
      </c>
      <c r="L342" s="33">
        <v>3.9393899999999999</v>
      </c>
      <c r="Q342" s="33" t="s">
        <v>228</v>
      </c>
      <c r="R342" s="33">
        <v>2023</v>
      </c>
    </row>
    <row r="343" spans="1:18" ht="96.6" hidden="1" x14ac:dyDescent="0.25">
      <c r="A343" s="33" t="s">
        <v>108</v>
      </c>
      <c r="B343" s="33" t="s">
        <v>55</v>
      </c>
      <c r="C343" s="33" t="s">
        <v>202</v>
      </c>
      <c r="D343" s="33" t="s">
        <v>6</v>
      </c>
      <c r="E343" s="33" t="s">
        <v>203</v>
      </c>
      <c r="F343" s="33" t="s">
        <v>24</v>
      </c>
      <c r="G343" s="33" t="s">
        <v>225</v>
      </c>
      <c r="H343" s="33" t="s">
        <v>205</v>
      </c>
      <c r="I343" s="33" t="s">
        <v>206</v>
      </c>
      <c r="J343" s="33">
        <v>177.91</v>
      </c>
      <c r="K343" s="33">
        <v>1.21644</v>
      </c>
      <c r="L343" s="33">
        <v>0.53234999999999999</v>
      </c>
      <c r="Q343" s="33" t="s">
        <v>207</v>
      </c>
      <c r="R343" s="33">
        <v>2023</v>
      </c>
    </row>
    <row r="344" spans="1:18" ht="96.6" hidden="1" x14ac:dyDescent="0.25">
      <c r="A344" s="33" t="s">
        <v>108</v>
      </c>
      <c r="B344" s="33" t="s">
        <v>61</v>
      </c>
      <c r="C344" s="33" t="s">
        <v>202</v>
      </c>
      <c r="D344" s="33" t="s">
        <v>6</v>
      </c>
      <c r="E344" s="33" t="s">
        <v>203</v>
      </c>
      <c r="F344" s="33" t="s">
        <v>24</v>
      </c>
      <c r="G344" s="33" t="s">
        <v>225</v>
      </c>
      <c r="H344" s="33" t="s">
        <v>205</v>
      </c>
      <c r="I344" s="33" t="s">
        <v>206</v>
      </c>
      <c r="J344" s="33">
        <v>177.91</v>
      </c>
      <c r="K344" s="33">
        <v>1.21644</v>
      </c>
      <c r="L344" s="33">
        <v>0.53234999999999999</v>
      </c>
      <c r="Q344" s="33" t="s">
        <v>207</v>
      </c>
      <c r="R344" s="33">
        <v>2023</v>
      </c>
    </row>
    <row r="345" spans="1:18" ht="96.6" hidden="1" x14ac:dyDescent="0.25">
      <c r="A345" s="33" t="s">
        <v>157</v>
      </c>
      <c r="B345" s="33" t="s">
        <v>72</v>
      </c>
      <c r="C345" s="33" t="s">
        <v>202</v>
      </c>
      <c r="D345" s="33" t="s">
        <v>6</v>
      </c>
      <c r="E345" s="33" t="s">
        <v>203</v>
      </c>
      <c r="F345" s="33" t="s">
        <v>24</v>
      </c>
      <c r="G345" s="33" t="s">
        <v>225</v>
      </c>
      <c r="H345" s="33" t="s">
        <v>205</v>
      </c>
      <c r="I345" s="33" t="s">
        <v>206</v>
      </c>
      <c r="J345" s="33">
        <v>177.91</v>
      </c>
      <c r="K345" s="33">
        <v>1.21644</v>
      </c>
      <c r="L345" s="33">
        <v>0.53234999999999999</v>
      </c>
      <c r="Q345" s="33" t="s">
        <v>207</v>
      </c>
      <c r="R345" s="33">
        <v>2023</v>
      </c>
    </row>
    <row r="346" spans="1:18" ht="96.6" hidden="1" x14ac:dyDescent="0.25">
      <c r="A346" s="33" t="s">
        <v>123</v>
      </c>
      <c r="B346" s="33" t="s">
        <v>59</v>
      </c>
      <c r="C346" s="33" t="s">
        <v>202</v>
      </c>
      <c r="D346" s="33" t="s">
        <v>6</v>
      </c>
      <c r="E346" s="33" t="s">
        <v>203</v>
      </c>
      <c r="F346" s="33" t="s">
        <v>24</v>
      </c>
      <c r="G346" s="33" t="s">
        <v>225</v>
      </c>
      <c r="H346" s="33" t="s">
        <v>205</v>
      </c>
      <c r="I346" s="33" t="s">
        <v>206</v>
      </c>
      <c r="J346" s="33">
        <v>177.91</v>
      </c>
      <c r="K346" s="33">
        <v>1.21644</v>
      </c>
      <c r="L346" s="33">
        <v>0.53234999999999999</v>
      </c>
      <c r="Q346" s="33" t="s">
        <v>207</v>
      </c>
      <c r="R346" s="33">
        <v>2023</v>
      </c>
    </row>
    <row r="347" spans="1:18" ht="96.6" hidden="1" x14ac:dyDescent="0.25">
      <c r="A347" s="33" t="s">
        <v>123</v>
      </c>
      <c r="B347" s="33" t="s">
        <v>60</v>
      </c>
      <c r="C347" s="33" t="s">
        <v>202</v>
      </c>
      <c r="D347" s="33" t="s">
        <v>6</v>
      </c>
      <c r="E347" s="33" t="s">
        <v>203</v>
      </c>
      <c r="F347" s="33" t="s">
        <v>24</v>
      </c>
      <c r="G347" s="33" t="s">
        <v>225</v>
      </c>
      <c r="H347" s="33" t="s">
        <v>205</v>
      </c>
      <c r="I347" s="33" t="s">
        <v>206</v>
      </c>
      <c r="J347" s="33">
        <v>177.91</v>
      </c>
      <c r="K347" s="33">
        <v>1.21644</v>
      </c>
      <c r="L347" s="33">
        <v>0.53234999999999999</v>
      </c>
      <c r="Q347" s="33" t="s">
        <v>207</v>
      </c>
      <c r="R347" s="33">
        <v>2023</v>
      </c>
    </row>
    <row r="348" spans="1:18" ht="96.6" hidden="1" x14ac:dyDescent="0.25">
      <c r="A348" s="33" t="s">
        <v>123</v>
      </c>
      <c r="B348" s="33" t="s">
        <v>63</v>
      </c>
      <c r="C348" s="33" t="s">
        <v>202</v>
      </c>
      <c r="D348" s="33" t="s">
        <v>6</v>
      </c>
      <c r="E348" s="33" t="s">
        <v>203</v>
      </c>
      <c r="F348" s="33" t="s">
        <v>24</v>
      </c>
      <c r="G348" s="33" t="s">
        <v>225</v>
      </c>
      <c r="H348" s="33" t="s">
        <v>205</v>
      </c>
      <c r="I348" s="33" t="s">
        <v>206</v>
      </c>
      <c r="J348" s="33">
        <v>177.91</v>
      </c>
      <c r="K348" s="33">
        <v>1.21644</v>
      </c>
      <c r="L348" s="33">
        <v>0.53234999999999999</v>
      </c>
      <c r="Q348" s="33" t="s">
        <v>207</v>
      </c>
      <c r="R348" s="33">
        <v>2023</v>
      </c>
    </row>
    <row r="349" spans="1:18" ht="96.6" hidden="1" x14ac:dyDescent="0.25">
      <c r="A349" s="33" t="s">
        <v>123</v>
      </c>
      <c r="B349" s="33" t="s">
        <v>64</v>
      </c>
      <c r="C349" s="33" t="s">
        <v>202</v>
      </c>
      <c r="D349" s="33" t="s">
        <v>6</v>
      </c>
      <c r="E349" s="33" t="s">
        <v>203</v>
      </c>
      <c r="F349" s="33" t="s">
        <v>24</v>
      </c>
      <c r="G349" s="33" t="s">
        <v>225</v>
      </c>
      <c r="H349" s="33" t="s">
        <v>205</v>
      </c>
      <c r="I349" s="33" t="s">
        <v>206</v>
      </c>
      <c r="J349" s="33">
        <v>177.91</v>
      </c>
      <c r="K349" s="33">
        <v>1.21644</v>
      </c>
      <c r="L349" s="33">
        <v>0.53234999999999999</v>
      </c>
      <c r="Q349" s="33" t="s">
        <v>207</v>
      </c>
      <c r="R349" s="33">
        <v>2023</v>
      </c>
    </row>
    <row r="350" spans="1:18" ht="96.6" hidden="1" x14ac:dyDescent="0.25">
      <c r="A350" s="33" t="s">
        <v>123</v>
      </c>
      <c r="B350" s="33" t="s">
        <v>66</v>
      </c>
      <c r="C350" s="33" t="s">
        <v>202</v>
      </c>
      <c r="D350" s="33" t="s">
        <v>6</v>
      </c>
      <c r="E350" s="33" t="s">
        <v>203</v>
      </c>
      <c r="F350" s="33" t="s">
        <v>24</v>
      </c>
      <c r="G350" s="33" t="s">
        <v>225</v>
      </c>
      <c r="H350" s="33" t="s">
        <v>205</v>
      </c>
      <c r="I350" s="33" t="s">
        <v>206</v>
      </c>
      <c r="J350" s="33">
        <v>177.91</v>
      </c>
      <c r="K350" s="33">
        <v>1.21644</v>
      </c>
      <c r="L350" s="33">
        <v>0.53234999999999999</v>
      </c>
      <c r="Q350" s="33" t="s">
        <v>207</v>
      </c>
      <c r="R350" s="33">
        <v>2023</v>
      </c>
    </row>
    <row r="351" spans="1:18" ht="96.6" hidden="1" x14ac:dyDescent="0.25">
      <c r="A351" s="33" t="s">
        <v>123</v>
      </c>
      <c r="B351" s="33" t="s">
        <v>67</v>
      </c>
      <c r="C351" s="33" t="s">
        <v>202</v>
      </c>
      <c r="D351" s="33" t="s">
        <v>6</v>
      </c>
      <c r="E351" s="33" t="s">
        <v>203</v>
      </c>
      <c r="F351" s="33" t="s">
        <v>24</v>
      </c>
      <c r="G351" s="33" t="s">
        <v>225</v>
      </c>
      <c r="H351" s="33" t="s">
        <v>205</v>
      </c>
      <c r="I351" s="33" t="s">
        <v>206</v>
      </c>
      <c r="J351" s="33">
        <v>177.91</v>
      </c>
      <c r="K351" s="33">
        <v>1.21644</v>
      </c>
      <c r="L351" s="33">
        <v>0.53234999999999999</v>
      </c>
      <c r="Q351" s="33" t="s">
        <v>207</v>
      </c>
      <c r="R351" s="33">
        <v>2023</v>
      </c>
    </row>
    <row r="352" spans="1:18" ht="96.6" x14ac:dyDescent="0.25">
      <c r="A352" s="33" t="s">
        <v>123</v>
      </c>
      <c r="B352" s="33" t="s">
        <v>68</v>
      </c>
      <c r="C352" s="33" t="s">
        <v>202</v>
      </c>
      <c r="D352" s="33" t="s">
        <v>6</v>
      </c>
      <c r="E352" s="33" t="s">
        <v>203</v>
      </c>
      <c r="F352" s="33" t="s">
        <v>24</v>
      </c>
      <c r="G352" s="33" t="s">
        <v>225</v>
      </c>
      <c r="H352" s="33" t="s">
        <v>205</v>
      </c>
      <c r="I352" s="33" t="s">
        <v>206</v>
      </c>
      <c r="J352" s="33">
        <v>177.91</v>
      </c>
      <c r="K352" s="33">
        <v>1.21644</v>
      </c>
      <c r="L352" s="33">
        <v>0.53234999999999999</v>
      </c>
      <c r="Q352" s="33" t="s">
        <v>207</v>
      </c>
      <c r="R352" s="33">
        <v>2023</v>
      </c>
    </row>
    <row r="353" spans="1:18" ht="96.6" hidden="1" x14ac:dyDescent="0.25">
      <c r="A353" s="33" t="s">
        <v>123</v>
      </c>
      <c r="B353" s="33" t="s">
        <v>77</v>
      </c>
      <c r="C353" s="33" t="s">
        <v>202</v>
      </c>
      <c r="D353" s="33" t="s">
        <v>6</v>
      </c>
      <c r="E353" s="33" t="s">
        <v>203</v>
      </c>
      <c r="F353" s="33" t="s">
        <v>24</v>
      </c>
      <c r="G353" s="33" t="s">
        <v>225</v>
      </c>
      <c r="H353" s="33" t="s">
        <v>205</v>
      </c>
      <c r="I353" s="33" t="s">
        <v>206</v>
      </c>
      <c r="J353" s="33">
        <v>177.91</v>
      </c>
      <c r="K353" s="33">
        <v>1.21644</v>
      </c>
      <c r="L353" s="33">
        <v>0.53234999999999999</v>
      </c>
      <c r="Q353" s="33" t="s">
        <v>207</v>
      </c>
      <c r="R353" s="33">
        <v>2023</v>
      </c>
    </row>
    <row r="354" spans="1:18" ht="96.6" hidden="1" x14ac:dyDescent="0.25">
      <c r="A354" s="33" t="s">
        <v>113</v>
      </c>
      <c r="B354" s="33" t="s">
        <v>56</v>
      </c>
      <c r="C354" s="33" t="s">
        <v>202</v>
      </c>
      <c r="D354" s="33" t="s">
        <v>6</v>
      </c>
      <c r="E354" s="33" t="s">
        <v>203</v>
      </c>
      <c r="F354" s="33" t="s">
        <v>24</v>
      </c>
      <c r="G354" s="33" t="s">
        <v>225</v>
      </c>
      <c r="H354" s="33" t="s">
        <v>205</v>
      </c>
      <c r="I354" s="33" t="s">
        <v>206</v>
      </c>
      <c r="J354" s="33">
        <v>177.91</v>
      </c>
      <c r="K354" s="33">
        <v>1.21644</v>
      </c>
      <c r="L354" s="33">
        <v>0.53234999999999999</v>
      </c>
      <c r="Q354" s="33" t="s">
        <v>207</v>
      </c>
      <c r="R354" s="33">
        <v>2023</v>
      </c>
    </row>
    <row r="355" spans="1:18" ht="96.6" hidden="1" x14ac:dyDescent="0.25">
      <c r="A355" s="33" t="s">
        <v>113</v>
      </c>
      <c r="B355" s="33" t="s">
        <v>62</v>
      </c>
      <c r="C355" s="33" t="s">
        <v>202</v>
      </c>
      <c r="D355" s="33" t="s">
        <v>6</v>
      </c>
      <c r="E355" s="33" t="s">
        <v>203</v>
      </c>
      <c r="F355" s="33" t="s">
        <v>24</v>
      </c>
      <c r="G355" s="33" t="s">
        <v>225</v>
      </c>
      <c r="H355" s="33" t="s">
        <v>205</v>
      </c>
      <c r="I355" s="33" t="s">
        <v>206</v>
      </c>
      <c r="J355" s="33">
        <v>177.91</v>
      </c>
      <c r="K355" s="33">
        <v>1.21644</v>
      </c>
      <c r="L355" s="33">
        <v>0.53234999999999999</v>
      </c>
      <c r="Q355" s="33" t="s">
        <v>207</v>
      </c>
      <c r="R355" s="33">
        <v>2023</v>
      </c>
    </row>
    <row r="356" spans="1:18" ht="96.6" hidden="1" x14ac:dyDescent="0.25">
      <c r="A356" s="33" t="s">
        <v>113</v>
      </c>
      <c r="B356" s="33" t="s">
        <v>65</v>
      </c>
      <c r="C356" s="33" t="s">
        <v>202</v>
      </c>
      <c r="D356" s="33" t="s">
        <v>6</v>
      </c>
      <c r="E356" s="33" t="s">
        <v>203</v>
      </c>
      <c r="F356" s="33" t="s">
        <v>24</v>
      </c>
      <c r="G356" s="33" t="s">
        <v>225</v>
      </c>
      <c r="H356" s="33" t="s">
        <v>205</v>
      </c>
      <c r="I356" s="33" t="s">
        <v>206</v>
      </c>
      <c r="J356" s="33">
        <v>177.91</v>
      </c>
      <c r="K356" s="33">
        <v>1.21644</v>
      </c>
      <c r="L356" s="33">
        <v>0.53234999999999999</v>
      </c>
      <c r="Q356" s="33" t="s">
        <v>207</v>
      </c>
      <c r="R356" s="33">
        <v>2023</v>
      </c>
    </row>
    <row r="357" spans="1:18" ht="96.6" hidden="1" x14ac:dyDescent="0.25">
      <c r="A357" s="33" t="s">
        <v>172</v>
      </c>
      <c r="B357" s="33" t="s">
        <v>78</v>
      </c>
      <c r="C357" s="33" t="s">
        <v>202</v>
      </c>
      <c r="D357" s="33" t="s">
        <v>6</v>
      </c>
      <c r="E357" s="33" t="s">
        <v>203</v>
      </c>
      <c r="F357" s="33" t="s">
        <v>24</v>
      </c>
      <c r="G357" s="33" t="s">
        <v>225</v>
      </c>
      <c r="H357" s="33" t="s">
        <v>205</v>
      </c>
      <c r="I357" s="33" t="s">
        <v>206</v>
      </c>
      <c r="J357" s="33">
        <v>177.91</v>
      </c>
      <c r="K357" s="33">
        <v>1.21644</v>
      </c>
      <c r="L357" s="33">
        <v>0.53234999999999999</v>
      </c>
      <c r="Q357" s="33" t="s">
        <v>207</v>
      </c>
      <c r="R357" s="33">
        <v>2023</v>
      </c>
    </row>
    <row r="358" spans="1:18" ht="96.6" hidden="1" x14ac:dyDescent="0.25">
      <c r="A358" s="33" t="s">
        <v>118</v>
      </c>
      <c r="B358" s="33" t="s">
        <v>57</v>
      </c>
      <c r="C358" s="33" t="s">
        <v>202</v>
      </c>
      <c r="D358" s="33" t="s">
        <v>6</v>
      </c>
      <c r="E358" s="33" t="s">
        <v>203</v>
      </c>
      <c r="F358" s="33" t="s">
        <v>24</v>
      </c>
      <c r="G358" s="33" t="s">
        <v>225</v>
      </c>
      <c r="H358" s="33" t="s">
        <v>205</v>
      </c>
      <c r="I358" s="33" t="s">
        <v>206</v>
      </c>
      <c r="J358" s="33">
        <v>177.91</v>
      </c>
      <c r="K358" s="33">
        <v>1.21644</v>
      </c>
      <c r="L358" s="33">
        <v>0.53234999999999999</v>
      </c>
      <c r="Q358" s="33" t="s">
        <v>207</v>
      </c>
      <c r="R358" s="33">
        <v>2023</v>
      </c>
    </row>
    <row r="359" spans="1:18" ht="96.6" hidden="1" x14ac:dyDescent="0.25">
      <c r="A359" s="33" t="s">
        <v>118</v>
      </c>
      <c r="B359" s="33" t="s">
        <v>58</v>
      </c>
      <c r="C359" s="33" t="s">
        <v>202</v>
      </c>
      <c r="D359" s="33" t="s">
        <v>6</v>
      </c>
      <c r="E359" s="33" t="s">
        <v>203</v>
      </c>
      <c r="F359" s="33" t="s">
        <v>24</v>
      </c>
      <c r="G359" s="33" t="s">
        <v>225</v>
      </c>
      <c r="H359" s="33" t="s">
        <v>205</v>
      </c>
      <c r="I359" s="33" t="s">
        <v>206</v>
      </c>
      <c r="J359" s="33">
        <v>177.91</v>
      </c>
      <c r="K359" s="33">
        <v>1.21644</v>
      </c>
      <c r="L359" s="33">
        <v>0.53234999999999999</v>
      </c>
      <c r="Q359" s="33" t="s">
        <v>207</v>
      </c>
      <c r="R359" s="33">
        <v>2023</v>
      </c>
    </row>
    <row r="360" spans="1:18" ht="96.6" hidden="1" x14ac:dyDescent="0.25">
      <c r="A360" s="33" t="s">
        <v>118</v>
      </c>
      <c r="B360" s="33" t="s">
        <v>69</v>
      </c>
      <c r="C360" s="33" t="s">
        <v>202</v>
      </c>
      <c r="D360" s="33" t="s">
        <v>6</v>
      </c>
      <c r="E360" s="33" t="s">
        <v>203</v>
      </c>
      <c r="F360" s="33" t="s">
        <v>24</v>
      </c>
      <c r="G360" s="33" t="s">
        <v>225</v>
      </c>
      <c r="H360" s="33" t="s">
        <v>205</v>
      </c>
      <c r="I360" s="33" t="s">
        <v>206</v>
      </c>
      <c r="J360" s="33">
        <v>177.91</v>
      </c>
      <c r="K360" s="33">
        <v>1.21644</v>
      </c>
      <c r="L360" s="33">
        <v>0.53234999999999999</v>
      </c>
      <c r="Q360" s="33" t="s">
        <v>207</v>
      </c>
      <c r="R360" s="33">
        <v>2023</v>
      </c>
    </row>
    <row r="361" spans="1:18" ht="96.6" hidden="1" x14ac:dyDescent="0.25">
      <c r="A361" s="33" t="s">
        <v>118</v>
      </c>
      <c r="B361" s="33" t="s">
        <v>70</v>
      </c>
      <c r="C361" s="33" t="s">
        <v>202</v>
      </c>
      <c r="D361" s="33" t="s">
        <v>6</v>
      </c>
      <c r="E361" s="33" t="s">
        <v>203</v>
      </c>
      <c r="F361" s="33" t="s">
        <v>24</v>
      </c>
      <c r="G361" s="33" t="s">
        <v>225</v>
      </c>
      <c r="H361" s="33" t="s">
        <v>205</v>
      </c>
      <c r="I361" s="33" t="s">
        <v>206</v>
      </c>
      <c r="J361" s="33">
        <v>177.91</v>
      </c>
      <c r="K361" s="33">
        <v>1.21644</v>
      </c>
      <c r="L361" s="33">
        <v>0.53234999999999999</v>
      </c>
      <c r="Q361" s="33" t="s">
        <v>207</v>
      </c>
      <c r="R361" s="33">
        <v>2023</v>
      </c>
    </row>
    <row r="362" spans="1:18" ht="96.6" hidden="1" x14ac:dyDescent="0.25">
      <c r="A362" s="33" t="s">
        <v>118</v>
      </c>
      <c r="B362" s="33" t="s">
        <v>71</v>
      </c>
      <c r="C362" s="33" t="s">
        <v>202</v>
      </c>
      <c r="D362" s="33" t="s">
        <v>6</v>
      </c>
      <c r="E362" s="33" t="s">
        <v>203</v>
      </c>
      <c r="F362" s="33" t="s">
        <v>24</v>
      </c>
      <c r="G362" s="33" t="s">
        <v>225</v>
      </c>
      <c r="H362" s="33" t="s">
        <v>205</v>
      </c>
      <c r="I362" s="33" t="s">
        <v>206</v>
      </c>
      <c r="J362" s="33">
        <v>177.91</v>
      </c>
      <c r="K362" s="33">
        <v>1.21644</v>
      </c>
      <c r="L362" s="33">
        <v>0.53234999999999999</v>
      </c>
      <c r="Q362" s="33" t="s">
        <v>207</v>
      </c>
      <c r="R362" s="33">
        <v>2023</v>
      </c>
    </row>
    <row r="363" spans="1:18" ht="96.6" hidden="1" x14ac:dyDescent="0.25">
      <c r="A363" s="33" t="s">
        <v>118</v>
      </c>
      <c r="B363" s="33" t="s">
        <v>73</v>
      </c>
      <c r="C363" s="33" t="s">
        <v>202</v>
      </c>
      <c r="D363" s="33" t="s">
        <v>6</v>
      </c>
      <c r="E363" s="33" t="s">
        <v>203</v>
      </c>
      <c r="F363" s="33" t="s">
        <v>24</v>
      </c>
      <c r="G363" s="33" t="s">
        <v>225</v>
      </c>
      <c r="H363" s="33" t="s">
        <v>205</v>
      </c>
      <c r="I363" s="33" t="s">
        <v>206</v>
      </c>
      <c r="J363" s="33">
        <v>177.91</v>
      </c>
      <c r="K363" s="33">
        <v>1.21644</v>
      </c>
      <c r="L363" s="33">
        <v>0.53234999999999999</v>
      </c>
      <c r="Q363" s="33" t="s">
        <v>207</v>
      </c>
      <c r="R363" s="33">
        <v>2023</v>
      </c>
    </row>
    <row r="364" spans="1:18" ht="96.6" hidden="1" x14ac:dyDescent="0.25">
      <c r="A364" s="33" t="s">
        <v>118</v>
      </c>
      <c r="B364" s="33" t="s">
        <v>74</v>
      </c>
      <c r="C364" s="33" t="s">
        <v>202</v>
      </c>
      <c r="D364" s="33" t="s">
        <v>6</v>
      </c>
      <c r="E364" s="33" t="s">
        <v>203</v>
      </c>
      <c r="F364" s="33" t="s">
        <v>24</v>
      </c>
      <c r="G364" s="33" t="s">
        <v>225</v>
      </c>
      <c r="H364" s="33" t="s">
        <v>205</v>
      </c>
      <c r="I364" s="33" t="s">
        <v>206</v>
      </c>
      <c r="J364" s="33">
        <v>177.91</v>
      </c>
      <c r="K364" s="33">
        <v>1.21644</v>
      </c>
      <c r="L364" s="33">
        <v>0.53234999999999999</v>
      </c>
      <c r="Q364" s="33" t="s">
        <v>207</v>
      </c>
      <c r="R364" s="33">
        <v>2023</v>
      </c>
    </row>
    <row r="365" spans="1:18" ht="96.6" hidden="1" x14ac:dyDescent="0.25">
      <c r="A365" s="33" t="s">
        <v>118</v>
      </c>
      <c r="B365" s="33" t="s">
        <v>75</v>
      </c>
      <c r="C365" s="33" t="s">
        <v>202</v>
      </c>
      <c r="D365" s="33" t="s">
        <v>6</v>
      </c>
      <c r="E365" s="33" t="s">
        <v>203</v>
      </c>
      <c r="F365" s="33" t="s">
        <v>24</v>
      </c>
      <c r="G365" s="33" t="s">
        <v>225</v>
      </c>
      <c r="H365" s="33" t="s">
        <v>205</v>
      </c>
      <c r="I365" s="33" t="s">
        <v>206</v>
      </c>
      <c r="J365" s="33">
        <v>177.91</v>
      </c>
      <c r="K365" s="33">
        <v>1.21644</v>
      </c>
      <c r="L365" s="33">
        <v>0.53234999999999999</v>
      </c>
      <c r="Q365" s="33" t="s">
        <v>207</v>
      </c>
      <c r="R365" s="33">
        <v>2023</v>
      </c>
    </row>
    <row r="366" spans="1:18" ht="96.6" hidden="1" x14ac:dyDescent="0.25">
      <c r="A366" s="33" t="s">
        <v>118</v>
      </c>
      <c r="B366" s="33" t="s">
        <v>76</v>
      </c>
      <c r="C366" s="33" t="s">
        <v>202</v>
      </c>
      <c r="D366" s="33" t="s">
        <v>6</v>
      </c>
      <c r="E366" s="33" t="s">
        <v>203</v>
      </c>
      <c r="F366" s="33" t="s">
        <v>24</v>
      </c>
      <c r="G366" s="33" t="s">
        <v>225</v>
      </c>
      <c r="H366" s="33" t="s">
        <v>205</v>
      </c>
      <c r="I366" s="33" t="s">
        <v>206</v>
      </c>
      <c r="J366" s="33">
        <v>177.91</v>
      </c>
      <c r="K366" s="33">
        <v>1.21644</v>
      </c>
      <c r="L366" s="33">
        <v>0.53234999999999999</v>
      </c>
      <c r="Q366" s="33" t="s">
        <v>207</v>
      </c>
      <c r="R366" s="33">
        <v>2023</v>
      </c>
    </row>
    <row r="367" spans="1:18" ht="96.6" hidden="1" x14ac:dyDescent="0.25">
      <c r="A367" s="33" t="s">
        <v>108</v>
      </c>
      <c r="B367" s="33" t="s">
        <v>55</v>
      </c>
      <c r="C367" s="33" t="s">
        <v>202</v>
      </c>
      <c r="D367" s="33" t="s">
        <v>7</v>
      </c>
      <c r="E367" s="33" t="s">
        <v>203</v>
      </c>
      <c r="F367" s="33" t="s">
        <v>25</v>
      </c>
      <c r="G367" s="33" t="s">
        <v>252</v>
      </c>
      <c r="H367" s="33" t="s">
        <v>205</v>
      </c>
      <c r="I367" s="33" t="s">
        <v>206</v>
      </c>
      <c r="J367" s="33">
        <v>520.33474000000001</v>
      </c>
      <c r="Q367" s="33" t="s">
        <v>207</v>
      </c>
      <c r="R367" s="33">
        <v>2023</v>
      </c>
    </row>
    <row r="368" spans="1:18" ht="96.6" hidden="1" x14ac:dyDescent="0.25">
      <c r="A368" s="33" t="s">
        <v>108</v>
      </c>
      <c r="B368" s="33" t="s">
        <v>61</v>
      </c>
      <c r="C368" s="33" t="s">
        <v>202</v>
      </c>
      <c r="D368" s="33" t="s">
        <v>7</v>
      </c>
      <c r="E368" s="33" t="s">
        <v>203</v>
      </c>
      <c r="F368" s="33" t="s">
        <v>25</v>
      </c>
      <c r="G368" s="33" t="s">
        <v>252</v>
      </c>
      <c r="H368" s="33" t="s">
        <v>205</v>
      </c>
      <c r="I368" s="33" t="s">
        <v>206</v>
      </c>
      <c r="J368" s="33">
        <v>520.33474000000001</v>
      </c>
      <c r="Q368" s="33" t="s">
        <v>207</v>
      </c>
      <c r="R368" s="33">
        <v>2023</v>
      </c>
    </row>
    <row r="369" spans="1:18" ht="96.6" hidden="1" x14ac:dyDescent="0.25">
      <c r="A369" s="33" t="s">
        <v>157</v>
      </c>
      <c r="B369" s="33" t="s">
        <v>72</v>
      </c>
      <c r="C369" s="33" t="s">
        <v>202</v>
      </c>
      <c r="D369" s="33" t="s">
        <v>7</v>
      </c>
      <c r="E369" s="33" t="s">
        <v>203</v>
      </c>
      <c r="F369" s="33" t="s">
        <v>25</v>
      </c>
      <c r="G369" s="33" t="s">
        <v>252</v>
      </c>
      <c r="H369" s="33" t="s">
        <v>205</v>
      </c>
      <c r="I369" s="33" t="s">
        <v>206</v>
      </c>
      <c r="J369" s="33">
        <v>520.33474000000001</v>
      </c>
      <c r="Q369" s="33" t="s">
        <v>207</v>
      </c>
      <c r="R369" s="33">
        <v>2023</v>
      </c>
    </row>
    <row r="370" spans="1:18" ht="96.6" hidden="1" x14ac:dyDescent="0.25">
      <c r="A370" s="33" t="s">
        <v>123</v>
      </c>
      <c r="B370" s="33" t="s">
        <v>59</v>
      </c>
      <c r="C370" s="33" t="s">
        <v>202</v>
      </c>
      <c r="D370" s="33" t="s">
        <v>7</v>
      </c>
      <c r="E370" s="33" t="s">
        <v>203</v>
      </c>
      <c r="F370" s="33" t="s">
        <v>25</v>
      </c>
      <c r="G370" s="33" t="s">
        <v>252</v>
      </c>
      <c r="H370" s="33" t="s">
        <v>205</v>
      </c>
      <c r="I370" s="33" t="s">
        <v>206</v>
      </c>
      <c r="J370" s="33">
        <v>520.33474000000001</v>
      </c>
      <c r="Q370" s="33" t="s">
        <v>207</v>
      </c>
      <c r="R370" s="33">
        <v>2023</v>
      </c>
    </row>
    <row r="371" spans="1:18" ht="96.6" hidden="1" x14ac:dyDescent="0.25">
      <c r="A371" s="33" t="s">
        <v>123</v>
      </c>
      <c r="B371" s="33" t="s">
        <v>60</v>
      </c>
      <c r="C371" s="33" t="s">
        <v>202</v>
      </c>
      <c r="D371" s="33" t="s">
        <v>7</v>
      </c>
      <c r="E371" s="33" t="s">
        <v>203</v>
      </c>
      <c r="F371" s="33" t="s">
        <v>25</v>
      </c>
      <c r="G371" s="33" t="s">
        <v>252</v>
      </c>
      <c r="H371" s="33" t="s">
        <v>205</v>
      </c>
      <c r="I371" s="33" t="s">
        <v>206</v>
      </c>
      <c r="J371" s="33">
        <v>520.33474000000001</v>
      </c>
      <c r="Q371" s="33" t="s">
        <v>207</v>
      </c>
      <c r="R371" s="33">
        <v>2023</v>
      </c>
    </row>
    <row r="372" spans="1:18" ht="96.6" hidden="1" x14ac:dyDescent="0.25">
      <c r="A372" s="33" t="s">
        <v>123</v>
      </c>
      <c r="B372" s="33" t="s">
        <v>63</v>
      </c>
      <c r="C372" s="33" t="s">
        <v>202</v>
      </c>
      <c r="D372" s="33" t="s">
        <v>7</v>
      </c>
      <c r="E372" s="33" t="s">
        <v>203</v>
      </c>
      <c r="F372" s="33" t="s">
        <v>25</v>
      </c>
      <c r="G372" s="33" t="s">
        <v>252</v>
      </c>
      <c r="H372" s="33" t="s">
        <v>205</v>
      </c>
      <c r="I372" s="33" t="s">
        <v>206</v>
      </c>
      <c r="J372" s="33">
        <v>520.33474000000001</v>
      </c>
      <c r="Q372" s="33" t="s">
        <v>207</v>
      </c>
      <c r="R372" s="33">
        <v>2023</v>
      </c>
    </row>
    <row r="373" spans="1:18" ht="96.6" hidden="1" x14ac:dyDescent="0.25">
      <c r="A373" s="33" t="s">
        <v>123</v>
      </c>
      <c r="B373" s="33" t="s">
        <v>64</v>
      </c>
      <c r="C373" s="33" t="s">
        <v>202</v>
      </c>
      <c r="D373" s="33" t="s">
        <v>7</v>
      </c>
      <c r="E373" s="33" t="s">
        <v>203</v>
      </c>
      <c r="F373" s="33" t="s">
        <v>25</v>
      </c>
      <c r="G373" s="33" t="s">
        <v>252</v>
      </c>
      <c r="H373" s="33" t="s">
        <v>205</v>
      </c>
      <c r="I373" s="33" t="s">
        <v>206</v>
      </c>
      <c r="J373" s="33">
        <v>520.33474000000001</v>
      </c>
      <c r="Q373" s="33" t="s">
        <v>207</v>
      </c>
      <c r="R373" s="33">
        <v>2023</v>
      </c>
    </row>
    <row r="374" spans="1:18" ht="96.6" hidden="1" x14ac:dyDescent="0.25">
      <c r="A374" s="33" t="s">
        <v>123</v>
      </c>
      <c r="B374" s="33" t="s">
        <v>66</v>
      </c>
      <c r="C374" s="33" t="s">
        <v>202</v>
      </c>
      <c r="D374" s="33" t="s">
        <v>7</v>
      </c>
      <c r="E374" s="33" t="s">
        <v>203</v>
      </c>
      <c r="F374" s="33" t="s">
        <v>25</v>
      </c>
      <c r="G374" s="33" t="s">
        <v>252</v>
      </c>
      <c r="H374" s="33" t="s">
        <v>205</v>
      </c>
      <c r="I374" s="33" t="s">
        <v>206</v>
      </c>
      <c r="J374" s="33">
        <v>520.33474000000001</v>
      </c>
      <c r="Q374" s="33" t="s">
        <v>207</v>
      </c>
      <c r="R374" s="33">
        <v>2023</v>
      </c>
    </row>
    <row r="375" spans="1:18" ht="96.6" hidden="1" x14ac:dyDescent="0.25">
      <c r="A375" s="33" t="s">
        <v>123</v>
      </c>
      <c r="B375" s="33" t="s">
        <v>67</v>
      </c>
      <c r="C375" s="33" t="s">
        <v>202</v>
      </c>
      <c r="D375" s="33" t="s">
        <v>7</v>
      </c>
      <c r="E375" s="33" t="s">
        <v>203</v>
      </c>
      <c r="F375" s="33" t="s">
        <v>25</v>
      </c>
      <c r="G375" s="33" t="s">
        <v>252</v>
      </c>
      <c r="H375" s="33" t="s">
        <v>205</v>
      </c>
      <c r="I375" s="33" t="s">
        <v>206</v>
      </c>
      <c r="J375" s="33">
        <v>520.33474000000001</v>
      </c>
      <c r="Q375" s="33" t="s">
        <v>207</v>
      </c>
      <c r="R375" s="33">
        <v>2023</v>
      </c>
    </row>
    <row r="376" spans="1:18" ht="96.6" x14ac:dyDescent="0.25">
      <c r="A376" s="33" t="s">
        <v>123</v>
      </c>
      <c r="B376" s="33" t="s">
        <v>68</v>
      </c>
      <c r="C376" s="33" t="s">
        <v>202</v>
      </c>
      <c r="D376" s="33" t="s">
        <v>7</v>
      </c>
      <c r="E376" s="33" t="s">
        <v>203</v>
      </c>
      <c r="F376" s="33" t="s">
        <v>25</v>
      </c>
      <c r="G376" s="33" t="s">
        <v>252</v>
      </c>
      <c r="H376" s="33" t="s">
        <v>205</v>
      </c>
      <c r="I376" s="33" t="s">
        <v>206</v>
      </c>
      <c r="J376" s="33">
        <v>520.33474000000001</v>
      </c>
      <c r="Q376" s="33" t="s">
        <v>207</v>
      </c>
      <c r="R376" s="33">
        <v>2023</v>
      </c>
    </row>
    <row r="377" spans="1:18" ht="96.6" hidden="1" x14ac:dyDescent="0.25">
      <c r="A377" s="33" t="s">
        <v>123</v>
      </c>
      <c r="B377" s="33" t="s">
        <v>77</v>
      </c>
      <c r="C377" s="33" t="s">
        <v>202</v>
      </c>
      <c r="D377" s="33" t="s">
        <v>7</v>
      </c>
      <c r="E377" s="33" t="s">
        <v>203</v>
      </c>
      <c r="F377" s="33" t="s">
        <v>25</v>
      </c>
      <c r="G377" s="33" t="s">
        <v>252</v>
      </c>
      <c r="H377" s="33" t="s">
        <v>205</v>
      </c>
      <c r="I377" s="33" t="s">
        <v>206</v>
      </c>
      <c r="J377" s="33">
        <v>520.33474000000001</v>
      </c>
      <c r="Q377" s="33" t="s">
        <v>207</v>
      </c>
      <c r="R377" s="33">
        <v>2023</v>
      </c>
    </row>
    <row r="378" spans="1:18" ht="96.6" hidden="1" x14ac:dyDescent="0.25">
      <c r="A378" s="33" t="s">
        <v>113</v>
      </c>
      <c r="B378" s="33" t="s">
        <v>56</v>
      </c>
      <c r="C378" s="33" t="s">
        <v>202</v>
      </c>
      <c r="D378" s="33" t="s">
        <v>7</v>
      </c>
      <c r="E378" s="33" t="s">
        <v>203</v>
      </c>
      <c r="F378" s="33" t="s">
        <v>25</v>
      </c>
      <c r="G378" s="33" t="s">
        <v>252</v>
      </c>
      <c r="H378" s="33" t="s">
        <v>205</v>
      </c>
      <c r="I378" s="33" t="s">
        <v>206</v>
      </c>
      <c r="J378" s="33">
        <v>520.33474000000001</v>
      </c>
      <c r="Q378" s="33" t="s">
        <v>207</v>
      </c>
      <c r="R378" s="33">
        <v>2023</v>
      </c>
    </row>
    <row r="379" spans="1:18" ht="96.6" hidden="1" x14ac:dyDescent="0.25">
      <c r="A379" s="33" t="s">
        <v>113</v>
      </c>
      <c r="B379" s="33" t="s">
        <v>62</v>
      </c>
      <c r="C379" s="33" t="s">
        <v>202</v>
      </c>
      <c r="D379" s="33" t="s">
        <v>7</v>
      </c>
      <c r="E379" s="33" t="s">
        <v>203</v>
      </c>
      <c r="F379" s="33" t="s">
        <v>25</v>
      </c>
      <c r="G379" s="33" t="s">
        <v>252</v>
      </c>
      <c r="H379" s="33" t="s">
        <v>205</v>
      </c>
      <c r="I379" s="33" t="s">
        <v>206</v>
      </c>
      <c r="J379" s="33">
        <v>520.33474000000001</v>
      </c>
      <c r="Q379" s="33" t="s">
        <v>207</v>
      </c>
      <c r="R379" s="33">
        <v>2023</v>
      </c>
    </row>
    <row r="380" spans="1:18" ht="96.6" hidden="1" x14ac:dyDescent="0.25">
      <c r="A380" s="33" t="s">
        <v>113</v>
      </c>
      <c r="B380" s="33" t="s">
        <v>65</v>
      </c>
      <c r="C380" s="33" t="s">
        <v>202</v>
      </c>
      <c r="D380" s="33" t="s">
        <v>7</v>
      </c>
      <c r="E380" s="33" t="s">
        <v>203</v>
      </c>
      <c r="F380" s="33" t="s">
        <v>25</v>
      </c>
      <c r="G380" s="33" t="s">
        <v>252</v>
      </c>
      <c r="H380" s="33" t="s">
        <v>205</v>
      </c>
      <c r="I380" s="33" t="s">
        <v>206</v>
      </c>
      <c r="J380" s="33">
        <v>520.33474000000001</v>
      </c>
      <c r="Q380" s="33" t="s">
        <v>207</v>
      </c>
      <c r="R380" s="33">
        <v>2023</v>
      </c>
    </row>
    <row r="381" spans="1:18" ht="96.6" hidden="1" x14ac:dyDescent="0.25">
      <c r="A381" s="33" t="s">
        <v>172</v>
      </c>
      <c r="B381" s="33" t="s">
        <v>78</v>
      </c>
      <c r="C381" s="33" t="s">
        <v>202</v>
      </c>
      <c r="D381" s="33" t="s">
        <v>7</v>
      </c>
      <c r="E381" s="33" t="s">
        <v>203</v>
      </c>
      <c r="F381" s="33" t="s">
        <v>25</v>
      </c>
      <c r="G381" s="33" t="s">
        <v>252</v>
      </c>
      <c r="H381" s="33" t="s">
        <v>205</v>
      </c>
      <c r="I381" s="33" t="s">
        <v>206</v>
      </c>
      <c r="J381" s="33">
        <v>520.33474000000001</v>
      </c>
      <c r="Q381" s="33" t="s">
        <v>207</v>
      </c>
      <c r="R381" s="33">
        <v>2023</v>
      </c>
    </row>
    <row r="382" spans="1:18" ht="96.6" hidden="1" x14ac:dyDescent="0.25">
      <c r="A382" s="33" t="s">
        <v>118</v>
      </c>
      <c r="B382" s="33" t="s">
        <v>57</v>
      </c>
      <c r="C382" s="33" t="s">
        <v>202</v>
      </c>
      <c r="D382" s="33" t="s">
        <v>7</v>
      </c>
      <c r="E382" s="33" t="s">
        <v>203</v>
      </c>
      <c r="F382" s="33" t="s">
        <v>25</v>
      </c>
      <c r="G382" s="33" t="s">
        <v>252</v>
      </c>
      <c r="H382" s="33" t="s">
        <v>205</v>
      </c>
      <c r="I382" s="33" t="s">
        <v>206</v>
      </c>
      <c r="J382" s="33">
        <v>520.33474000000001</v>
      </c>
      <c r="Q382" s="33" t="s">
        <v>207</v>
      </c>
      <c r="R382" s="33">
        <v>2023</v>
      </c>
    </row>
    <row r="383" spans="1:18" ht="96.6" hidden="1" x14ac:dyDescent="0.25">
      <c r="A383" s="33" t="s">
        <v>118</v>
      </c>
      <c r="B383" s="33" t="s">
        <v>58</v>
      </c>
      <c r="C383" s="33" t="s">
        <v>202</v>
      </c>
      <c r="D383" s="33" t="s">
        <v>7</v>
      </c>
      <c r="E383" s="33" t="s">
        <v>203</v>
      </c>
      <c r="F383" s="33" t="s">
        <v>25</v>
      </c>
      <c r="G383" s="33" t="s">
        <v>252</v>
      </c>
      <c r="H383" s="33" t="s">
        <v>205</v>
      </c>
      <c r="I383" s="33" t="s">
        <v>206</v>
      </c>
      <c r="J383" s="33">
        <v>520.33474000000001</v>
      </c>
      <c r="Q383" s="33" t="s">
        <v>207</v>
      </c>
      <c r="R383" s="33">
        <v>2023</v>
      </c>
    </row>
    <row r="384" spans="1:18" ht="96.6" hidden="1" x14ac:dyDescent="0.25">
      <c r="A384" s="33" t="s">
        <v>118</v>
      </c>
      <c r="B384" s="33" t="s">
        <v>69</v>
      </c>
      <c r="C384" s="33" t="s">
        <v>202</v>
      </c>
      <c r="D384" s="33" t="s">
        <v>7</v>
      </c>
      <c r="E384" s="33" t="s">
        <v>203</v>
      </c>
      <c r="F384" s="33" t="s">
        <v>25</v>
      </c>
      <c r="G384" s="33" t="s">
        <v>252</v>
      </c>
      <c r="H384" s="33" t="s">
        <v>205</v>
      </c>
      <c r="I384" s="33" t="s">
        <v>206</v>
      </c>
      <c r="J384" s="33">
        <v>520.33474000000001</v>
      </c>
      <c r="Q384" s="33" t="s">
        <v>207</v>
      </c>
      <c r="R384" s="33">
        <v>2023</v>
      </c>
    </row>
    <row r="385" spans="1:18" ht="96.6" hidden="1" x14ac:dyDescent="0.25">
      <c r="A385" s="33" t="s">
        <v>118</v>
      </c>
      <c r="B385" s="33" t="s">
        <v>70</v>
      </c>
      <c r="C385" s="33" t="s">
        <v>202</v>
      </c>
      <c r="D385" s="33" t="s">
        <v>7</v>
      </c>
      <c r="E385" s="33" t="s">
        <v>203</v>
      </c>
      <c r="F385" s="33" t="s">
        <v>25</v>
      </c>
      <c r="G385" s="33" t="s">
        <v>252</v>
      </c>
      <c r="H385" s="33" t="s">
        <v>205</v>
      </c>
      <c r="I385" s="33" t="s">
        <v>206</v>
      </c>
      <c r="J385" s="33">
        <v>520.33474000000001</v>
      </c>
      <c r="Q385" s="33" t="s">
        <v>207</v>
      </c>
      <c r="R385" s="33">
        <v>2023</v>
      </c>
    </row>
    <row r="386" spans="1:18" ht="96.6" hidden="1" x14ac:dyDescent="0.25">
      <c r="A386" s="33" t="s">
        <v>118</v>
      </c>
      <c r="B386" s="33" t="s">
        <v>71</v>
      </c>
      <c r="C386" s="33" t="s">
        <v>202</v>
      </c>
      <c r="D386" s="33" t="s">
        <v>7</v>
      </c>
      <c r="E386" s="33" t="s">
        <v>203</v>
      </c>
      <c r="F386" s="33" t="s">
        <v>25</v>
      </c>
      <c r="G386" s="33" t="s">
        <v>252</v>
      </c>
      <c r="H386" s="33" t="s">
        <v>205</v>
      </c>
      <c r="I386" s="33" t="s">
        <v>206</v>
      </c>
      <c r="J386" s="33">
        <v>520.33474000000001</v>
      </c>
      <c r="Q386" s="33" t="s">
        <v>207</v>
      </c>
      <c r="R386" s="33">
        <v>2023</v>
      </c>
    </row>
    <row r="387" spans="1:18" ht="96.6" hidden="1" x14ac:dyDescent="0.25">
      <c r="A387" s="33" t="s">
        <v>118</v>
      </c>
      <c r="B387" s="33" t="s">
        <v>73</v>
      </c>
      <c r="C387" s="33" t="s">
        <v>202</v>
      </c>
      <c r="D387" s="33" t="s">
        <v>7</v>
      </c>
      <c r="E387" s="33" t="s">
        <v>203</v>
      </c>
      <c r="F387" s="33" t="s">
        <v>25</v>
      </c>
      <c r="G387" s="33" t="s">
        <v>252</v>
      </c>
      <c r="H387" s="33" t="s">
        <v>205</v>
      </c>
      <c r="I387" s="33" t="s">
        <v>206</v>
      </c>
      <c r="J387" s="33">
        <v>520.33474000000001</v>
      </c>
      <c r="Q387" s="33" t="s">
        <v>207</v>
      </c>
      <c r="R387" s="33">
        <v>2023</v>
      </c>
    </row>
    <row r="388" spans="1:18" ht="96.6" hidden="1" x14ac:dyDescent="0.25">
      <c r="A388" s="33" t="s">
        <v>118</v>
      </c>
      <c r="B388" s="33" t="s">
        <v>74</v>
      </c>
      <c r="C388" s="33" t="s">
        <v>202</v>
      </c>
      <c r="D388" s="33" t="s">
        <v>7</v>
      </c>
      <c r="E388" s="33" t="s">
        <v>203</v>
      </c>
      <c r="F388" s="33" t="s">
        <v>25</v>
      </c>
      <c r="G388" s="33" t="s">
        <v>252</v>
      </c>
      <c r="H388" s="33" t="s">
        <v>205</v>
      </c>
      <c r="I388" s="33" t="s">
        <v>206</v>
      </c>
      <c r="J388" s="33">
        <v>520.33474000000001</v>
      </c>
      <c r="Q388" s="33" t="s">
        <v>207</v>
      </c>
      <c r="R388" s="33">
        <v>2023</v>
      </c>
    </row>
    <row r="389" spans="1:18" ht="96.6" hidden="1" x14ac:dyDescent="0.25">
      <c r="A389" s="33" t="s">
        <v>118</v>
      </c>
      <c r="B389" s="33" t="s">
        <v>75</v>
      </c>
      <c r="C389" s="33" t="s">
        <v>202</v>
      </c>
      <c r="D389" s="33" t="s">
        <v>7</v>
      </c>
      <c r="E389" s="33" t="s">
        <v>203</v>
      </c>
      <c r="F389" s="33" t="s">
        <v>25</v>
      </c>
      <c r="G389" s="33" t="s">
        <v>252</v>
      </c>
      <c r="H389" s="33" t="s">
        <v>205</v>
      </c>
      <c r="I389" s="33" t="s">
        <v>206</v>
      </c>
      <c r="J389" s="33">
        <v>520.33474000000001</v>
      </c>
      <c r="Q389" s="33" t="s">
        <v>207</v>
      </c>
      <c r="R389" s="33">
        <v>2023</v>
      </c>
    </row>
    <row r="390" spans="1:18" ht="96.6" hidden="1" x14ac:dyDescent="0.25">
      <c r="A390" s="33" t="s">
        <v>118</v>
      </c>
      <c r="B390" s="33" t="s">
        <v>76</v>
      </c>
      <c r="C390" s="33" t="s">
        <v>202</v>
      </c>
      <c r="D390" s="33" t="s">
        <v>7</v>
      </c>
      <c r="E390" s="33" t="s">
        <v>203</v>
      </c>
      <c r="F390" s="33" t="s">
        <v>25</v>
      </c>
      <c r="G390" s="33" t="s">
        <v>252</v>
      </c>
      <c r="H390" s="33" t="s">
        <v>205</v>
      </c>
      <c r="I390" s="33" t="s">
        <v>206</v>
      </c>
      <c r="J390" s="33">
        <v>520.33474000000001</v>
      </c>
      <c r="Q390" s="33" t="s">
        <v>207</v>
      </c>
      <c r="R390" s="33">
        <v>2023</v>
      </c>
    </row>
    <row r="391" spans="1:18" ht="96.6" hidden="1" x14ac:dyDescent="0.25">
      <c r="A391" s="33" t="s">
        <v>108</v>
      </c>
      <c r="B391" s="33" t="s">
        <v>55</v>
      </c>
      <c r="C391" s="33" t="s">
        <v>202</v>
      </c>
      <c r="D391" s="33" t="s">
        <v>7</v>
      </c>
      <c r="E391" s="33" t="s">
        <v>203</v>
      </c>
      <c r="F391" s="33" t="s">
        <v>26</v>
      </c>
      <c r="G391" s="33" t="s">
        <v>252</v>
      </c>
      <c r="H391" s="33" t="s">
        <v>205</v>
      </c>
      <c r="I391" s="33" t="s">
        <v>206</v>
      </c>
      <c r="J391" s="33">
        <v>21.280809999999999</v>
      </c>
      <c r="Q391" s="33" t="s">
        <v>207</v>
      </c>
      <c r="R391" s="33">
        <v>2023</v>
      </c>
    </row>
    <row r="392" spans="1:18" ht="96.6" hidden="1" x14ac:dyDescent="0.25">
      <c r="A392" s="33" t="s">
        <v>108</v>
      </c>
      <c r="B392" s="33" t="s">
        <v>61</v>
      </c>
      <c r="C392" s="33" t="s">
        <v>202</v>
      </c>
      <c r="D392" s="33" t="s">
        <v>7</v>
      </c>
      <c r="E392" s="33" t="s">
        <v>203</v>
      </c>
      <c r="F392" s="33" t="s">
        <v>26</v>
      </c>
      <c r="G392" s="33" t="s">
        <v>252</v>
      </c>
      <c r="H392" s="33" t="s">
        <v>205</v>
      </c>
      <c r="I392" s="33" t="s">
        <v>206</v>
      </c>
      <c r="J392" s="33">
        <v>21.280809999999999</v>
      </c>
      <c r="Q392" s="33" t="s">
        <v>207</v>
      </c>
      <c r="R392" s="33">
        <v>2023</v>
      </c>
    </row>
    <row r="393" spans="1:18" ht="96.6" hidden="1" x14ac:dyDescent="0.25">
      <c r="A393" s="33" t="s">
        <v>157</v>
      </c>
      <c r="B393" s="33" t="s">
        <v>72</v>
      </c>
      <c r="C393" s="33" t="s">
        <v>202</v>
      </c>
      <c r="D393" s="33" t="s">
        <v>7</v>
      </c>
      <c r="E393" s="33" t="s">
        <v>203</v>
      </c>
      <c r="F393" s="33" t="s">
        <v>26</v>
      </c>
      <c r="G393" s="33" t="s">
        <v>252</v>
      </c>
      <c r="H393" s="33" t="s">
        <v>205</v>
      </c>
      <c r="I393" s="33" t="s">
        <v>206</v>
      </c>
      <c r="J393" s="33">
        <v>21.280809999999999</v>
      </c>
      <c r="Q393" s="33" t="s">
        <v>207</v>
      </c>
      <c r="R393" s="33">
        <v>2023</v>
      </c>
    </row>
    <row r="394" spans="1:18" ht="96.6" hidden="1" x14ac:dyDescent="0.25">
      <c r="A394" s="33" t="s">
        <v>123</v>
      </c>
      <c r="B394" s="33" t="s">
        <v>59</v>
      </c>
      <c r="C394" s="33" t="s">
        <v>202</v>
      </c>
      <c r="D394" s="33" t="s">
        <v>7</v>
      </c>
      <c r="E394" s="33" t="s">
        <v>203</v>
      </c>
      <c r="F394" s="33" t="s">
        <v>26</v>
      </c>
      <c r="G394" s="33" t="s">
        <v>252</v>
      </c>
      <c r="H394" s="33" t="s">
        <v>205</v>
      </c>
      <c r="I394" s="33" t="s">
        <v>206</v>
      </c>
      <c r="J394" s="33">
        <v>21.280809999999999</v>
      </c>
      <c r="Q394" s="33" t="s">
        <v>207</v>
      </c>
      <c r="R394" s="33">
        <v>2023</v>
      </c>
    </row>
    <row r="395" spans="1:18" ht="96.6" hidden="1" x14ac:dyDescent="0.25">
      <c r="A395" s="33" t="s">
        <v>123</v>
      </c>
      <c r="B395" s="33" t="s">
        <v>60</v>
      </c>
      <c r="C395" s="33" t="s">
        <v>202</v>
      </c>
      <c r="D395" s="33" t="s">
        <v>7</v>
      </c>
      <c r="E395" s="33" t="s">
        <v>203</v>
      </c>
      <c r="F395" s="33" t="s">
        <v>26</v>
      </c>
      <c r="G395" s="33" t="s">
        <v>252</v>
      </c>
      <c r="H395" s="33" t="s">
        <v>205</v>
      </c>
      <c r="I395" s="33" t="s">
        <v>206</v>
      </c>
      <c r="J395" s="33">
        <v>21.280809999999999</v>
      </c>
      <c r="Q395" s="33" t="s">
        <v>207</v>
      </c>
      <c r="R395" s="33">
        <v>2023</v>
      </c>
    </row>
    <row r="396" spans="1:18" ht="96.6" hidden="1" x14ac:dyDescent="0.25">
      <c r="A396" s="33" t="s">
        <v>123</v>
      </c>
      <c r="B396" s="33" t="s">
        <v>63</v>
      </c>
      <c r="C396" s="33" t="s">
        <v>202</v>
      </c>
      <c r="D396" s="33" t="s">
        <v>7</v>
      </c>
      <c r="E396" s="33" t="s">
        <v>203</v>
      </c>
      <c r="F396" s="33" t="s">
        <v>26</v>
      </c>
      <c r="G396" s="33" t="s">
        <v>252</v>
      </c>
      <c r="H396" s="33" t="s">
        <v>205</v>
      </c>
      <c r="I396" s="33" t="s">
        <v>206</v>
      </c>
      <c r="J396" s="33">
        <v>21.280809999999999</v>
      </c>
      <c r="Q396" s="33" t="s">
        <v>207</v>
      </c>
      <c r="R396" s="33">
        <v>2023</v>
      </c>
    </row>
    <row r="397" spans="1:18" ht="96.6" hidden="1" x14ac:dyDescent="0.25">
      <c r="A397" s="33" t="s">
        <v>123</v>
      </c>
      <c r="B397" s="33" t="s">
        <v>64</v>
      </c>
      <c r="C397" s="33" t="s">
        <v>202</v>
      </c>
      <c r="D397" s="33" t="s">
        <v>7</v>
      </c>
      <c r="E397" s="33" t="s">
        <v>203</v>
      </c>
      <c r="F397" s="33" t="s">
        <v>26</v>
      </c>
      <c r="G397" s="33" t="s">
        <v>252</v>
      </c>
      <c r="H397" s="33" t="s">
        <v>205</v>
      </c>
      <c r="I397" s="33" t="s">
        <v>206</v>
      </c>
      <c r="J397" s="33">
        <v>21.280809999999999</v>
      </c>
      <c r="Q397" s="33" t="s">
        <v>207</v>
      </c>
      <c r="R397" s="33">
        <v>2023</v>
      </c>
    </row>
    <row r="398" spans="1:18" ht="96.6" hidden="1" x14ac:dyDescent="0.25">
      <c r="A398" s="33" t="s">
        <v>123</v>
      </c>
      <c r="B398" s="33" t="s">
        <v>66</v>
      </c>
      <c r="C398" s="33" t="s">
        <v>202</v>
      </c>
      <c r="D398" s="33" t="s">
        <v>7</v>
      </c>
      <c r="E398" s="33" t="s">
        <v>203</v>
      </c>
      <c r="F398" s="33" t="s">
        <v>26</v>
      </c>
      <c r="G398" s="33" t="s">
        <v>252</v>
      </c>
      <c r="H398" s="33" t="s">
        <v>205</v>
      </c>
      <c r="I398" s="33" t="s">
        <v>206</v>
      </c>
      <c r="J398" s="33">
        <v>21.280809999999999</v>
      </c>
      <c r="Q398" s="33" t="s">
        <v>207</v>
      </c>
      <c r="R398" s="33">
        <v>2023</v>
      </c>
    </row>
    <row r="399" spans="1:18" ht="96.6" hidden="1" x14ac:dyDescent="0.25">
      <c r="A399" s="33" t="s">
        <v>123</v>
      </c>
      <c r="B399" s="33" t="s">
        <v>67</v>
      </c>
      <c r="C399" s="33" t="s">
        <v>202</v>
      </c>
      <c r="D399" s="33" t="s">
        <v>7</v>
      </c>
      <c r="E399" s="33" t="s">
        <v>203</v>
      </c>
      <c r="F399" s="33" t="s">
        <v>26</v>
      </c>
      <c r="G399" s="33" t="s">
        <v>252</v>
      </c>
      <c r="H399" s="33" t="s">
        <v>205</v>
      </c>
      <c r="I399" s="33" t="s">
        <v>206</v>
      </c>
      <c r="J399" s="33">
        <v>21.280809999999999</v>
      </c>
      <c r="Q399" s="33" t="s">
        <v>207</v>
      </c>
      <c r="R399" s="33">
        <v>2023</v>
      </c>
    </row>
    <row r="400" spans="1:18" ht="96.6" x14ac:dyDescent="0.25">
      <c r="A400" s="33" t="s">
        <v>123</v>
      </c>
      <c r="B400" s="33" t="s">
        <v>68</v>
      </c>
      <c r="C400" s="33" t="s">
        <v>202</v>
      </c>
      <c r="D400" s="33" t="s">
        <v>7</v>
      </c>
      <c r="E400" s="33" t="s">
        <v>203</v>
      </c>
      <c r="F400" s="33" t="s">
        <v>26</v>
      </c>
      <c r="G400" s="33" t="s">
        <v>252</v>
      </c>
      <c r="H400" s="33" t="s">
        <v>205</v>
      </c>
      <c r="I400" s="33" t="s">
        <v>206</v>
      </c>
      <c r="J400" s="33">
        <v>21.280809999999999</v>
      </c>
      <c r="Q400" s="33" t="s">
        <v>207</v>
      </c>
      <c r="R400" s="33">
        <v>2023</v>
      </c>
    </row>
    <row r="401" spans="1:18" ht="96.6" hidden="1" x14ac:dyDescent="0.25">
      <c r="A401" s="33" t="s">
        <v>123</v>
      </c>
      <c r="B401" s="33" t="s">
        <v>77</v>
      </c>
      <c r="C401" s="33" t="s">
        <v>202</v>
      </c>
      <c r="D401" s="33" t="s">
        <v>7</v>
      </c>
      <c r="E401" s="33" t="s">
        <v>203</v>
      </c>
      <c r="F401" s="33" t="s">
        <v>26</v>
      </c>
      <c r="G401" s="33" t="s">
        <v>252</v>
      </c>
      <c r="H401" s="33" t="s">
        <v>205</v>
      </c>
      <c r="I401" s="33" t="s">
        <v>206</v>
      </c>
      <c r="J401" s="33">
        <v>21.280809999999999</v>
      </c>
      <c r="Q401" s="33" t="s">
        <v>207</v>
      </c>
      <c r="R401" s="33">
        <v>2023</v>
      </c>
    </row>
    <row r="402" spans="1:18" ht="96.6" hidden="1" x14ac:dyDescent="0.25">
      <c r="A402" s="33" t="s">
        <v>113</v>
      </c>
      <c r="B402" s="33" t="s">
        <v>56</v>
      </c>
      <c r="C402" s="33" t="s">
        <v>202</v>
      </c>
      <c r="D402" s="33" t="s">
        <v>7</v>
      </c>
      <c r="E402" s="33" t="s">
        <v>203</v>
      </c>
      <c r="F402" s="33" t="s">
        <v>26</v>
      </c>
      <c r="G402" s="33" t="s">
        <v>252</v>
      </c>
      <c r="H402" s="33" t="s">
        <v>205</v>
      </c>
      <c r="I402" s="33" t="s">
        <v>206</v>
      </c>
      <c r="J402" s="33">
        <v>21.280809999999999</v>
      </c>
      <c r="Q402" s="33" t="s">
        <v>207</v>
      </c>
      <c r="R402" s="33">
        <v>2023</v>
      </c>
    </row>
    <row r="403" spans="1:18" ht="96.6" hidden="1" x14ac:dyDescent="0.25">
      <c r="A403" s="33" t="s">
        <v>113</v>
      </c>
      <c r="B403" s="33" t="s">
        <v>62</v>
      </c>
      <c r="C403" s="33" t="s">
        <v>202</v>
      </c>
      <c r="D403" s="33" t="s">
        <v>7</v>
      </c>
      <c r="E403" s="33" t="s">
        <v>203</v>
      </c>
      <c r="F403" s="33" t="s">
        <v>26</v>
      </c>
      <c r="G403" s="33" t="s">
        <v>252</v>
      </c>
      <c r="H403" s="33" t="s">
        <v>205</v>
      </c>
      <c r="I403" s="33" t="s">
        <v>206</v>
      </c>
      <c r="J403" s="33">
        <v>21.280809999999999</v>
      </c>
      <c r="Q403" s="33" t="s">
        <v>207</v>
      </c>
      <c r="R403" s="33">
        <v>2023</v>
      </c>
    </row>
    <row r="404" spans="1:18" ht="96.6" hidden="1" x14ac:dyDescent="0.25">
      <c r="A404" s="33" t="s">
        <v>113</v>
      </c>
      <c r="B404" s="33" t="s">
        <v>65</v>
      </c>
      <c r="C404" s="33" t="s">
        <v>202</v>
      </c>
      <c r="D404" s="33" t="s">
        <v>7</v>
      </c>
      <c r="E404" s="33" t="s">
        <v>203</v>
      </c>
      <c r="F404" s="33" t="s">
        <v>26</v>
      </c>
      <c r="G404" s="33" t="s">
        <v>252</v>
      </c>
      <c r="H404" s="33" t="s">
        <v>205</v>
      </c>
      <c r="I404" s="33" t="s">
        <v>206</v>
      </c>
      <c r="J404" s="33">
        <v>21.280809999999999</v>
      </c>
      <c r="Q404" s="33" t="s">
        <v>207</v>
      </c>
      <c r="R404" s="33">
        <v>2023</v>
      </c>
    </row>
    <row r="405" spans="1:18" ht="96.6" hidden="1" x14ac:dyDescent="0.25">
      <c r="A405" s="33" t="s">
        <v>172</v>
      </c>
      <c r="B405" s="33" t="s">
        <v>78</v>
      </c>
      <c r="C405" s="33" t="s">
        <v>202</v>
      </c>
      <c r="D405" s="33" t="s">
        <v>7</v>
      </c>
      <c r="E405" s="33" t="s">
        <v>203</v>
      </c>
      <c r="F405" s="33" t="s">
        <v>26</v>
      </c>
      <c r="G405" s="33" t="s">
        <v>252</v>
      </c>
      <c r="H405" s="33" t="s">
        <v>205</v>
      </c>
      <c r="I405" s="33" t="s">
        <v>206</v>
      </c>
      <c r="J405" s="33">
        <v>21.280809999999999</v>
      </c>
      <c r="Q405" s="33" t="s">
        <v>207</v>
      </c>
      <c r="R405" s="33">
        <v>2023</v>
      </c>
    </row>
    <row r="406" spans="1:18" ht="96.6" hidden="1" x14ac:dyDescent="0.25">
      <c r="A406" s="33" t="s">
        <v>118</v>
      </c>
      <c r="B406" s="33" t="s">
        <v>57</v>
      </c>
      <c r="C406" s="33" t="s">
        <v>202</v>
      </c>
      <c r="D406" s="33" t="s">
        <v>7</v>
      </c>
      <c r="E406" s="33" t="s">
        <v>203</v>
      </c>
      <c r="F406" s="33" t="s">
        <v>26</v>
      </c>
      <c r="G406" s="33" t="s">
        <v>252</v>
      </c>
      <c r="H406" s="33" t="s">
        <v>205</v>
      </c>
      <c r="I406" s="33" t="s">
        <v>206</v>
      </c>
      <c r="J406" s="33">
        <v>21.280809999999999</v>
      </c>
      <c r="Q406" s="33" t="s">
        <v>207</v>
      </c>
      <c r="R406" s="33">
        <v>2023</v>
      </c>
    </row>
    <row r="407" spans="1:18" ht="96.6" hidden="1" x14ac:dyDescent="0.25">
      <c r="A407" s="33" t="s">
        <v>118</v>
      </c>
      <c r="B407" s="33" t="s">
        <v>58</v>
      </c>
      <c r="C407" s="33" t="s">
        <v>202</v>
      </c>
      <c r="D407" s="33" t="s">
        <v>7</v>
      </c>
      <c r="E407" s="33" t="s">
        <v>203</v>
      </c>
      <c r="F407" s="33" t="s">
        <v>26</v>
      </c>
      <c r="G407" s="33" t="s">
        <v>252</v>
      </c>
      <c r="H407" s="33" t="s">
        <v>205</v>
      </c>
      <c r="I407" s="33" t="s">
        <v>206</v>
      </c>
      <c r="J407" s="33">
        <v>21.280809999999999</v>
      </c>
      <c r="Q407" s="33" t="s">
        <v>207</v>
      </c>
      <c r="R407" s="33">
        <v>2023</v>
      </c>
    </row>
    <row r="408" spans="1:18" ht="96.6" hidden="1" x14ac:dyDescent="0.25">
      <c r="A408" s="33" t="s">
        <v>118</v>
      </c>
      <c r="B408" s="33" t="s">
        <v>69</v>
      </c>
      <c r="C408" s="33" t="s">
        <v>202</v>
      </c>
      <c r="D408" s="33" t="s">
        <v>7</v>
      </c>
      <c r="E408" s="33" t="s">
        <v>203</v>
      </c>
      <c r="F408" s="33" t="s">
        <v>26</v>
      </c>
      <c r="G408" s="33" t="s">
        <v>252</v>
      </c>
      <c r="H408" s="33" t="s">
        <v>205</v>
      </c>
      <c r="I408" s="33" t="s">
        <v>206</v>
      </c>
      <c r="J408" s="33">
        <v>21.280809999999999</v>
      </c>
      <c r="Q408" s="33" t="s">
        <v>207</v>
      </c>
      <c r="R408" s="33">
        <v>2023</v>
      </c>
    </row>
    <row r="409" spans="1:18" ht="96.6" hidden="1" x14ac:dyDescent="0.25">
      <c r="A409" s="33" t="s">
        <v>118</v>
      </c>
      <c r="B409" s="33" t="s">
        <v>70</v>
      </c>
      <c r="C409" s="33" t="s">
        <v>202</v>
      </c>
      <c r="D409" s="33" t="s">
        <v>7</v>
      </c>
      <c r="E409" s="33" t="s">
        <v>203</v>
      </c>
      <c r="F409" s="33" t="s">
        <v>26</v>
      </c>
      <c r="G409" s="33" t="s">
        <v>252</v>
      </c>
      <c r="H409" s="33" t="s">
        <v>205</v>
      </c>
      <c r="I409" s="33" t="s">
        <v>206</v>
      </c>
      <c r="J409" s="33">
        <v>21.280809999999999</v>
      </c>
      <c r="Q409" s="33" t="s">
        <v>207</v>
      </c>
      <c r="R409" s="33">
        <v>2023</v>
      </c>
    </row>
    <row r="410" spans="1:18" ht="96.6" hidden="1" x14ac:dyDescent="0.25">
      <c r="A410" s="33" t="s">
        <v>118</v>
      </c>
      <c r="B410" s="33" t="s">
        <v>71</v>
      </c>
      <c r="C410" s="33" t="s">
        <v>202</v>
      </c>
      <c r="D410" s="33" t="s">
        <v>7</v>
      </c>
      <c r="E410" s="33" t="s">
        <v>203</v>
      </c>
      <c r="F410" s="33" t="s">
        <v>26</v>
      </c>
      <c r="G410" s="33" t="s">
        <v>252</v>
      </c>
      <c r="H410" s="33" t="s">
        <v>205</v>
      </c>
      <c r="I410" s="33" t="s">
        <v>206</v>
      </c>
      <c r="J410" s="33">
        <v>21.280809999999999</v>
      </c>
      <c r="Q410" s="33" t="s">
        <v>207</v>
      </c>
      <c r="R410" s="33">
        <v>2023</v>
      </c>
    </row>
    <row r="411" spans="1:18" ht="96.6" hidden="1" x14ac:dyDescent="0.25">
      <c r="A411" s="33" t="s">
        <v>118</v>
      </c>
      <c r="B411" s="33" t="s">
        <v>73</v>
      </c>
      <c r="C411" s="33" t="s">
        <v>202</v>
      </c>
      <c r="D411" s="33" t="s">
        <v>7</v>
      </c>
      <c r="E411" s="33" t="s">
        <v>203</v>
      </c>
      <c r="F411" s="33" t="s">
        <v>26</v>
      </c>
      <c r="G411" s="33" t="s">
        <v>252</v>
      </c>
      <c r="H411" s="33" t="s">
        <v>205</v>
      </c>
      <c r="I411" s="33" t="s">
        <v>206</v>
      </c>
      <c r="J411" s="33">
        <v>21.280809999999999</v>
      </c>
      <c r="Q411" s="33" t="s">
        <v>207</v>
      </c>
      <c r="R411" s="33">
        <v>2023</v>
      </c>
    </row>
    <row r="412" spans="1:18" ht="96.6" hidden="1" x14ac:dyDescent="0.25">
      <c r="A412" s="33" t="s">
        <v>118</v>
      </c>
      <c r="B412" s="33" t="s">
        <v>74</v>
      </c>
      <c r="C412" s="33" t="s">
        <v>202</v>
      </c>
      <c r="D412" s="33" t="s">
        <v>7</v>
      </c>
      <c r="E412" s="33" t="s">
        <v>203</v>
      </c>
      <c r="F412" s="33" t="s">
        <v>26</v>
      </c>
      <c r="G412" s="33" t="s">
        <v>252</v>
      </c>
      <c r="H412" s="33" t="s">
        <v>205</v>
      </c>
      <c r="I412" s="33" t="s">
        <v>206</v>
      </c>
      <c r="J412" s="33">
        <v>21.280809999999999</v>
      </c>
      <c r="Q412" s="33" t="s">
        <v>207</v>
      </c>
      <c r="R412" s="33">
        <v>2023</v>
      </c>
    </row>
    <row r="413" spans="1:18" ht="96.6" hidden="1" x14ac:dyDescent="0.25">
      <c r="A413" s="33" t="s">
        <v>118</v>
      </c>
      <c r="B413" s="33" t="s">
        <v>75</v>
      </c>
      <c r="C413" s="33" t="s">
        <v>202</v>
      </c>
      <c r="D413" s="33" t="s">
        <v>7</v>
      </c>
      <c r="E413" s="33" t="s">
        <v>203</v>
      </c>
      <c r="F413" s="33" t="s">
        <v>26</v>
      </c>
      <c r="G413" s="33" t="s">
        <v>252</v>
      </c>
      <c r="H413" s="33" t="s">
        <v>205</v>
      </c>
      <c r="I413" s="33" t="s">
        <v>206</v>
      </c>
      <c r="J413" s="33">
        <v>21.280809999999999</v>
      </c>
      <c r="Q413" s="33" t="s">
        <v>207</v>
      </c>
      <c r="R413" s="33">
        <v>2023</v>
      </c>
    </row>
    <row r="414" spans="1:18" ht="96.6" hidden="1" x14ac:dyDescent="0.25">
      <c r="A414" s="33" t="s">
        <v>118</v>
      </c>
      <c r="B414" s="33" t="s">
        <v>76</v>
      </c>
      <c r="C414" s="33" t="s">
        <v>202</v>
      </c>
      <c r="D414" s="33" t="s">
        <v>7</v>
      </c>
      <c r="E414" s="33" t="s">
        <v>203</v>
      </c>
      <c r="F414" s="33" t="s">
        <v>26</v>
      </c>
      <c r="G414" s="33" t="s">
        <v>252</v>
      </c>
      <c r="H414" s="33" t="s">
        <v>205</v>
      </c>
      <c r="I414" s="33" t="s">
        <v>206</v>
      </c>
      <c r="J414" s="33">
        <v>21.280809999999999</v>
      </c>
      <c r="Q414" s="33" t="s">
        <v>207</v>
      </c>
      <c r="R414" s="33">
        <v>2023</v>
      </c>
    </row>
    <row r="415" spans="1:18" ht="27.6" hidden="1" x14ac:dyDescent="0.25">
      <c r="A415" s="33" t="s">
        <v>108</v>
      </c>
      <c r="B415" s="33" t="s">
        <v>55</v>
      </c>
      <c r="C415" s="33" t="s">
        <v>208</v>
      </c>
      <c r="D415" s="33" t="s">
        <v>7</v>
      </c>
      <c r="E415" s="33" t="s">
        <v>203</v>
      </c>
      <c r="F415" s="33" t="s">
        <v>27</v>
      </c>
      <c r="G415" s="33" t="s">
        <v>252</v>
      </c>
      <c r="H415" s="33" t="s">
        <v>209</v>
      </c>
      <c r="I415" s="33" t="s">
        <v>209</v>
      </c>
      <c r="J415" s="33">
        <v>520.3347</v>
      </c>
      <c r="Q415" s="33" t="s">
        <v>260</v>
      </c>
      <c r="R415" s="33" t="s">
        <v>208</v>
      </c>
    </row>
    <row r="416" spans="1:18" ht="27.6" hidden="1" x14ac:dyDescent="0.25">
      <c r="A416" s="33" t="s">
        <v>108</v>
      </c>
      <c r="B416" s="33" t="s">
        <v>61</v>
      </c>
      <c r="C416" s="33" t="s">
        <v>208</v>
      </c>
      <c r="D416" s="33" t="s">
        <v>7</v>
      </c>
      <c r="E416" s="33" t="s">
        <v>203</v>
      </c>
      <c r="F416" s="33" t="s">
        <v>27</v>
      </c>
      <c r="G416" s="33" t="s">
        <v>252</v>
      </c>
      <c r="H416" s="33" t="s">
        <v>209</v>
      </c>
      <c r="I416" s="33" t="s">
        <v>209</v>
      </c>
      <c r="J416" s="33">
        <v>520.3347</v>
      </c>
      <c r="Q416" s="33" t="s">
        <v>260</v>
      </c>
      <c r="R416" s="33" t="s">
        <v>208</v>
      </c>
    </row>
    <row r="417" spans="1:18" ht="27.6" hidden="1" x14ac:dyDescent="0.25">
      <c r="A417" s="33" t="s">
        <v>157</v>
      </c>
      <c r="B417" s="33" t="s">
        <v>72</v>
      </c>
      <c r="C417" s="33" t="s">
        <v>208</v>
      </c>
      <c r="D417" s="33" t="s">
        <v>7</v>
      </c>
      <c r="E417" s="33" t="s">
        <v>203</v>
      </c>
      <c r="F417" s="33" t="s">
        <v>27</v>
      </c>
      <c r="G417" s="33" t="s">
        <v>252</v>
      </c>
      <c r="H417" s="33" t="s">
        <v>209</v>
      </c>
      <c r="I417" s="33" t="s">
        <v>209</v>
      </c>
      <c r="J417" s="33">
        <v>520.3347</v>
      </c>
      <c r="Q417" s="33" t="s">
        <v>260</v>
      </c>
      <c r="R417" s="33" t="s">
        <v>208</v>
      </c>
    </row>
    <row r="418" spans="1:18" ht="27.6" hidden="1" x14ac:dyDescent="0.25">
      <c r="A418" s="33" t="s">
        <v>123</v>
      </c>
      <c r="B418" s="33" t="s">
        <v>59</v>
      </c>
      <c r="C418" s="33" t="s">
        <v>208</v>
      </c>
      <c r="D418" s="33" t="s">
        <v>7</v>
      </c>
      <c r="E418" s="33" t="s">
        <v>203</v>
      </c>
      <c r="F418" s="33" t="s">
        <v>27</v>
      </c>
      <c r="G418" s="33" t="s">
        <v>252</v>
      </c>
      <c r="H418" s="33" t="s">
        <v>209</v>
      </c>
      <c r="I418" s="33" t="s">
        <v>209</v>
      </c>
      <c r="J418" s="33">
        <v>520.3347</v>
      </c>
      <c r="Q418" s="33" t="s">
        <v>260</v>
      </c>
      <c r="R418" s="33" t="s">
        <v>208</v>
      </c>
    </row>
    <row r="419" spans="1:18" ht="27.6" hidden="1" x14ac:dyDescent="0.25">
      <c r="A419" s="33" t="s">
        <v>123</v>
      </c>
      <c r="B419" s="33" t="s">
        <v>60</v>
      </c>
      <c r="C419" s="33" t="s">
        <v>208</v>
      </c>
      <c r="D419" s="33" t="s">
        <v>7</v>
      </c>
      <c r="E419" s="33" t="s">
        <v>203</v>
      </c>
      <c r="F419" s="33" t="s">
        <v>27</v>
      </c>
      <c r="G419" s="33" t="s">
        <v>252</v>
      </c>
      <c r="H419" s="33" t="s">
        <v>209</v>
      </c>
      <c r="I419" s="33" t="s">
        <v>209</v>
      </c>
      <c r="J419" s="33">
        <v>520.3347</v>
      </c>
      <c r="Q419" s="33" t="s">
        <v>260</v>
      </c>
      <c r="R419" s="33" t="s">
        <v>208</v>
      </c>
    </row>
    <row r="420" spans="1:18" ht="27.6" hidden="1" x14ac:dyDescent="0.25">
      <c r="A420" s="33" t="s">
        <v>123</v>
      </c>
      <c r="B420" s="33" t="s">
        <v>63</v>
      </c>
      <c r="C420" s="33" t="s">
        <v>208</v>
      </c>
      <c r="D420" s="33" t="s">
        <v>7</v>
      </c>
      <c r="E420" s="33" t="s">
        <v>203</v>
      </c>
      <c r="F420" s="33" t="s">
        <v>27</v>
      </c>
      <c r="G420" s="33" t="s">
        <v>252</v>
      </c>
      <c r="H420" s="33" t="s">
        <v>209</v>
      </c>
      <c r="I420" s="33" t="s">
        <v>209</v>
      </c>
      <c r="J420" s="33">
        <v>520.3347</v>
      </c>
      <c r="Q420" s="33" t="s">
        <v>260</v>
      </c>
      <c r="R420" s="33" t="s">
        <v>208</v>
      </c>
    </row>
    <row r="421" spans="1:18" ht="27.6" hidden="1" x14ac:dyDescent="0.25">
      <c r="A421" s="33" t="s">
        <v>123</v>
      </c>
      <c r="B421" s="33" t="s">
        <v>64</v>
      </c>
      <c r="C421" s="33" t="s">
        <v>208</v>
      </c>
      <c r="D421" s="33" t="s">
        <v>7</v>
      </c>
      <c r="E421" s="33" t="s">
        <v>203</v>
      </c>
      <c r="F421" s="33" t="s">
        <v>27</v>
      </c>
      <c r="G421" s="33" t="s">
        <v>252</v>
      </c>
      <c r="H421" s="33" t="s">
        <v>209</v>
      </c>
      <c r="I421" s="33" t="s">
        <v>209</v>
      </c>
      <c r="J421" s="33">
        <v>520.3347</v>
      </c>
      <c r="Q421" s="33" t="s">
        <v>260</v>
      </c>
      <c r="R421" s="33" t="s">
        <v>208</v>
      </c>
    </row>
    <row r="422" spans="1:18" ht="27.6" hidden="1" x14ac:dyDescent="0.25">
      <c r="A422" s="33" t="s">
        <v>123</v>
      </c>
      <c r="B422" s="33" t="s">
        <v>66</v>
      </c>
      <c r="C422" s="33" t="s">
        <v>208</v>
      </c>
      <c r="D422" s="33" t="s">
        <v>7</v>
      </c>
      <c r="E422" s="33" t="s">
        <v>203</v>
      </c>
      <c r="F422" s="33" t="s">
        <v>27</v>
      </c>
      <c r="G422" s="33" t="s">
        <v>252</v>
      </c>
      <c r="H422" s="33" t="s">
        <v>209</v>
      </c>
      <c r="I422" s="33" t="s">
        <v>209</v>
      </c>
      <c r="J422" s="33">
        <v>520.3347</v>
      </c>
      <c r="Q422" s="33" t="s">
        <v>260</v>
      </c>
      <c r="R422" s="33" t="s">
        <v>208</v>
      </c>
    </row>
    <row r="423" spans="1:18" ht="27.6" hidden="1" x14ac:dyDescent="0.25">
      <c r="A423" s="33" t="s">
        <v>123</v>
      </c>
      <c r="B423" s="33" t="s">
        <v>67</v>
      </c>
      <c r="C423" s="33" t="s">
        <v>208</v>
      </c>
      <c r="D423" s="33" t="s">
        <v>7</v>
      </c>
      <c r="E423" s="33" t="s">
        <v>203</v>
      </c>
      <c r="F423" s="33" t="s">
        <v>27</v>
      </c>
      <c r="G423" s="33" t="s">
        <v>252</v>
      </c>
      <c r="H423" s="33" t="s">
        <v>209</v>
      </c>
      <c r="I423" s="33" t="s">
        <v>209</v>
      </c>
      <c r="J423" s="33">
        <v>520.3347</v>
      </c>
      <c r="Q423" s="33" t="s">
        <v>260</v>
      </c>
      <c r="R423" s="33" t="s">
        <v>208</v>
      </c>
    </row>
    <row r="424" spans="1:18" ht="27.6" x14ac:dyDescent="0.25">
      <c r="A424" s="33" t="s">
        <v>123</v>
      </c>
      <c r="B424" s="33" t="s">
        <v>68</v>
      </c>
      <c r="C424" s="33" t="s">
        <v>208</v>
      </c>
      <c r="D424" s="33" t="s">
        <v>7</v>
      </c>
      <c r="E424" s="33" t="s">
        <v>203</v>
      </c>
      <c r="F424" s="33" t="s">
        <v>27</v>
      </c>
      <c r="G424" s="33" t="s">
        <v>252</v>
      </c>
      <c r="H424" s="33" t="s">
        <v>209</v>
      </c>
      <c r="I424" s="33" t="s">
        <v>209</v>
      </c>
      <c r="J424" s="33">
        <v>520.3347</v>
      </c>
      <c r="Q424" s="33" t="s">
        <v>260</v>
      </c>
      <c r="R424" s="33" t="s">
        <v>208</v>
      </c>
    </row>
    <row r="425" spans="1:18" ht="27.6" hidden="1" x14ac:dyDescent="0.25">
      <c r="A425" s="33" t="s">
        <v>123</v>
      </c>
      <c r="B425" s="33" t="s">
        <v>77</v>
      </c>
      <c r="C425" s="33" t="s">
        <v>208</v>
      </c>
      <c r="D425" s="33" t="s">
        <v>7</v>
      </c>
      <c r="E425" s="33" t="s">
        <v>203</v>
      </c>
      <c r="F425" s="33" t="s">
        <v>27</v>
      </c>
      <c r="G425" s="33" t="s">
        <v>252</v>
      </c>
      <c r="H425" s="33" t="s">
        <v>209</v>
      </c>
      <c r="I425" s="33" t="s">
        <v>209</v>
      </c>
      <c r="J425" s="33">
        <v>520.3347</v>
      </c>
      <c r="Q425" s="33" t="s">
        <v>260</v>
      </c>
      <c r="R425" s="33" t="s">
        <v>208</v>
      </c>
    </row>
    <row r="426" spans="1:18" ht="27.6" hidden="1" x14ac:dyDescent="0.25">
      <c r="A426" s="33" t="s">
        <v>113</v>
      </c>
      <c r="B426" s="33" t="s">
        <v>56</v>
      </c>
      <c r="C426" s="33" t="s">
        <v>208</v>
      </c>
      <c r="D426" s="33" t="s">
        <v>7</v>
      </c>
      <c r="E426" s="33" t="s">
        <v>203</v>
      </c>
      <c r="F426" s="33" t="s">
        <v>27</v>
      </c>
      <c r="G426" s="33" t="s">
        <v>252</v>
      </c>
      <c r="H426" s="33" t="s">
        <v>209</v>
      </c>
      <c r="I426" s="33" t="s">
        <v>209</v>
      </c>
      <c r="J426" s="33">
        <v>520.3347</v>
      </c>
      <c r="Q426" s="33" t="s">
        <v>260</v>
      </c>
      <c r="R426" s="33" t="s">
        <v>208</v>
      </c>
    </row>
    <row r="427" spans="1:18" ht="27.6" hidden="1" x14ac:dyDescent="0.25">
      <c r="A427" s="33" t="s">
        <v>113</v>
      </c>
      <c r="B427" s="33" t="s">
        <v>62</v>
      </c>
      <c r="C427" s="33" t="s">
        <v>208</v>
      </c>
      <c r="D427" s="33" t="s">
        <v>7</v>
      </c>
      <c r="E427" s="33" t="s">
        <v>203</v>
      </c>
      <c r="F427" s="33" t="s">
        <v>27</v>
      </c>
      <c r="G427" s="33" t="s">
        <v>252</v>
      </c>
      <c r="H427" s="33" t="s">
        <v>209</v>
      </c>
      <c r="I427" s="33" t="s">
        <v>209</v>
      </c>
      <c r="J427" s="33">
        <v>520.3347</v>
      </c>
      <c r="Q427" s="33" t="s">
        <v>260</v>
      </c>
      <c r="R427" s="33" t="s">
        <v>208</v>
      </c>
    </row>
    <row r="428" spans="1:18" ht="27.6" hidden="1" x14ac:dyDescent="0.25">
      <c r="A428" s="33" t="s">
        <v>113</v>
      </c>
      <c r="B428" s="33" t="s">
        <v>65</v>
      </c>
      <c r="C428" s="33" t="s">
        <v>208</v>
      </c>
      <c r="D428" s="33" t="s">
        <v>7</v>
      </c>
      <c r="E428" s="33" t="s">
        <v>203</v>
      </c>
      <c r="F428" s="33" t="s">
        <v>27</v>
      </c>
      <c r="G428" s="33" t="s">
        <v>252</v>
      </c>
      <c r="H428" s="33" t="s">
        <v>209</v>
      </c>
      <c r="I428" s="33" t="s">
        <v>209</v>
      </c>
      <c r="J428" s="33">
        <v>520.3347</v>
      </c>
      <c r="Q428" s="33" t="s">
        <v>260</v>
      </c>
      <c r="R428" s="33" t="s">
        <v>208</v>
      </c>
    </row>
    <row r="429" spans="1:18" ht="27.6" hidden="1" x14ac:dyDescent="0.25">
      <c r="A429" s="33" t="s">
        <v>172</v>
      </c>
      <c r="B429" s="33" t="s">
        <v>78</v>
      </c>
      <c r="C429" s="33" t="s">
        <v>208</v>
      </c>
      <c r="D429" s="33" t="s">
        <v>7</v>
      </c>
      <c r="E429" s="33" t="s">
        <v>203</v>
      </c>
      <c r="F429" s="33" t="s">
        <v>27</v>
      </c>
      <c r="G429" s="33" t="s">
        <v>252</v>
      </c>
      <c r="H429" s="33" t="s">
        <v>209</v>
      </c>
      <c r="I429" s="33" t="s">
        <v>209</v>
      </c>
      <c r="J429" s="33">
        <v>520.3347</v>
      </c>
      <c r="Q429" s="33" t="s">
        <v>260</v>
      </c>
      <c r="R429" s="33" t="s">
        <v>208</v>
      </c>
    </row>
    <row r="430" spans="1:18" ht="27.6" hidden="1" x14ac:dyDescent="0.25">
      <c r="A430" s="33" t="s">
        <v>118</v>
      </c>
      <c r="B430" s="33" t="s">
        <v>57</v>
      </c>
      <c r="C430" s="33" t="s">
        <v>208</v>
      </c>
      <c r="D430" s="33" t="s">
        <v>7</v>
      </c>
      <c r="E430" s="33" t="s">
        <v>203</v>
      </c>
      <c r="F430" s="33" t="s">
        <v>27</v>
      </c>
      <c r="G430" s="33" t="s">
        <v>252</v>
      </c>
      <c r="H430" s="33" t="s">
        <v>209</v>
      </c>
      <c r="I430" s="33" t="s">
        <v>209</v>
      </c>
      <c r="J430" s="33">
        <v>520.3347</v>
      </c>
      <c r="Q430" s="33" t="s">
        <v>260</v>
      </c>
      <c r="R430" s="33" t="s">
        <v>208</v>
      </c>
    </row>
    <row r="431" spans="1:18" ht="27.6" hidden="1" x14ac:dyDescent="0.25">
      <c r="A431" s="33" t="s">
        <v>118</v>
      </c>
      <c r="B431" s="33" t="s">
        <v>58</v>
      </c>
      <c r="C431" s="33" t="s">
        <v>208</v>
      </c>
      <c r="D431" s="33" t="s">
        <v>7</v>
      </c>
      <c r="E431" s="33" t="s">
        <v>203</v>
      </c>
      <c r="F431" s="33" t="s">
        <v>27</v>
      </c>
      <c r="G431" s="33" t="s">
        <v>252</v>
      </c>
      <c r="H431" s="33" t="s">
        <v>209</v>
      </c>
      <c r="I431" s="33" t="s">
        <v>209</v>
      </c>
      <c r="J431" s="33">
        <v>520.3347</v>
      </c>
      <c r="Q431" s="33" t="s">
        <v>260</v>
      </c>
      <c r="R431" s="33" t="s">
        <v>208</v>
      </c>
    </row>
    <row r="432" spans="1:18" ht="27.6" hidden="1" x14ac:dyDescent="0.25">
      <c r="A432" s="33" t="s">
        <v>118</v>
      </c>
      <c r="B432" s="33" t="s">
        <v>69</v>
      </c>
      <c r="C432" s="33" t="s">
        <v>208</v>
      </c>
      <c r="D432" s="33" t="s">
        <v>7</v>
      </c>
      <c r="E432" s="33" t="s">
        <v>203</v>
      </c>
      <c r="F432" s="33" t="s">
        <v>27</v>
      </c>
      <c r="G432" s="33" t="s">
        <v>252</v>
      </c>
      <c r="H432" s="33" t="s">
        <v>209</v>
      </c>
      <c r="I432" s="33" t="s">
        <v>209</v>
      </c>
      <c r="J432" s="33">
        <v>520.3347</v>
      </c>
      <c r="Q432" s="33" t="s">
        <v>260</v>
      </c>
      <c r="R432" s="33" t="s">
        <v>208</v>
      </c>
    </row>
    <row r="433" spans="1:18" ht="27.6" hidden="1" x14ac:dyDescent="0.25">
      <c r="A433" s="33" t="s">
        <v>118</v>
      </c>
      <c r="B433" s="33" t="s">
        <v>70</v>
      </c>
      <c r="C433" s="33" t="s">
        <v>208</v>
      </c>
      <c r="D433" s="33" t="s">
        <v>7</v>
      </c>
      <c r="E433" s="33" t="s">
        <v>203</v>
      </c>
      <c r="F433" s="33" t="s">
        <v>27</v>
      </c>
      <c r="G433" s="33" t="s">
        <v>252</v>
      </c>
      <c r="H433" s="33" t="s">
        <v>209</v>
      </c>
      <c r="I433" s="33" t="s">
        <v>209</v>
      </c>
      <c r="J433" s="33">
        <v>520.3347</v>
      </c>
      <c r="Q433" s="33" t="s">
        <v>260</v>
      </c>
      <c r="R433" s="33" t="s">
        <v>208</v>
      </c>
    </row>
    <row r="434" spans="1:18" ht="27.6" hidden="1" x14ac:dyDescent="0.25">
      <c r="A434" s="33" t="s">
        <v>118</v>
      </c>
      <c r="B434" s="33" t="s">
        <v>71</v>
      </c>
      <c r="C434" s="33" t="s">
        <v>208</v>
      </c>
      <c r="D434" s="33" t="s">
        <v>7</v>
      </c>
      <c r="E434" s="33" t="s">
        <v>203</v>
      </c>
      <c r="F434" s="33" t="s">
        <v>27</v>
      </c>
      <c r="G434" s="33" t="s">
        <v>252</v>
      </c>
      <c r="H434" s="33" t="s">
        <v>209</v>
      </c>
      <c r="I434" s="33" t="s">
        <v>209</v>
      </c>
      <c r="J434" s="33">
        <v>520.3347</v>
      </c>
      <c r="Q434" s="33" t="s">
        <v>260</v>
      </c>
      <c r="R434" s="33" t="s">
        <v>208</v>
      </c>
    </row>
    <row r="435" spans="1:18" ht="27.6" hidden="1" x14ac:dyDescent="0.25">
      <c r="A435" s="33" t="s">
        <v>118</v>
      </c>
      <c r="B435" s="33" t="s">
        <v>73</v>
      </c>
      <c r="C435" s="33" t="s">
        <v>208</v>
      </c>
      <c r="D435" s="33" t="s">
        <v>7</v>
      </c>
      <c r="E435" s="33" t="s">
        <v>203</v>
      </c>
      <c r="F435" s="33" t="s">
        <v>27</v>
      </c>
      <c r="G435" s="33" t="s">
        <v>252</v>
      </c>
      <c r="H435" s="33" t="s">
        <v>209</v>
      </c>
      <c r="I435" s="33" t="s">
        <v>209</v>
      </c>
      <c r="J435" s="33">
        <v>520.3347</v>
      </c>
      <c r="Q435" s="33" t="s">
        <v>260</v>
      </c>
      <c r="R435" s="33" t="s">
        <v>208</v>
      </c>
    </row>
    <row r="436" spans="1:18" ht="27.6" hidden="1" x14ac:dyDescent="0.25">
      <c r="A436" s="33" t="s">
        <v>118</v>
      </c>
      <c r="B436" s="33" t="s">
        <v>74</v>
      </c>
      <c r="C436" s="33" t="s">
        <v>208</v>
      </c>
      <c r="D436" s="33" t="s">
        <v>7</v>
      </c>
      <c r="E436" s="33" t="s">
        <v>203</v>
      </c>
      <c r="F436" s="33" t="s">
        <v>27</v>
      </c>
      <c r="G436" s="33" t="s">
        <v>252</v>
      </c>
      <c r="H436" s="33" t="s">
        <v>209</v>
      </c>
      <c r="I436" s="33" t="s">
        <v>209</v>
      </c>
      <c r="J436" s="33">
        <v>520.3347</v>
      </c>
      <c r="Q436" s="33" t="s">
        <v>260</v>
      </c>
      <c r="R436" s="33" t="s">
        <v>208</v>
      </c>
    </row>
    <row r="437" spans="1:18" ht="27.6" hidden="1" x14ac:dyDescent="0.25">
      <c r="A437" s="33" t="s">
        <v>118</v>
      </c>
      <c r="B437" s="33" t="s">
        <v>75</v>
      </c>
      <c r="C437" s="33" t="s">
        <v>208</v>
      </c>
      <c r="D437" s="33" t="s">
        <v>7</v>
      </c>
      <c r="E437" s="33" t="s">
        <v>203</v>
      </c>
      <c r="F437" s="33" t="s">
        <v>27</v>
      </c>
      <c r="G437" s="33" t="s">
        <v>252</v>
      </c>
      <c r="H437" s="33" t="s">
        <v>209</v>
      </c>
      <c r="I437" s="33" t="s">
        <v>209</v>
      </c>
      <c r="J437" s="33">
        <v>520.3347</v>
      </c>
      <c r="Q437" s="33" t="s">
        <v>260</v>
      </c>
      <c r="R437" s="33" t="s">
        <v>208</v>
      </c>
    </row>
    <row r="438" spans="1:18" ht="27.6" hidden="1" x14ac:dyDescent="0.25">
      <c r="A438" s="33" t="s">
        <v>118</v>
      </c>
      <c r="B438" s="33" t="s">
        <v>76</v>
      </c>
      <c r="C438" s="33" t="s">
        <v>208</v>
      </c>
      <c r="D438" s="33" t="s">
        <v>7</v>
      </c>
      <c r="E438" s="33" t="s">
        <v>203</v>
      </c>
      <c r="F438" s="33" t="s">
        <v>27</v>
      </c>
      <c r="G438" s="33" t="s">
        <v>252</v>
      </c>
      <c r="H438" s="33" t="s">
        <v>209</v>
      </c>
      <c r="I438" s="33" t="s">
        <v>209</v>
      </c>
      <c r="J438" s="33">
        <v>520.3347</v>
      </c>
      <c r="Q438" s="33" t="s">
        <v>260</v>
      </c>
      <c r="R438" s="33" t="s">
        <v>208</v>
      </c>
    </row>
    <row r="439" spans="1:18" ht="96.6" hidden="1" x14ac:dyDescent="0.25">
      <c r="A439" s="33" t="s">
        <v>108</v>
      </c>
      <c r="B439" s="33" t="s">
        <v>55</v>
      </c>
      <c r="C439" s="33" t="s">
        <v>202</v>
      </c>
      <c r="D439" s="33" t="s">
        <v>7</v>
      </c>
      <c r="E439" s="33" t="s">
        <v>203</v>
      </c>
      <c r="F439" s="33" t="s">
        <v>28</v>
      </c>
      <c r="G439" s="33" t="s">
        <v>252</v>
      </c>
      <c r="H439" s="33" t="s">
        <v>205</v>
      </c>
      <c r="I439" s="33" t="s">
        <v>206</v>
      </c>
      <c r="J439" s="33">
        <v>21.280809999999999</v>
      </c>
      <c r="Q439" s="33" t="s">
        <v>207</v>
      </c>
      <c r="R439" s="33">
        <v>2023</v>
      </c>
    </row>
    <row r="440" spans="1:18" ht="96.6" hidden="1" x14ac:dyDescent="0.25">
      <c r="A440" s="33" t="s">
        <v>108</v>
      </c>
      <c r="B440" s="33" t="s">
        <v>61</v>
      </c>
      <c r="C440" s="33" t="s">
        <v>202</v>
      </c>
      <c r="D440" s="33" t="s">
        <v>7</v>
      </c>
      <c r="E440" s="33" t="s">
        <v>203</v>
      </c>
      <c r="F440" s="33" t="s">
        <v>28</v>
      </c>
      <c r="G440" s="33" t="s">
        <v>252</v>
      </c>
      <c r="H440" s="33" t="s">
        <v>205</v>
      </c>
      <c r="I440" s="33" t="s">
        <v>206</v>
      </c>
      <c r="J440" s="33">
        <v>21.280809999999999</v>
      </c>
      <c r="Q440" s="33" t="s">
        <v>207</v>
      </c>
      <c r="R440" s="33">
        <v>2023</v>
      </c>
    </row>
    <row r="441" spans="1:18" ht="96.6" hidden="1" x14ac:dyDescent="0.25">
      <c r="A441" s="33" t="s">
        <v>157</v>
      </c>
      <c r="B441" s="33" t="s">
        <v>72</v>
      </c>
      <c r="C441" s="33" t="s">
        <v>202</v>
      </c>
      <c r="D441" s="33" t="s">
        <v>7</v>
      </c>
      <c r="E441" s="33" t="s">
        <v>203</v>
      </c>
      <c r="F441" s="33" t="s">
        <v>28</v>
      </c>
      <c r="G441" s="33" t="s">
        <v>252</v>
      </c>
      <c r="H441" s="33" t="s">
        <v>205</v>
      </c>
      <c r="I441" s="33" t="s">
        <v>206</v>
      </c>
      <c r="J441" s="33">
        <v>21.280809999999999</v>
      </c>
      <c r="Q441" s="33" t="s">
        <v>207</v>
      </c>
      <c r="R441" s="33">
        <v>2023</v>
      </c>
    </row>
    <row r="442" spans="1:18" ht="96.6" hidden="1" x14ac:dyDescent="0.25">
      <c r="A442" s="33" t="s">
        <v>123</v>
      </c>
      <c r="B442" s="33" t="s">
        <v>59</v>
      </c>
      <c r="C442" s="33" t="s">
        <v>202</v>
      </c>
      <c r="D442" s="33" t="s">
        <v>7</v>
      </c>
      <c r="E442" s="33" t="s">
        <v>203</v>
      </c>
      <c r="F442" s="33" t="s">
        <v>28</v>
      </c>
      <c r="G442" s="33" t="s">
        <v>252</v>
      </c>
      <c r="H442" s="33" t="s">
        <v>205</v>
      </c>
      <c r="I442" s="33" t="s">
        <v>206</v>
      </c>
      <c r="J442" s="33">
        <v>21.280809999999999</v>
      </c>
      <c r="Q442" s="33" t="s">
        <v>207</v>
      </c>
      <c r="R442" s="33">
        <v>2023</v>
      </c>
    </row>
    <row r="443" spans="1:18" ht="96.6" hidden="1" x14ac:dyDescent="0.25">
      <c r="A443" s="33" t="s">
        <v>123</v>
      </c>
      <c r="B443" s="33" t="s">
        <v>60</v>
      </c>
      <c r="C443" s="33" t="s">
        <v>202</v>
      </c>
      <c r="D443" s="33" t="s">
        <v>7</v>
      </c>
      <c r="E443" s="33" t="s">
        <v>203</v>
      </c>
      <c r="F443" s="33" t="s">
        <v>28</v>
      </c>
      <c r="G443" s="33" t="s">
        <v>252</v>
      </c>
      <c r="H443" s="33" t="s">
        <v>205</v>
      </c>
      <c r="I443" s="33" t="s">
        <v>206</v>
      </c>
      <c r="J443" s="33">
        <v>21.280809999999999</v>
      </c>
      <c r="Q443" s="33" t="s">
        <v>207</v>
      </c>
      <c r="R443" s="33">
        <v>2023</v>
      </c>
    </row>
    <row r="444" spans="1:18" ht="96.6" hidden="1" x14ac:dyDescent="0.25">
      <c r="A444" s="33" t="s">
        <v>123</v>
      </c>
      <c r="B444" s="33" t="s">
        <v>63</v>
      </c>
      <c r="C444" s="33" t="s">
        <v>202</v>
      </c>
      <c r="D444" s="33" t="s">
        <v>7</v>
      </c>
      <c r="E444" s="33" t="s">
        <v>203</v>
      </c>
      <c r="F444" s="33" t="s">
        <v>28</v>
      </c>
      <c r="G444" s="33" t="s">
        <v>252</v>
      </c>
      <c r="H444" s="33" t="s">
        <v>205</v>
      </c>
      <c r="I444" s="33" t="s">
        <v>206</v>
      </c>
      <c r="J444" s="33">
        <v>21.280809999999999</v>
      </c>
      <c r="Q444" s="33" t="s">
        <v>207</v>
      </c>
      <c r="R444" s="33">
        <v>2023</v>
      </c>
    </row>
    <row r="445" spans="1:18" ht="96.6" hidden="1" x14ac:dyDescent="0.25">
      <c r="A445" s="33" t="s">
        <v>123</v>
      </c>
      <c r="B445" s="33" t="s">
        <v>64</v>
      </c>
      <c r="C445" s="33" t="s">
        <v>202</v>
      </c>
      <c r="D445" s="33" t="s">
        <v>7</v>
      </c>
      <c r="E445" s="33" t="s">
        <v>203</v>
      </c>
      <c r="F445" s="33" t="s">
        <v>28</v>
      </c>
      <c r="G445" s="33" t="s">
        <v>252</v>
      </c>
      <c r="H445" s="33" t="s">
        <v>205</v>
      </c>
      <c r="I445" s="33" t="s">
        <v>206</v>
      </c>
      <c r="J445" s="33">
        <v>21.280809999999999</v>
      </c>
      <c r="Q445" s="33" t="s">
        <v>207</v>
      </c>
      <c r="R445" s="33">
        <v>2023</v>
      </c>
    </row>
    <row r="446" spans="1:18" ht="96.6" hidden="1" x14ac:dyDescent="0.25">
      <c r="A446" s="33" t="s">
        <v>123</v>
      </c>
      <c r="B446" s="33" t="s">
        <v>66</v>
      </c>
      <c r="C446" s="33" t="s">
        <v>202</v>
      </c>
      <c r="D446" s="33" t="s">
        <v>7</v>
      </c>
      <c r="E446" s="33" t="s">
        <v>203</v>
      </c>
      <c r="F446" s="33" t="s">
        <v>28</v>
      </c>
      <c r="G446" s="33" t="s">
        <v>252</v>
      </c>
      <c r="H446" s="33" t="s">
        <v>205</v>
      </c>
      <c r="I446" s="33" t="s">
        <v>206</v>
      </c>
      <c r="J446" s="33">
        <v>21.280809999999999</v>
      </c>
      <c r="Q446" s="33" t="s">
        <v>207</v>
      </c>
      <c r="R446" s="33">
        <v>2023</v>
      </c>
    </row>
    <row r="447" spans="1:18" ht="96.6" hidden="1" x14ac:dyDescent="0.25">
      <c r="A447" s="33" t="s">
        <v>123</v>
      </c>
      <c r="B447" s="33" t="s">
        <v>67</v>
      </c>
      <c r="C447" s="33" t="s">
        <v>202</v>
      </c>
      <c r="D447" s="33" t="s">
        <v>7</v>
      </c>
      <c r="E447" s="33" t="s">
        <v>203</v>
      </c>
      <c r="F447" s="33" t="s">
        <v>28</v>
      </c>
      <c r="G447" s="33" t="s">
        <v>252</v>
      </c>
      <c r="H447" s="33" t="s">
        <v>205</v>
      </c>
      <c r="I447" s="33" t="s">
        <v>206</v>
      </c>
      <c r="J447" s="33">
        <v>21.280809999999999</v>
      </c>
      <c r="Q447" s="33" t="s">
        <v>207</v>
      </c>
      <c r="R447" s="33">
        <v>2023</v>
      </c>
    </row>
    <row r="448" spans="1:18" ht="96.6" x14ac:dyDescent="0.25">
      <c r="A448" s="33" t="s">
        <v>123</v>
      </c>
      <c r="B448" s="33" t="s">
        <v>68</v>
      </c>
      <c r="C448" s="33" t="s">
        <v>202</v>
      </c>
      <c r="D448" s="33" t="s">
        <v>7</v>
      </c>
      <c r="E448" s="33" t="s">
        <v>203</v>
      </c>
      <c r="F448" s="33" t="s">
        <v>28</v>
      </c>
      <c r="G448" s="33" t="s">
        <v>252</v>
      </c>
      <c r="H448" s="33" t="s">
        <v>205</v>
      </c>
      <c r="I448" s="33" t="s">
        <v>206</v>
      </c>
      <c r="J448" s="33">
        <v>21.280809999999999</v>
      </c>
      <c r="Q448" s="33" t="s">
        <v>207</v>
      </c>
      <c r="R448" s="33">
        <v>2023</v>
      </c>
    </row>
    <row r="449" spans="1:18" ht="96.6" hidden="1" x14ac:dyDescent="0.25">
      <c r="A449" s="33" t="s">
        <v>123</v>
      </c>
      <c r="B449" s="33" t="s">
        <v>77</v>
      </c>
      <c r="C449" s="33" t="s">
        <v>202</v>
      </c>
      <c r="D449" s="33" t="s">
        <v>7</v>
      </c>
      <c r="E449" s="33" t="s">
        <v>203</v>
      </c>
      <c r="F449" s="33" t="s">
        <v>28</v>
      </c>
      <c r="G449" s="33" t="s">
        <v>252</v>
      </c>
      <c r="H449" s="33" t="s">
        <v>205</v>
      </c>
      <c r="I449" s="33" t="s">
        <v>206</v>
      </c>
      <c r="J449" s="33">
        <v>21.280809999999999</v>
      </c>
      <c r="Q449" s="33" t="s">
        <v>207</v>
      </c>
      <c r="R449" s="33">
        <v>2023</v>
      </c>
    </row>
    <row r="450" spans="1:18" ht="96.6" hidden="1" x14ac:dyDescent="0.25">
      <c r="A450" s="33" t="s">
        <v>113</v>
      </c>
      <c r="B450" s="33" t="s">
        <v>56</v>
      </c>
      <c r="C450" s="33" t="s">
        <v>202</v>
      </c>
      <c r="D450" s="33" t="s">
        <v>7</v>
      </c>
      <c r="E450" s="33" t="s">
        <v>203</v>
      </c>
      <c r="F450" s="33" t="s">
        <v>28</v>
      </c>
      <c r="G450" s="33" t="s">
        <v>252</v>
      </c>
      <c r="H450" s="33" t="s">
        <v>205</v>
      </c>
      <c r="I450" s="33" t="s">
        <v>206</v>
      </c>
      <c r="J450" s="33">
        <v>21.280809999999999</v>
      </c>
      <c r="Q450" s="33" t="s">
        <v>207</v>
      </c>
      <c r="R450" s="33">
        <v>2023</v>
      </c>
    </row>
    <row r="451" spans="1:18" ht="96.6" hidden="1" x14ac:dyDescent="0.25">
      <c r="A451" s="33" t="s">
        <v>113</v>
      </c>
      <c r="B451" s="33" t="s">
        <v>62</v>
      </c>
      <c r="C451" s="33" t="s">
        <v>202</v>
      </c>
      <c r="D451" s="33" t="s">
        <v>7</v>
      </c>
      <c r="E451" s="33" t="s">
        <v>203</v>
      </c>
      <c r="F451" s="33" t="s">
        <v>28</v>
      </c>
      <c r="G451" s="33" t="s">
        <v>252</v>
      </c>
      <c r="H451" s="33" t="s">
        <v>205</v>
      </c>
      <c r="I451" s="33" t="s">
        <v>206</v>
      </c>
      <c r="J451" s="33">
        <v>21.280809999999999</v>
      </c>
      <c r="Q451" s="33" t="s">
        <v>207</v>
      </c>
      <c r="R451" s="33">
        <v>2023</v>
      </c>
    </row>
    <row r="452" spans="1:18" ht="96.6" hidden="1" x14ac:dyDescent="0.25">
      <c r="A452" s="33" t="s">
        <v>113</v>
      </c>
      <c r="B452" s="33" t="s">
        <v>65</v>
      </c>
      <c r="C452" s="33" t="s">
        <v>202</v>
      </c>
      <c r="D452" s="33" t="s">
        <v>7</v>
      </c>
      <c r="E452" s="33" t="s">
        <v>203</v>
      </c>
      <c r="F452" s="33" t="s">
        <v>28</v>
      </c>
      <c r="G452" s="33" t="s">
        <v>252</v>
      </c>
      <c r="H452" s="33" t="s">
        <v>205</v>
      </c>
      <c r="I452" s="33" t="s">
        <v>206</v>
      </c>
      <c r="J452" s="33">
        <v>21.280809999999999</v>
      </c>
      <c r="Q452" s="33" t="s">
        <v>207</v>
      </c>
      <c r="R452" s="33">
        <v>2023</v>
      </c>
    </row>
    <row r="453" spans="1:18" ht="96.6" hidden="1" x14ac:dyDescent="0.25">
      <c r="A453" s="33" t="s">
        <v>172</v>
      </c>
      <c r="B453" s="33" t="s">
        <v>78</v>
      </c>
      <c r="C453" s="33" t="s">
        <v>202</v>
      </c>
      <c r="D453" s="33" t="s">
        <v>7</v>
      </c>
      <c r="E453" s="33" t="s">
        <v>203</v>
      </c>
      <c r="F453" s="33" t="s">
        <v>28</v>
      </c>
      <c r="G453" s="33" t="s">
        <v>252</v>
      </c>
      <c r="H453" s="33" t="s">
        <v>205</v>
      </c>
      <c r="I453" s="33" t="s">
        <v>206</v>
      </c>
      <c r="J453" s="33">
        <v>21.280809999999999</v>
      </c>
      <c r="Q453" s="33" t="s">
        <v>207</v>
      </c>
      <c r="R453" s="33">
        <v>2023</v>
      </c>
    </row>
    <row r="454" spans="1:18" ht="96.6" hidden="1" x14ac:dyDescent="0.25">
      <c r="A454" s="33" t="s">
        <v>118</v>
      </c>
      <c r="B454" s="33" t="s">
        <v>57</v>
      </c>
      <c r="C454" s="33" t="s">
        <v>202</v>
      </c>
      <c r="D454" s="33" t="s">
        <v>7</v>
      </c>
      <c r="E454" s="33" t="s">
        <v>203</v>
      </c>
      <c r="F454" s="33" t="s">
        <v>28</v>
      </c>
      <c r="G454" s="33" t="s">
        <v>252</v>
      </c>
      <c r="H454" s="33" t="s">
        <v>205</v>
      </c>
      <c r="I454" s="33" t="s">
        <v>206</v>
      </c>
      <c r="J454" s="33">
        <v>21.280809999999999</v>
      </c>
      <c r="Q454" s="33" t="s">
        <v>207</v>
      </c>
      <c r="R454" s="33">
        <v>2023</v>
      </c>
    </row>
    <row r="455" spans="1:18" ht="96.6" hidden="1" x14ac:dyDescent="0.25">
      <c r="A455" s="33" t="s">
        <v>118</v>
      </c>
      <c r="B455" s="33" t="s">
        <v>58</v>
      </c>
      <c r="C455" s="33" t="s">
        <v>202</v>
      </c>
      <c r="D455" s="33" t="s">
        <v>7</v>
      </c>
      <c r="E455" s="33" t="s">
        <v>203</v>
      </c>
      <c r="F455" s="33" t="s">
        <v>28</v>
      </c>
      <c r="G455" s="33" t="s">
        <v>252</v>
      </c>
      <c r="H455" s="33" t="s">
        <v>205</v>
      </c>
      <c r="I455" s="33" t="s">
        <v>206</v>
      </c>
      <c r="J455" s="33">
        <v>21.280809999999999</v>
      </c>
      <c r="Q455" s="33" t="s">
        <v>207</v>
      </c>
      <c r="R455" s="33">
        <v>2023</v>
      </c>
    </row>
    <row r="456" spans="1:18" ht="96.6" hidden="1" x14ac:dyDescent="0.25">
      <c r="A456" s="33" t="s">
        <v>118</v>
      </c>
      <c r="B456" s="33" t="s">
        <v>69</v>
      </c>
      <c r="C456" s="33" t="s">
        <v>202</v>
      </c>
      <c r="D456" s="33" t="s">
        <v>7</v>
      </c>
      <c r="E456" s="33" t="s">
        <v>203</v>
      </c>
      <c r="F456" s="33" t="s">
        <v>28</v>
      </c>
      <c r="G456" s="33" t="s">
        <v>252</v>
      </c>
      <c r="H456" s="33" t="s">
        <v>205</v>
      </c>
      <c r="I456" s="33" t="s">
        <v>206</v>
      </c>
      <c r="J456" s="33">
        <v>21.280809999999999</v>
      </c>
      <c r="Q456" s="33" t="s">
        <v>207</v>
      </c>
      <c r="R456" s="33">
        <v>2023</v>
      </c>
    </row>
    <row r="457" spans="1:18" ht="96.6" hidden="1" x14ac:dyDescent="0.25">
      <c r="A457" s="33" t="s">
        <v>118</v>
      </c>
      <c r="B457" s="33" t="s">
        <v>70</v>
      </c>
      <c r="C457" s="33" t="s">
        <v>202</v>
      </c>
      <c r="D457" s="33" t="s">
        <v>7</v>
      </c>
      <c r="E457" s="33" t="s">
        <v>203</v>
      </c>
      <c r="F457" s="33" t="s">
        <v>28</v>
      </c>
      <c r="G457" s="33" t="s">
        <v>252</v>
      </c>
      <c r="H457" s="33" t="s">
        <v>205</v>
      </c>
      <c r="I457" s="33" t="s">
        <v>206</v>
      </c>
      <c r="J457" s="33">
        <v>21.280809999999999</v>
      </c>
      <c r="Q457" s="33" t="s">
        <v>207</v>
      </c>
      <c r="R457" s="33">
        <v>2023</v>
      </c>
    </row>
    <row r="458" spans="1:18" ht="96.6" hidden="1" x14ac:dyDescent="0.25">
      <c r="A458" s="33" t="s">
        <v>118</v>
      </c>
      <c r="B458" s="33" t="s">
        <v>71</v>
      </c>
      <c r="C458" s="33" t="s">
        <v>202</v>
      </c>
      <c r="D458" s="33" t="s">
        <v>7</v>
      </c>
      <c r="E458" s="33" t="s">
        <v>203</v>
      </c>
      <c r="F458" s="33" t="s">
        <v>28</v>
      </c>
      <c r="G458" s="33" t="s">
        <v>252</v>
      </c>
      <c r="H458" s="33" t="s">
        <v>205</v>
      </c>
      <c r="I458" s="33" t="s">
        <v>206</v>
      </c>
      <c r="J458" s="33">
        <v>21.280809999999999</v>
      </c>
      <c r="Q458" s="33" t="s">
        <v>207</v>
      </c>
      <c r="R458" s="33">
        <v>2023</v>
      </c>
    </row>
    <row r="459" spans="1:18" ht="96.6" hidden="1" x14ac:dyDescent="0.25">
      <c r="A459" s="33" t="s">
        <v>118</v>
      </c>
      <c r="B459" s="33" t="s">
        <v>73</v>
      </c>
      <c r="C459" s="33" t="s">
        <v>202</v>
      </c>
      <c r="D459" s="33" t="s">
        <v>7</v>
      </c>
      <c r="E459" s="33" t="s">
        <v>203</v>
      </c>
      <c r="F459" s="33" t="s">
        <v>28</v>
      </c>
      <c r="G459" s="33" t="s">
        <v>252</v>
      </c>
      <c r="H459" s="33" t="s">
        <v>205</v>
      </c>
      <c r="I459" s="33" t="s">
        <v>206</v>
      </c>
      <c r="J459" s="33">
        <v>21.280809999999999</v>
      </c>
      <c r="Q459" s="33" t="s">
        <v>207</v>
      </c>
      <c r="R459" s="33">
        <v>2023</v>
      </c>
    </row>
    <row r="460" spans="1:18" ht="96.6" hidden="1" x14ac:dyDescent="0.25">
      <c r="A460" s="33" t="s">
        <v>118</v>
      </c>
      <c r="B460" s="33" t="s">
        <v>74</v>
      </c>
      <c r="C460" s="33" t="s">
        <v>202</v>
      </c>
      <c r="D460" s="33" t="s">
        <v>7</v>
      </c>
      <c r="E460" s="33" t="s">
        <v>203</v>
      </c>
      <c r="F460" s="33" t="s">
        <v>28</v>
      </c>
      <c r="G460" s="33" t="s">
        <v>252</v>
      </c>
      <c r="H460" s="33" t="s">
        <v>205</v>
      </c>
      <c r="I460" s="33" t="s">
        <v>206</v>
      </c>
      <c r="J460" s="33">
        <v>21.280809999999999</v>
      </c>
      <c r="Q460" s="33" t="s">
        <v>207</v>
      </c>
      <c r="R460" s="33">
        <v>2023</v>
      </c>
    </row>
    <row r="461" spans="1:18" ht="96.6" hidden="1" x14ac:dyDescent="0.25">
      <c r="A461" s="33" t="s">
        <v>118</v>
      </c>
      <c r="B461" s="33" t="s">
        <v>75</v>
      </c>
      <c r="C461" s="33" t="s">
        <v>202</v>
      </c>
      <c r="D461" s="33" t="s">
        <v>7</v>
      </c>
      <c r="E461" s="33" t="s">
        <v>203</v>
      </c>
      <c r="F461" s="33" t="s">
        <v>28</v>
      </c>
      <c r="G461" s="33" t="s">
        <v>252</v>
      </c>
      <c r="H461" s="33" t="s">
        <v>205</v>
      </c>
      <c r="I461" s="33" t="s">
        <v>206</v>
      </c>
      <c r="J461" s="33">
        <v>21.280809999999999</v>
      </c>
      <c r="Q461" s="33" t="s">
        <v>207</v>
      </c>
      <c r="R461" s="33">
        <v>2023</v>
      </c>
    </row>
    <row r="462" spans="1:18" ht="96.6" hidden="1" x14ac:dyDescent="0.25">
      <c r="A462" s="33" t="s">
        <v>118</v>
      </c>
      <c r="B462" s="33" t="s">
        <v>76</v>
      </c>
      <c r="C462" s="33" t="s">
        <v>202</v>
      </c>
      <c r="D462" s="33" t="s">
        <v>7</v>
      </c>
      <c r="E462" s="33" t="s">
        <v>203</v>
      </c>
      <c r="F462" s="33" t="s">
        <v>28</v>
      </c>
      <c r="G462" s="33" t="s">
        <v>252</v>
      </c>
      <c r="H462" s="33" t="s">
        <v>205</v>
      </c>
      <c r="I462" s="33" t="s">
        <v>206</v>
      </c>
      <c r="J462" s="33">
        <v>21.280809999999999</v>
      </c>
      <c r="Q462" s="33" t="s">
        <v>207</v>
      </c>
      <c r="R462" s="33">
        <v>2023</v>
      </c>
    </row>
    <row r="463" spans="1:18" ht="96.6" hidden="1" x14ac:dyDescent="0.25">
      <c r="A463" s="33" t="s">
        <v>108</v>
      </c>
      <c r="B463" s="33" t="s">
        <v>55</v>
      </c>
      <c r="C463" s="33" t="s">
        <v>202</v>
      </c>
      <c r="D463" s="33" t="s">
        <v>7</v>
      </c>
      <c r="E463" s="33" t="s">
        <v>203</v>
      </c>
      <c r="F463" s="33" t="s">
        <v>29</v>
      </c>
      <c r="G463" s="33" t="s">
        <v>252</v>
      </c>
      <c r="H463" s="33" t="s">
        <v>205</v>
      </c>
      <c r="I463" s="33" t="s">
        <v>206</v>
      </c>
      <c r="J463" s="33">
        <v>520.33474000000001</v>
      </c>
      <c r="Q463" s="33" t="s">
        <v>207</v>
      </c>
      <c r="R463" s="33">
        <v>2023</v>
      </c>
    </row>
    <row r="464" spans="1:18" ht="96.6" hidden="1" x14ac:dyDescent="0.25">
      <c r="A464" s="33" t="s">
        <v>108</v>
      </c>
      <c r="B464" s="33" t="s">
        <v>61</v>
      </c>
      <c r="C464" s="33" t="s">
        <v>202</v>
      </c>
      <c r="D464" s="33" t="s">
        <v>7</v>
      </c>
      <c r="E464" s="33" t="s">
        <v>203</v>
      </c>
      <c r="F464" s="33" t="s">
        <v>29</v>
      </c>
      <c r="G464" s="33" t="s">
        <v>252</v>
      </c>
      <c r="H464" s="33" t="s">
        <v>205</v>
      </c>
      <c r="I464" s="33" t="s">
        <v>206</v>
      </c>
      <c r="J464" s="33">
        <v>520.33474000000001</v>
      </c>
      <c r="Q464" s="33" t="s">
        <v>207</v>
      </c>
      <c r="R464" s="33">
        <v>2023</v>
      </c>
    </row>
    <row r="465" spans="1:18" ht="96.6" hidden="1" x14ac:dyDescent="0.25">
      <c r="A465" s="33" t="s">
        <v>157</v>
      </c>
      <c r="B465" s="33" t="s">
        <v>72</v>
      </c>
      <c r="C465" s="33" t="s">
        <v>202</v>
      </c>
      <c r="D465" s="33" t="s">
        <v>7</v>
      </c>
      <c r="E465" s="33" t="s">
        <v>203</v>
      </c>
      <c r="F465" s="33" t="s">
        <v>29</v>
      </c>
      <c r="G465" s="33" t="s">
        <v>252</v>
      </c>
      <c r="H465" s="33" t="s">
        <v>205</v>
      </c>
      <c r="I465" s="33" t="s">
        <v>206</v>
      </c>
      <c r="J465" s="33">
        <v>520.33474000000001</v>
      </c>
      <c r="Q465" s="33" t="s">
        <v>207</v>
      </c>
      <c r="R465" s="33">
        <v>2023</v>
      </c>
    </row>
    <row r="466" spans="1:18" ht="96.6" hidden="1" x14ac:dyDescent="0.25">
      <c r="A466" s="33" t="s">
        <v>123</v>
      </c>
      <c r="B466" s="33" t="s">
        <v>59</v>
      </c>
      <c r="C466" s="33" t="s">
        <v>202</v>
      </c>
      <c r="D466" s="33" t="s">
        <v>7</v>
      </c>
      <c r="E466" s="33" t="s">
        <v>203</v>
      </c>
      <c r="F466" s="33" t="s">
        <v>29</v>
      </c>
      <c r="G466" s="33" t="s">
        <v>252</v>
      </c>
      <c r="H466" s="33" t="s">
        <v>205</v>
      </c>
      <c r="I466" s="33" t="s">
        <v>206</v>
      </c>
      <c r="J466" s="33">
        <v>520.33474000000001</v>
      </c>
      <c r="Q466" s="33" t="s">
        <v>207</v>
      </c>
      <c r="R466" s="33">
        <v>2023</v>
      </c>
    </row>
    <row r="467" spans="1:18" ht="96.6" hidden="1" x14ac:dyDescent="0.25">
      <c r="A467" s="33" t="s">
        <v>123</v>
      </c>
      <c r="B467" s="33" t="s">
        <v>60</v>
      </c>
      <c r="C467" s="33" t="s">
        <v>202</v>
      </c>
      <c r="D467" s="33" t="s">
        <v>7</v>
      </c>
      <c r="E467" s="33" t="s">
        <v>203</v>
      </c>
      <c r="F467" s="33" t="s">
        <v>29</v>
      </c>
      <c r="G467" s="33" t="s">
        <v>252</v>
      </c>
      <c r="H467" s="33" t="s">
        <v>205</v>
      </c>
      <c r="I467" s="33" t="s">
        <v>206</v>
      </c>
      <c r="J467" s="33">
        <v>520.33474000000001</v>
      </c>
      <c r="Q467" s="33" t="s">
        <v>207</v>
      </c>
      <c r="R467" s="33">
        <v>2023</v>
      </c>
    </row>
    <row r="468" spans="1:18" ht="96.6" hidden="1" x14ac:dyDescent="0.25">
      <c r="A468" s="33" t="s">
        <v>123</v>
      </c>
      <c r="B468" s="33" t="s">
        <v>63</v>
      </c>
      <c r="C468" s="33" t="s">
        <v>202</v>
      </c>
      <c r="D468" s="33" t="s">
        <v>7</v>
      </c>
      <c r="E468" s="33" t="s">
        <v>203</v>
      </c>
      <c r="F468" s="33" t="s">
        <v>29</v>
      </c>
      <c r="G468" s="33" t="s">
        <v>252</v>
      </c>
      <c r="H468" s="33" t="s">
        <v>205</v>
      </c>
      <c r="I468" s="33" t="s">
        <v>206</v>
      </c>
      <c r="J468" s="33">
        <v>520.33474000000001</v>
      </c>
      <c r="Q468" s="33" t="s">
        <v>207</v>
      </c>
      <c r="R468" s="33">
        <v>2023</v>
      </c>
    </row>
    <row r="469" spans="1:18" ht="96.6" hidden="1" x14ac:dyDescent="0.25">
      <c r="A469" s="33" t="s">
        <v>123</v>
      </c>
      <c r="B469" s="33" t="s">
        <v>64</v>
      </c>
      <c r="C469" s="33" t="s">
        <v>202</v>
      </c>
      <c r="D469" s="33" t="s">
        <v>7</v>
      </c>
      <c r="E469" s="33" t="s">
        <v>203</v>
      </c>
      <c r="F469" s="33" t="s">
        <v>29</v>
      </c>
      <c r="G469" s="33" t="s">
        <v>252</v>
      </c>
      <c r="H469" s="33" t="s">
        <v>205</v>
      </c>
      <c r="I469" s="33" t="s">
        <v>206</v>
      </c>
      <c r="J469" s="33">
        <v>520.33474000000001</v>
      </c>
      <c r="Q469" s="33" t="s">
        <v>207</v>
      </c>
      <c r="R469" s="33">
        <v>2023</v>
      </c>
    </row>
    <row r="470" spans="1:18" ht="96.6" hidden="1" x14ac:dyDescent="0.25">
      <c r="A470" s="33" t="s">
        <v>123</v>
      </c>
      <c r="B470" s="33" t="s">
        <v>66</v>
      </c>
      <c r="C470" s="33" t="s">
        <v>202</v>
      </c>
      <c r="D470" s="33" t="s">
        <v>7</v>
      </c>
      <c r="E470" s="33" t="s">
        <v>203</v>
      </c>
      <c r="F470" s="33" t="s">
        <v>29</v>
      </c>
      <c r="G470" s="33" t="s">
        <v>252</v>
      </c>
      <c r="H470" s="33" t="s">
        <v>205</v>
      </c>
      <c r="I470" s="33" t="s">
        <v>206</v>
      </c>
      <c r="J470" s="33">
        <v>520.33474000000001</v>
      </c>
      <c r="Q470" s="33" t="s">
        <v>207</v>
      </c>
      <c r="R470" s="33">
        <v>2023</v>
      </c>
    </row>
    <row r="471" spans="1:18" ht="96.6" hidden="1" x14ac:dyDescent="0.25">
      <c r="A471" s="33" t="s">
        <v>123</v>
      </c>
      <c r="B471" s="33" t="s">
        <v>67</v>
      </c>
      <c r="C471" s="33" t="s">
        <v>202</v>
      </c>
      <c r="D471" s="33" t="s">
        <v>7</v>
      </c>
      <c r="E471" s="33" t="s">
        <v>203</v>
      </c>
      <c r="F471" s="33" t="s">
        <v>29</v>
      </c>
      <c r="G471" s="33" t="s">
        <v>252</v>
      </c>
      <c r="H471" s="33" t="s">
        <v>205</v>
      </c>
      <c r="I471" s="33" t="s">
        <v>206</v>
      </c>
      <c r="J471" s="33">
        <v>520.33474000000001</v>
      </c>
      <c r="Q471" s="33" t="s">
        <v>207</v>
      </c>
      <c r="R471" s="33">
        <v>2023</v>
      </c>
    </row>
    <row r="472" spans="1:18" ht="96.6" x14ac:dyDescent="0.25">
      <c r="A472" s="33" t="s">
        <v>123</v>
      </c>
      <c r="B472" s="33" t="s">
        <v>68</v>
      </c>
      <c r="C472" s="33" t="s">
        <v>202</v>
      </c>
      <c r="D472" s="33" t="s">
        <v>7</v>
      </c>
      <c r="E472" s="33" t="s">
        <v>203</v>
      </c>
      <c r="F472" s="33" t="s">
        <v>29</v>
      </c>
      <c r="G472" s="33" t="s">
        <v>252</v>
      </c>
      <c r="H472" s="33" t="s">
        <v>205</v>
      </c>
      <c r="I472" s="33" t="s">
        <v>206</v>
      </c>
      <c r="J472" s="33">
        <v>520.33474000000001</v>
      </c>
      <c r="Q472" s="33" t="s">
        <v>207</v>
      </c>
      <c r="R472" s="33">
        <v>2023</v>
      </c>
    </row>
    <row r="473" spans="1:18" ht="96.6" hidden="1" x14ac:dyDescent="0.25">
      <c r="A473" s="33" t="s">
        <v>123</v>
      </c>
      <c r="B473" s="33" t="s">
        <v>77</v>
      </c>
      <c r="C473" s="33" t="s">
        <v>202</v>
      </c>
      <c r="D473" s="33" t="s">
        <v>7</v>
      </c>
      <c r="E473" s="33" t="s">
        <v>203</v>
      </c>
      <c r="F473" s="33" t="s">
        <v>29</v>
      </c>
      <c r="G473" s="33" t="s">
        <v>252</v>
      </c>
      <c r="H473" s="33" t="s">
        <v>205</v>
      </c>
      <c r="I473" s="33" t="s">
        <v>206</v>
      </c>
      <c r="J473" s="33">
        <v>520.33474000000001</v>
      </c>
      <c r="Q473" s="33" t="s">
        <v>207</v>
      </c>
      <c r="R473" s="33">
        <v>2023</v>
      </c>
    </row>
    <row r="474" spans="1:18" ht="96.6" hidden="1" x14ac:dyDescent="0.25">
      <c r="A474" s="33" t="s">
        <v>113</v>
      </c>
      <c r="B474" s="33" t="s">
        <v>56</v>
      </c>
      <c r="C474" s="33" t="s">
        <v>202</v>
      </c>
      <c r="D474" s="33" t="s">
        <v>7</v>
      </c>
      <c r="E474" s="33" t="s">
        <v>203</v>
      </c>
      <c r="F474" s="33" t="s">
        <v>29</v>
      </c>
      <c r="G474" s="33" t="s">
        <v>252</v>
      </c>
      <c r="H474" s="33" t="s">
        <v>205</v>
      </c>
      <c r="I474" s="33" t="s">
        <v>206</v>
      </c>
      <c r="J474" s="33">
        <v>520.33474000000001</v>
      </c>
      <c r="Q474" s="33" t="s">
        <v>207</v>
      </c>
      <c r="R474" s="33">
        <v>2023</v>
      </c>
    </row>
    <row r="475" spans="1:18" ht="96.6" hidden="1" x14ac:dyDescent="0.25">
      <c r="A475" s="33" t="s">
        <v>113</v>
      </c>
      <c r="B475" s="33" t="s">
        <v>62</v>
      </c>
      <c r="C475" s="33" t="s">
        <v>202</v>
      </c>
      <c r="D475" s="33" t="s">
        <v>7</v>
      </c>
      <c r="E475" s="33" t="s">
        <v>203</v>
      </c>
      <c r="F475" s="33" t="s">
        <v>29</v>
      </c>
      <c r="G475" s="33" t="s">
        <v>252</v>
      </c>
      <c r="H475" s="33" t="s">
        <v>205</v>
      </c>
      <c r="I475" s="33" t="s">
        <v>206</v>
      </c>
      <c r="J475" s="33">
        <v>520.33474000000001</v>
      </c>
      <c r="Q475" s="33" t="s">
        <v>207</v>
      </c>
      <c r="R475" s="33">
        <v>2023</v>
      </c>
    </row>
    <row r="476" spans="1:18" ht="96.6" hidden="1" x14ac:dyDescent="0.25">
      <c r="A476" s="33" t="s">
        <v>113</v>
      </c>
      <c r="B476" s="33" t="s">
        <v>65</v>
      </c>
      <c r="C476" s="33" t="s">
        <v>202</v>
      </c>
      <c r="D476" s="33" t="s">
        <v>7</v>
      </c>
      <c r="E476" s="33" t="s">
        <v>203</v>
      </c>
      <c r="F476" s="33" t="s">
        <v>29</v>
      </c>
      <c r="G476" s="33" t="s">
        <v>252</v>
      </c>
      <c r="H476" s="33" t="s">
        <v>205</v>
      </c>
      <c r="I476" s="33" t="s">
        <v>206</v>
      </c>
      <c r="J476" s="33">
        <v>520.33474000000001</v>
      </c>
      <c r="Q476" s="33" t="s">
        <v>207</v>
      </c>
      <c r="R476" s="33">
        <v>2023</v>
      </c>
    </row>
    <row r="477" spans="1:18" ht="96.6" hidden="1" x14ac:dyDescent="0.25">
      <c r="A477" s="33" t="s">
        <v>172</v>
      </c>
      <c r="B477" s="33" t="s">
        <v>78</v>
      </c>
      <c r="C477" s="33" t="s">
        <v>202</v>
      </c>
      <c r="D477" s="33" t="s">
        <v>7</v>
      </c>
      <c r="E477" s="33" t="s">
        <v>203</v>
      </c>
      <c r="F477" s="33" t="s">
        <v>29</v>
      </c>
      <c r="G477" s="33" t="s">
        <v>252</v>
      </c>
      <c r="H477" s="33" t="s">
        <v>205</v>
      </c>
      <c r="I477" s="33" t="s">
        <v>206</v>
      </c>
      <c r="J477" s="33">
        <v>520.33474000000001</v>
      </c>
      <c r="Q477" s="33" t="s">
        <v>207</v>
      </c>
      <c r="R477" s="33">
        <v>2023</v>
      </c>
    </row>
    <row r="478" spans="1:18" ht="96.6" hidden="1" x14ac:dyDescent="0.25">
      <c r="A478" s="33" t="s">
        <v>118</v>
      </c>
      <c r="B478" s="33" t="s">
        <v>57</v>
      </c>
      <c r="C478" s="33" t="s">
        <v>202</v>
      </c>
      <c r="D478" s="33" t="s">
        <v>7</v>
      </c>
      <c r="E478" s="33" t="s">
        <v>203</v>
      </c>
      <c r="F478" s="33" t="s">
        <v>29</v>
      </c>
      <c r="G478" s="33" t="s">
        <v>252</v>
      </c>
      <c r="H478" s="33" t="s">
        <v>205</v>
      </c>
      <c r="I478" s="33" t="s">
        <v>206</v>
      </c>
      <c r="J478" s="33">
        <v>520.33474000000001</v>
      </c>
      <c r="Q478" s="33" t="s">
        <v>207</v>
      </c>
      <c r="R478" s="33">
        <v>2023</v>
      </c>
    </row>
    <row r="479" spans="1:18" ht="96.6" hidden="1" x14ac:dyDescent="0.25">
      <c r="A479" s="33" t="s">
        <v>118</v>
      </c>
      <c r="B479" s="33" t="s">
        <v>58</v>
      </c>
      <c r="C479" s="33" t="s">
        <v>202</v>
      </c>
      <c r="D479" s="33" t="s">
        <v>7</v>
      </c>
      <c r="E479" s="33" t="s">
        <v>203</v>
      </c>
      <c r="F479" s="33" t="s">
        <v>29</v>
      </c>
      <c r="G479" s="33" t="s">
        <v>252</v>
      </c>
      <c r="H479" s="33" t="s">
        <v>205</v>
      </c>
      <c r="I479" s="33" t="s">
        <v>206</v>
      </c>
      <c r="J479" s="33">
        <v>520.33474000000001</v>
      </c>
      <c r="Q479" s="33" t="s">
        <v>207</v>
      </c>
      <c r="R479" s="33">
        <v>2023</v>
      </c>
    </row>
    <row r="480" spans="1:18" ht="96.6" hidden="1" x14ac:dyDescent="0.25">
      <c r="A480" s="33" t="s">
        <v>118</v>
      </c>
      <c r="B480" s="33" t="s">
        <v>69</v>
      </c>
      <c r="C480" s="33" t="s">
        <v>202</v>
      </c>
      <c r="D480" s="33" t="s">
        <v>7</v>
      </c>
      <c r="E480" s="33" t="s">
        <v>203</v>
      </c>
      <c r="F480" s="33" t="s">
        <v>29</v>
      </c>
      <c r="G480" s="33" t="s">
        <v>252</v>
      </c>
      <c r="H480" s="33" t="s">
        <v>205</v>
      </c>
      <c r="I480" s="33" t="s">
        <v>206</v>
      </c>
      <c r="J480" s="33">
        <v>520.33474000000001</v>
      </c>
      <c r="Q480" s="33" t="s">
        <v>207</v>
      </c>
      <c r="R480" s="33">
        <v>2023</v>
      </c>
    </row>
    <row r="481" spans="1:18" ht="96.6" hidden="1" x14ac:dyDescent="0.25">
      <c r="A481" s="33" t="s">
        <v>118</v>
      </c>
      <c r="B481" s="33" t="s">
        <v>70</v>
      </c>
      <c r="C481" s="33" t="s">
        <v>202</v>
      </c>
      <c r="D481" s="33" t="s">
        <v>7</v>
      </c>
      <c r="E481" s="33" t="s">
        <v>203</v>
      </c>
      <c r="F481" s="33" t="s">
        <v>29</v>
      </c>
      <c r="G481" s="33" t="s">
        <v>252</v>
      </c>
      <c r="H481" s="33" t="s">
        <v>205</v>
      </c>
      <c r="I481" s="33" t="s">
        <v>206</v>
      </c>
      <c r="J481" s="33">
        <v>520.33474000000001</v>
      </c>
      <c r="Q481" s="33" t="s">
        <v>207</v>
      </c>
      <c r="R481" s="33">
        <v>2023</v>
      </c>
    </row>
    <row r="482" spans="1:18" ht="96.6" hidden="1" x14ac:dyDescent="0.25">
      <c r="A482" s="33" t="s">
        <v>118</v>
      </c>
      <c r="B482" s="33" t="s">
        <v>71</v>
      </c>
      <c r="C482" s="33" t="s">
        <v>202</v>
      </c>
      <c r="D482" s="33" t="s">
        <v>7</v>
      </c>
      <c r="E482" s="33" t="s">
        <v>203</v>
      </c>
      <c r="F482" s="33" t="s">
        <v>29</v>
      </c>
      <c r="G482" s="33" t="s">
        <v>252</v>
      </c>
      <c r="H482" s="33" t="s">
        <v>205</v>
      </c>
      <c r="I482" s="33" t="s">
        <v>206</v>
      </c>
      <c r="J482" s="33">
        <v>520.33474000000001</v>
      </c>
      <c r="Q482" s="33" t="s">
        <v>207</v>
      </c>
      <c r="R482" s="33">
        <v>2023</v>
      </c>
    </row>
    <row r="483" spans="1:18" ht="96.6" hidden="1" x14ac:dyDescent="0.25">
      <c r="A483" s="33" t="s">
        <v>118</v>
      </c>
      <c r="B483" s="33" t="s">
        <v>73</v>
      </c>
      <c r="C483" s="33" t="s">
        <v>202</v>
      </c>
      <c r="D483" s="33" t="s">
        <v>7</v>
      </c>
      <c r="E483" s="33" t="s">
        <v>203</v>
      </c>
      <c r="F483" s="33" t="s">
        <v>29</v>
      </c>
      <c r="G483" s="33" t="s">
        <v>252</v>
      </c>
      <c r="H483" s="33" t="s">
        <v>205</v>
      </c>
      <c r="I483" s="33" t="s">
        <v>206</v>
      </c>
      <c r="J483" s="33">
        <v>520.33474000000001</v>
      </c>
      <c r="Q483" s="33" t="s">
        <v>207</v>
      </c>
      <c r="R483" s="33">
        <v>2023</v>
      </c>
    </row>
    <row r="484" spans="1:18" ht="96.6" hidden="1" x14ac:dyDescent="0.25">
      <c r="A484" s="33" t="s">
        <v>118</v>
      </c>
      <c r="B484" s="33" t="s">
        <v>74</v>
      </c>
      <c r="C484" s="33" t="s">
        <v>202</v>
      </c>
      <c r="D484" s="33" t="s">
        <v>7</v>
      </c>
      <c r="E484" s="33" t="s">
        <v>203</v>
      </c>
      <c r="F484" s="33" t="s">
        <v>29</v>
      </c>
      <c r="G484" s="33" t="s">
        <v>252</v>
      </c>
      <c r="H484" s="33" t="s">
        <v>205</v>
      </c>
      <c r="I484" s="33" t="s">
        <v>206</v>
      </c>
      <c r="J484" s="33">
        <v>520.33474000000001</v>
      </c>
      <c r="Q484" s="33" t="s">
        <v>207</v>
      </c>
      <c r="R484" s="33">
        <v>2023</v>
      </c>
    </row>
    <row r="485" spans="1:18" ht="96.6" hidden="1" x14ac:dyDescent="0.25">
      <c r="A485" s="33" t="s">
        <v>118</v>
      </c>
      <c r="B485" s="33" t="s">
        <v>75</v>
      </c>
      <c r="C485" s="33" t="s">
        <v>202</v>
      </c>
      <c r="D485" s="33" t="s">
        <v>7</v>
      </c>
      <c r="E485" s="33" t="s">
        <v>203</v>
      </c>
      <c r="F485" s="33" t="s">
        <v>29</v>
      </c>
      <c r="G485" s="33" t="s">
        <v>252</v>
      </c>
      <c r="H485" s="33" t="s">
        <v>205</v>
      </c>
      <c r="I485" s="33" t="s">
        <v>206</v>
      </c>
      <c r="J485" s="33">
        <v>520.33474000000001</v>
      </c>
      <c r="Q485" s="33" t="s">
        <v>207</v>
      </c>
      <c r="R485" s="33">
        <v>2023</v>
      </c>
    </row>
    <row r="486" spans="1:18" ht="96.6" hidden="1" x14ac:dyDescent="0.25">
      <c r="A486" s="33" t="s">
        <v>118</v>
      </c>
      <c r="B486" s="33" t="s">
        <v>76</v>
      </c>
      <c r="C486" s="33" t="s">
        <v>202</v>
      </c>
      <c r="D486" s="33" t="s">
        <v>7</v>
      </c>
      <c r="E486" s="33" t="s">
        <v>203</v>
      </c>
      <c r="F486" s="33" t="s">
        <v>29</v>
      </c>
      <c r="G486" s="33" t="s">
        <v>252</v>
      </c>
      <c r="H486" s="33" t="s">
        <v>205</v>
      </c>
      <c r="I486" s="33" t="s">
        <v>206</v>
      </c>
      <c r="J486" s="33">
        <v>520.33474000000001</v>
      </c>
      <c r="Q486" s="33" t="s">
        <v>207</v>
      </c>
      <c r="R486" s="33">
        <v>2023</v>
      </c>
    </row>
    <row r="487" spans="1:18" ht="96.6" hidden="1" x14ac:dyDescent="0.25">
      <c r="A487" s="33" t="s">
        <v>108</v>
      </c>
      <c r="B487" s="33" t="s">
        <v>55</v>
      </c>
      <c r="C487" s="33" t="s">
        <v>202</v>
      </c>
      <c r="D487" s="33" t="s">
        <v>7</v>
      </c>
      <c r="E487" s="33" t="s">
        <v>203</v>
      </c>
      <c r="F487" s="33" t="s">
        <v>30</v>
      </c>
      <c r="G487" s="33" t="s">
        <v>252</v>
      </c>
      <c r="H487" s="33" t="s">
        <v>205</v>
      </c>
      <c r="I487" s="33" t="s">
        <v>206</v>
      </c>
      <c r="J487" s="33">
        <v>520.33474000000001</v>
      </c>
      <c r="Q487" s="33" t="s">
        <v>207</v>
      </c>
      <c r="R487" s="33">
        <v>2023</v>
      </c>
    </row>
    <row r="488" spans="1:18" ht="96.6" hidden="1" x14ac:dyDescent="0.25">
      <c r="A488" s="33" t="s">
        <v>108</v>
      </c>
      <c r="B488" s="33" t="s">
        <v>61</v>
      </c>
      <c r="C488" s="33" t="s">
        <v>202</v>
      </c>
      <c r="D488" s="33" t="s">
        <v>7</v>
      </c>
      <c r="E488" s="33" t="s">
        <v>203</v>
      </c>
      <c r="F488" s="33" t="s">
        <v>30</v>
      </c>
      <c r="G488" s="33" t="s">
        <v>252</v>
      </c>
      <c r="H488" s="33" t="s">
        <v>205</v>
      </c>
      <c r="I488" s="33" t="s">
        <v>206</v>
      </c>
      <c r="J488" s="33">
        <v>520.33474000000001</v>
      </c>
      <c r="Q488" s="33" t="s">
        <v>207</v>
      </c>
      <c r="R488" s="33">
        <v>2023</v>
      </c>
    </row>
    <row r="489" spans="1:18" ht="96.6" hidden="1" x14ac:dyDescent="0.25">
      <c r="A489" s="33" t="s">
        <v>157</v>
      </c>
      <c r="B489" s="33" t="s">
        <v>72</v>
      </c>
      <c r="C489" s="33" t="s">
        <v>202</v>
      </c>
      <c r="D489" s="33" t="s">
        <v>7</v>
      </c>
      <c r="E489" s="33" t="s">
        <v>203</v>
      </c>
      <c r="F489" s="33" t="s">
        <v>30</v>
      </c>
      <c r="G489" s="33" t="s">
        <v>252</v>
      </c>
      <c r="H489" s="33" t="s">
        <v>205</v>
      </c>
      <c r="I489" s="33" t="s">
        <v>206</v>
      </c>
      <c r="J489" s="33">
        <v>520.33474000000001</v>
      </c>
      <c r="Q489" s="33" t="s">
        <v>207</v>
      </c>
      <c r="R489" s="33">
        <v>2023</v>
      </c>
    </row>
    <row r="490" spans="1:18" ht="96.6" hidden="1" x14ac:dyDescent="0.25">
      <c r="A490" s="33" t="s">
        <v>123</v>
      </c>
      <c r="B490" s="33" t="s">
        <v>59</v>
      </c>
      <c r="C490" s="33" t="s">
        <v>202</v>
      </c>
      <c r="D490" s="33" t="s">
        <v>7</v>
      </c>
      <c r="E490" s="33" t="s">
        <v>203</v>
      </c>
      <c r="F490" s="33" t="s">
        <v>30</v>
      </c>
      <c r="G490" s="33" t="s">
        <v>252</v>
      </c>
      <c r="H490" s="33" t="s">
        <v>205</v>
      </c>
      <c r="I490" s="33" t="s">
        <v>206</v>
      </c>
      <c r="J490" s="33">
        <v>520.33474000000001</v>
      </c>
      <c r="Q490" s="33" t="s">
        <v>207</v>
      </c>
      <c r="R490" s="33">
        <v>2023</v>
      </c>
    </row>
    <row r="491" spans="1:18" ht="96.6" hidden="1" x14ac:dyDescent="0.25">
      <c r="A491" s="33" t="s">
        <v>123</v>
      </c>
      <c r="B491" s="33" t="s">
        <v>60</v>
      </c>
      <c r="C491" s="33" t="s">
        <v>202</v>
      </c>
      <c r="D491" s="33" t="s">
        <v>7</v>
      </c>
      <c r="E491" s="33" t="s">
        <v>203</v>
      </c>
      <c r="F491" s="33" t="s">
        <v>30</v>
      </c>
      <c r="G491" s="33" t="s">
        <v>252</v>
      </c>
      <c r="H491" s="33" t="s">
        <v>205</v>
      </c>
      <c r="I491" s="33" t="s">
        <v>206</v>
      </c>
      <c r="J491" s="33">
        <v>520.33474000000001</v>
      </c>
      <c r="Q491" s="33" t="s">
        <v>207</v>
      </c>
      <c r="R491" s="33">
        <v>2023</v>
      </c>
    </row>
    <row r="492" spans="1:18" ht="96.6" hidden="1" x14ac:dyDescent="0.25">
      <c r="A492" s="33" t="s">
        <v>123</v>
      </c>
      <c r="B492" s="33" t="s">
        <v>63</v>
      </c>
      <c r="C492" s="33" t="s">
        <v>202</v>
      </c>
      <c r="D492" s="33" t="s">
        <v>7</v>
      </c>
      <c r="E492" s="33" t="s">
        <v>203</v>
      </c>
      <c r="F492" s="33" t="s">
        <v>30</v>
      </c>
      <c r="G492" s="33" t="s">
        <v>252</v>
      </c>
      <c r="H492" s="33" t="s">
        <v>205</v>
      </c>
      <c r="I492" s="33" t="s">
        <v>206</v>
      </c>
      <c r="J492" s="33">
        <v>520.33474000000001</v>
      </c>
      <c r="Q492" s="33" t="s">
        <v>207</v>
      </c>
      <c r="R492" s="33">
        <v>2023</v>
      </c>
    </row>
    <row r="493" spans="1:18" ht="96.6" hidden="1" x14ac:dyDescent="0.25">
      <c r="A493" s="33" t="s">
        <v>123</v>
      </c>
      <c r="B493" s="33" t="s">
        <v>64</v>
      </c>
      <c r="C493" s="33" t="s">
        <v>202</v>
      </c>
      <c r="D493" s="33" t="s">
        <v>7</v>
      </c>
      <c r="E493" s="33" t="s">
        <v>203</v>
      </c>
      <c r="F493" s="33" t="s">
        <v>30</v>
      </c>
      <c r="G493" s="33" t="s">
        <v>252</v>
      </c>
      <c r="H493" s="33" t="s">
        <v>205</v>
      </c>
      <c r="I493" s="33" t="s">
        <v>206</v>
      </c>
      <c r="J493" s="33">
        <v>520.33474000000001</v>
      </c>
      <c r="Q493" s="33" t="s">
        <v>207</v>
      </c>
      <c r="R493" s="33">
        <v>2023</v>
      </c>
    </row>
    <row r="494" spans="1:18" ht="96.6" hidden="1" x14ac:dyDescent="0.25">
      <c r="A494" s="33" t="s">
        <v>123</v>
      </c>
      <c r="B494" s="33" t="s">
        <v>66</v>
      </c>
      <c r="C494" s="33" t="s">
        <v>202</v>
      </c>
      <c r="D494" s="33" t="s">
        <v>7</v>
      </c>
      <c r="E494" s="33" t="s">
        <v>203</v>
      </c>
      <c r="F494" s="33" t="s">
        <v>30</v>
      </c>
      <c r="G494" s="33" t="s">
        <v>252</v>
      </c>
      <c r="H494" s="33" t="s">
        <v>205</v>
      </c>
      <c r="I494" s="33" t="s">
        <v>206</v>
      </c>
      <c r="J494" s="33">
        <v>520.33474000000001</v>
      </c>
      <c r="Q494" s="33" t="s">
        <v>207</v>
      </c>
      <c r="R494" s="33">
        <v>2023</v>
      </c>
    </row>
    <row r="495" spans="1:18" ht="96.6" hidden="1" x14ac:dyDescent="0.25">
      <c r="A495" s="33" t="s">
        <v>123</v>
      </c>
      <c r="B495" s="33" t="s">
        <v>67</v>
      </c>
      <c r="C495" s="33" t="s">
        <v>202</v>
      </c>
      <c r="D495" s="33" t="s">
        <v>7</v>
      </c>
      <c r="E495" s="33" t="s">
        <v>203</v>
      </c>
      <c r="F495" s="33" t="s">
        <v>30</v>
      </c>
      <c r="G495" s="33" t="s">
        <v>252</v>
      </c>
      <c r="H495" s="33" t="s">
        <v>205</v>
      </c>
      <c r="I495" s="33" t="s">
        <v>206</v>
      </c>
      <c r="J495" s="33">
        <v>520.33474000000001</v>
      </c>
      <c r="Q495" s="33" t="s">
        <v>207</v>
      </c>
      <c r="R495" s="33">
        <v>2023</v>
      </c>
    </row>
    <row r="496" spans="1:18" ht="96.6" x14ac:dyDescent="0.25">
      <c r="A496" s="33" t="s">
        <v>123</v>
      </c>
      <c r="B496" s="33" t="s">
        <v>68</v>
      </c>
      <c r="C496" s="33" t="s">
        <v>202</v>
      </c>
      <c r="D496" s="33" t="s">
        <v>7</v>
      </c>
      <c r="E496" s="33" t="s">
        <v>203</v>
      </c>
      <c r="F496" s="33" t="s">
        <v>30</v>
      </c>
      <c r="G496" s="33" t="s">
        <v>252</v>
      </c>
      <c r="H496" s="33" t="s">
        <v>205</v>
      </c>
      <c r="I496" s="33" t="s">
        <v>206</v>
      </c>
      <c r="J496" s="33">
        <v>520.33474000000001</v>
      </c>
      <c r="Q496" s="33" t="s">
        <v>207</v>
      </c>
      <c r="R496" s="33">
        <v>2023</v>
      </c>
    </row>
    <row r="497" spans="1:18" ht="96.6" hidden="1" x14ac:dyDescent="0.25">
      <c r="A497" s="33" t="s">
        <v>123</v>
      </c>
      <c r="B497" s="33" t="s">
        <v>77</v>
      </c>
      <c r="C497" s="33" t="s">
        <v>202</v>
      </c>
      <c r="D497" s="33" t="s">
        <v>7</v>
      </c>
      <c r="E497" s="33" t="s">
        <v>203</v>
      </c>
      <c r="F497" s="33" t="s">
        <v>30</v>
      </c>
      <c r="G497" s="33" t="s">
        <v>252</v>
      </c>
      <c r="H497" s="33" t="s">
        <v>205</v>
      </c>
      <c r="I497" s="33" t="s">
        <v>206</v>
      </c>
      <c r="J497" s="33">
        <v>520.33474000000001</v>
      </c>
      <c r="Q497" s="33" t="s">
        <v>207</v>
      </c>
      <c r="R497" s="33">
        <v>2023</v>
      </c>
    </row>
    <row r="498" spans="1:18" ht="96.6" hidden="1" x14ac:dyDescent="0.25">
      <c r="A498" s="33" t="s">
        <v>113</v>
      </c>
      <c r="B498" s="33" t="s">
        <v>56</v>
      </c>
      <c r="C498" s="33" t="s">
        <v>202</v>
      </c>
      <c r="D498" s="33" t="s">
        <v>7</v>
      </c>
      <c r="E498" s="33" t="s">
        <v>203</v>
      </c>
      <c r="F498" s="33" t="s">
        <v>30</v>
      </c>
      <c r="G498" s="33" t="s">
        <v>252</v>
      </c>
      <c r="H498" s="33" t="s">
        <v>205</v>
      </c>
      <c r="I498" s="33" t="s">
        <v>206</v>
      </c>
      <c r="J498" s="33">
        <v>520.33474000000001</v>
      </c>
      <c r="Q498" s="33" t="s">
        <v>207</v>
      </c>
      <c r="R498" s="33">
        <v>2023</v>
      </c>
    </row>
    <row r="499" spans="1:18" ht="96.6" hidden="1" x14ac:dyDescent="0.25">
      <c r="A499" s="33" t="s">
        <v>113</v>
      </c>
      <c r="B499" s="33" t="s">
        <v>62</v>
      </c>
      <c r="C499" s="33" t="s">
        <v>202</v>
      </c>
      <c r="D499" s="33" t="s">
        <v>7</v>
      </c>
      <c r="E499" s="33" t="s">
        <v>203</v>
      </c>
      <c r="F499" s="33" t="s">
        <v>30</v>
      </c>
      <c r="G499" s="33" t="s">
        <v>252</v>
      </c>
      <c r="H499" s="33" t="s">
        <v>205</v>
      </c>
      <c r="I499" s="33" t="s">
        <v>206</v>
      </c>
      <c r="J499" s="33">
        <v>520.33474000000001</v>
      </c>
      <c r="Q499" s="33" t="s">
        <v>207</v>
      </c>
      <c r="R499" s="33">
        <v>2023</v>
      </c>
    </row>
    <row r="500" spans="1:18" ht="96.6" hidden="1" x14ac:dyDescent="0.25">
      <c r="A500" s="33" t="s">
        <v>113</v>
      </c>
      <c r="B500" s="33" t="s">
        <v>65</v>
      </c>
      <c r="C500" s="33" t="s">
        <v>202</v>
      </c>
      <c r="D500" s="33" t="s">
        <v>7</v>
      </c>
      <c r="E500" s="33" t="s">
        <v>203</v>
      </c>
      <c r="F500" s="33" t="s">
        <v>30</v>
      </c>
      <c r="G500" s="33" t="s">
        <v>252</v>
      </c>
      <c r="H500" s="33" t="s">
        <v>205</v>
      </c>
      <c r="I500" s="33" t="s">
        <v>206</v>
      </c>
      <c r="J500" s="33">
        <v>520.33474000000001</v>
      </c>
      <c r="Q500" s="33" t="s">
        <v>207</v>
      </c>
      <c r="R500" s="33">
        <v>2023</v>
      </c>
    </row>
    <row r="501" spans="1:18" ht="96.6" hidden="1" x14ac:dyDescent="0.25">
      <c r="A501" s="33" t="s">
        <v>172</v>
      </c>
      <c r="B501" s="33" t="s">
        <v>78</v>
      </c>
      <c r="C501" s="33" t="s">
        <v>202</v>
      </c>
      <c r="D501" s="33" t="s">
        <v>7</v>
      </c>
      <c r="E501" s="33" t="s">
        <v>203</v>
      </c>
      <c r="F501" s="33" t="s">
        <v>30</v>
      </c>
      <c r="G501" s="33" t="s">
        <v>252</v>
      </c>
      <c r="H501" s="33" t="s">
        <v>205</v>
      </c>
      <c r="I501" s="33" t="s">
        <v>206</v>
      </c>
      <c r="J501" s="33">
        <v>520.33474000000001</v>
      </c>
      <c r="Q501" s="33" t="s">
        <v>207</v>
      </c>
      <c r="R501" s="33">
        <v>2023</v>
      </c>
    </row>
    <row r="502" spans="1:18" ht="96.6" hidden="1" x14ac:dyDescent="0.25">
      <c r="A502" s="33" t="s">
        <v>118</v>
      </c>
      <c r="B502" s="33" t="s">
        <v>57</v>
      </c>
      <c r="C502" s="33" t="s">
        <v>202</v>
      </c>
      <c r="D502" s="33" t="s">
        <v>7</v>
      </c>
      <c r="E502" s="33" t="s">
        <v>203</v>
      </c>
      <c r="F502" s="33" t="s">
        <v>30</v>
      </c>
      <c r="G502" s="33" t="s">
        <v>252</v>
      </c>
      <c r="H502" s="33" t="s">
        <v>205</v>
      </c>
      <c r="I502" s="33" t="s">
        <v>206</v>
      </c>
      <c r="J502" s="33">
        <v>520.33474000000001</v>
      </c>
      <c r="Q502" s="33" t="s">
        <v>207</v>
      </c>
      <c r="R502" s="33">
        <v>2023</v>
      </c>
    </row>
    <row r="503" spans="1:18" ht="96.6" hidden="1" x14ac:dyDescent="0.25">
      <c r="A503" s="33" t="s">
        <v>118</v>
      </c>
      <c r="B503" s="33" t="s">
        <v>58</v>
      </c>
      <c r="C503" s="33" t="s">
        <v>202</v>
      </c>
      <c r="D503" s="33" t="s">
        <v>7</v>
      </c>
      <c r="E503" s="33" t="s">
        <v>203</v>
      </c>
      <c r="F503" s="33" t="s">
        <v>30</v>
      </c>
      <c r="G503" s="33" t="s">
        <v>252</v>
      </c>
      <c r="H503" s="33" t="s">
        <v>205</v>
      </c>
      <c r="I503" s="33" t="s">
        <v>206</v>
      </c>
      <c r="J503" s="33">
        <v>520.33474000000001</v>
      </c>
      <c r="Q503" s="33" t="s">
        <v>207</v>
      </c>
      <c r="R503" s="33">
        <v>2023</v>
      </c>
    </row>
    <row r="504" spans="1:18" ht="96.6" hidden="1" x14ac:dyDescent="0.25">
      <c r="A504" s="33" t="s">
        <v>118</v>
      </c>
      <c r="B504" s="33" t="s">
        <v>69</v>
      </c>
      <c r="C504" s="33" t="s">
        <v>202</v>
      </c>
      <c r="D504" s="33" t="s">
        <v>7</v>
      </c>
      <c r="E504" s="33" t="s">
        <v>203</v>
      </c>
      <c r="F504" s="33" t="s">
        <v>30</v>
      </c>
      <c r="G504" s="33" t="s">
        <v>252</v>
      </c>
      <c r="H504" s="33" t="s">
        <v>205</v>
      </c>
      <c r="I504" s="33" t="s">
        <v>206</v>
      </c>
      <c r="J504" s="33">
        <v>520.33474000000001</v>
      </c>
      <c r="Q504" s="33" t="s">
        <v>207</v>
      </c>
      <c r="R504" s="33">
        <v>2023</v>
      </c>
    </row>
    <row r="505" spans="1:18" ht="96.6" hidden="1" x14ac:dyDescent="0.25">
      <c r="A505" s="33" t="s">
        <v>118</v>
      </c>
      <c r="B505" s="33" t="s">
        <v>70</v>
      </c>
      <c r="C505" s="33" t="s">
        <v>202</v>
      </c>
      <c r="D505" s="33" t="s">
        <v>7</v>
      </c>
      <c r="E505" s="33" t="s">
        <v>203</v>
      </c>
      <c r="F505" s="33" t="s">
        <v>30</v>
      </c>
      <c r="G505" s="33" t="s">
        <v>252</v>
      </c>
      <c r="H505" s="33" t="s">
        <v>205</v>
      </c>
      <c r="I505" s="33" t="s">
        <v>206</v>
      </c>
      <c r="J505" s="33">
        <v>520.33474000000001</v>
      </c>
      <c r="Q505" s="33" t="s">
        <v>207</v>
      </c>
      <c r="R505" s="33">
        <v>2023</v>
      </c>
    </row>
    <row r="506" spans="1:18" ht="96.6" hidden="1" x14ac:dyDescent="0.25">
      <c r="A506" s="33" t="s">
        <v>118</v>
      </c>
      <c r="B506" s="33" t="s">
        <v>71</v>
      </c>
      <c r="C506" s="33" t="s">
        <v>202</v>
      </c>
      <c r="D506" s="33" t="s">
        <v>7</v>
      </c>
      <c r="E506" s="33" t="s">
        <v>203</v>
      </c>
      <c r="F506" s="33" t="s">
        <v>30</v>
      </c>
      <c r="G506" s="33" t="s">
        <v>252</v>
      </c>
      <c r="H506" s="33" t="s">
        <v>205</v>
      </c>
      <c r="I506" s="33" t="s">
        <v>206</v>
      </c>
      <c r="J506" s="33">
        <v>520.33474000000001</v>
      </c>
      <c r="Q506" s="33" t="s">
        <v>207</v>
      </c>
      <c r="R506" s="33">
        <v>2023</v>
      </c>
    </row>
    <row r="507" spans="1:18" ht="96.6" hidden="1" x14ac:dyDescent="0.25">
      <c r="A507" s="33" t="s">
        <v>118</v>
      </c>
      <c r="B507" s="33" t="s">
        <v>73</v>
      </c>
      <c r="C507" s="33" t="s">
        <v>202</v>
      </c>
      <c r="D507" s="33" t="s">
        <v>7</v>
      </c>
      <c r="E507" s="33" t="s">
        <v>203</v>
      </c>
      <c r="F507" s="33" t="s">
        <v>30</v>
      </c>
      <c r="G507" s="33" t="s">
        <v>252</v>
      </c>
      <c r="H507" s="33" t="s">
        <v>205</v>
      </c>
      <c r="I507" s="33" t="s">
        <v>206</v>
      </c>
      <c r="J507" s="33">
        <v>520.33474000000001</v>
      </c>
      <c r="Q507" s="33" t="s">
        <v>207</v>
      </c>
      <c r="R507" s="33">
        <v>2023</v>
      </c>
    </row>
    <row r="508" spans="1:18" ht="96.6" hidden="1" x14ac:dyDescent="0.25">
      <c r="A508" s="33" t="s">
        <v>118</v>
      </c>
      <c r="B508" s="33" t="s">
        <v>74</v>
      </c>
      <c r="C508" s="33" t="s">
        <v>202</v>
      </c>
      <c r="D508" s="33" t="s">
        <v>7</v>
      </c>
      <c r="E508" s="33" t="s">
        <v>203</v>
      </c>
      <c r="F508" s="33" t="s">
        <v>30</v>
      </c>
      <c r="G508" s="33" t="s">
        <v>252</v>
      </c>
      <c r="H508" s="33" t="s">
        <v>205</v>
      </c>
      <c r="I508" s="33" t="s">
        <v>206</v>
      </c>
      <c r="J508" s="33">
        <v>520.33474000000001</v>
      </c>
      <c r="Q508" s="33" t="s">
        <v>207</v>
      </c>
      <c r="R508" s="33">
        <v>2023</v>
      </c>
    </row>
    <row r="509" spans="1:18" ht="96.6" hidden="1" x14ac:dyDescent="0.25">
      <c r="A509" s="33" t="s">
        <v>118</v>
      </c>
      <c r="B509" s="33" t="s">
        <v>75</v>
      </c>
      <c r="C509" s="33" t="s">
        <v>202</v>
      </c>
      <c r="D509" s="33" t="s">
        <v>7</v>
      </c>
      <c r="E509" s="33" t="s">
        <v>203</v>
      </c>
      <c r="F509" s="33" t="s">
        <v>30</v>
      </c>
      <c r="G509" s="33" t="s">
        <v>252</v>
      </c>
      <c r="H509" s="33" t="s">
        <v>205</v>
      </c>
      <c r="I509" s="33" t="s">
        <v>206</v>
      </c>
      <c r="J509" s="33">
        <v>520.33474000000001</v>
      </c>
      <c r="Q509" s="33" t="s">
        <v>207</v>
      </c>
      <c r="R509" s="33">
        <v>2023</v>
      </c>
    </row>
    <row r="510" spans="1:18" ht="96.6" hidden="1" x14ac:dyDescent="0.25">
      <c r="A510" s="33" t="s">
        <v>118</v>
      </c>
      <c r="B510" s="33" t="s">
        <v>76</v>
      </c>
      <c r="C510" s="33" t="s">
        <v>202</v>
      </c>
      <c r="D510" s="33" t="s">
        <v>7</v>
      </c>
      <c r="E510" s="33" t="s">
        <v>203</v>
      </c>
      <c r="F510" s="33" t="s">
        <v>30</v>
      </c>
      <c r="G510" s="33" t="s">
        <v>252</v>
      </c>
      <c r="H510" s="33" t="s">
        <v>205</v>
      </c>
      <c r="I510" s="33" t="s">
        <v>206</v>
      </c>
      <c r="J510" s="33">
        <v>520.33474000000001</v>
      </c>
      <c r="Q510" s="33" t="s">
        <v>207</v>
      </c>
      <c r="R510" s="33">
        <v>2023</v>
      </c>
    </row>
  </sheetData>
  <autoFilter ref="A6:R510" xr:uid="{00000000-0009-0000-0000-000006000000}">
    <filterColumn colId="1">
      <filters>
        <filter val="Leuna"/>
      </filters>
    </filterColumn>
  </autoFilter>
  <mergeCells count="5">
    <mergeCell ref="A1:R1"/>
    <mergeCell ref="A2:R2"/>
    <mergeCell ref="A3:R3"/>
    <mergeCell ref="A4:R4"/>
    <mergeCell ref="A5:R5"/>
  </mergeCells>
  <pageMargins left="0.7" right="0.7" top="0.75" bottom="0.75" header="0.3" footer="0.3"/>
  <headerFooter>
    <oddFooter>&amp;C_x000D_&amp;1#&amp;"Calibri"&amp;6&amp;K626469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499D3DA3BB8E4B8C3AB46BA8694E4D" ma:contentTypeVersion="8" ma:contentTypeDescription="Create a new document." ma:contentTypeScope="" ma:versionID="66f1f222da31c7647392a0fe148787ec">
  <xsd:schema xmlns:xsd="http://www.w3.org/2001/XMLSchema" xmlns:xs="http://www.w3.org/2001/XMLSchema" xmlns:p="http://schemas.microsoft.com/office/2006/metadata/properties" xmlns:ns1="http://schemas.microsoft.com/sharepoint/v3" xmlns:ns2="066cca6b-2a87-4a79-95d7-8005f6f64d5a" xmlns:ns3="f83a85a8-6aee-49d8-b97a-e58b55169030" targetNamespace="http://schemas.microsoft.com/office/2006/metadata/properties" ma:root="true" ma:fieldsID="5e4db53d2e16df337784bba598075a06" ns1:_="" ns2:_="" ns3:_="">
    <xsd:import namespace="http://schemas.microsoft.com/sharepoint/v3"/>
    <xsd:import namespace="066cca6b-2a87-4a79-95d7-8005f6f64d5a"/>
    <xsd:import namespace="f83a85a8-6aee-49d8-b97a-e58b55169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cca6b-2a87-4a79-95d7-8005f6f64d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a85a8-6aee-49d8-b97a-e58b55169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2010AA2-4F4B-4B1D-8378-6760985164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681FC7-F7D3-4A21-A338-BE40AF8C1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6cca6b-2a87-4a79-95d7-8005f6f64d5a"/>
    <ds:schemaRef ds:uri="f83a85a8-6aee-49d8-b97a-e58b551690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F4AD28-3BA7-4417-81E7-E9F7D4F301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Overview</vt:lpstr>
      <vt:lpstr>Pivot</vt:lpstr>
      <vt:lpstr>Results by Site</vt:lpstr>
      <vt:lpstr>RA - Emissions Report</vt:lpstr>
      <vt:lpstr>RA- Water Report</vt:lpstr>
      <vt:lpstr>MB-CarbonMap</vt:lpstr>
      <vt:lpstr>LB-CarbonMap</vt:lpstr>
      <vt:lpstr>'RA - Emissions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2024-07-10T11:57:43Z</dcterms:created>
  <dcterms:modified xsi:type="dcterms:W3CDTF">2025-07-29T18:28:02Z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0x01010060499D3DA3BB8E4B8C3AB46BA8694E4D</vt:lpwstr>
  </property>
  <property fmtid="{D5CDD505-2E9C-101B-9397-08002B2CF9AE}" pid="3" name="MSIP_Label_23507802-f8e4-4e38-829c-ac8ea9b241e4_Enabled">
    <vt:lpwstr>true</vt:lpwstr>
  </property>
  <property fmtid="{D5CDD505-2E9C-101B-9397-08002B2CF9AE}" pid="4" name="MSIP_Label_23507802-f8e4-4e38-829c-ac8ea9b241e4_SetDate">
    <vt:lpwstr>2024-08-19T21:20:24Z</vt:lpwstr>
  </property>
  <property fmtid="{D5CDD505-2E9C-101B-9397-08002B2CF9AE}" pid="5" name="MSIP_Label_23507802-f8e4-4e38-829c-ac8ea9b241e4_Method">
    <vt:lpwstr>Privileged</vt:lpwstr>
  </property>
  <property fmtid="{D5CDD505-2E9C-101B-9397-08002B2CF9AE}" pid="6" name="MSIP_Label_23507802-f8e4-4e38-829c-ac8ea9b241e4_Name">
    <vt:lpwstr>Public v2</vt:lpwstr>
  </property>
  <property fmtid="{D5CDD505-2E9C-101B-9397-08002B2CF9AE}" pid="7" name="MSIP_Label_23507802-f8e4-4e38-829c-ac8ea9b241e4_SiteId">
    <vt:lpwstr>6e51e1ad-c54b-4b39-b598-0ffe9ae68fef</vt:lpwstr>
  </property>
  <property fmtid="{D5CDD505-2E9C-101B-9397-08002B2CF9AE}" pid="8" name="MSIP_Label_23507802-f8e4-4e38-829c-ac8ea9b241e4_ActionId">
    <vt:lpwstr>d0a19dbb-041b-4ef5-a0e9-91bc3588bc4d</vt:lpwstr>
  </property>
  <property fmtid="{D5CDD505-2E9C-101B-9397-08002B2CF9AE}" pid="9" name="MSIP_Label_23507802-f8e4-4e38-829c-ac8ea9b241e4_ContentBits">
    <vt:lpwstr>2</vt:lpwstr>
  </property>
</Properties>
</file>