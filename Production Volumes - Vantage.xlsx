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iZio\Downloads\"/>
    </mc:Choice>
  </mc:AlternateContent>
  <xr:revisionPtr revIDLastSave="0" documentId="8_{F7DF9C70-838E-43B4-9933-F2B0F8BC15CA}" xr6:coauthVersionLast="47" xr6:coauthVersionMax="47" xr10:uidLastSave="{00000000-0000-0000-0000-000000000000}"/>
  <bookViews>
    <workbookView xWindow="57480" yWindow="-105" windowWidth="29040" windowHeight="15720" xr2:uid="{EFA0C6EC-1C84-4885-A146-9683169EF5E9}"/>
  </bookViews>
  <sheets>
    <sheet name="Prod Volumes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E54" i="1"/>
  <c r="D54" i="1"/>
  <c r="D56" i="1" s="1"/>
  <c r="C54" i="1"/>
  <c r="B54" i="1"/>
  <c r="N55" i="1"/>
  <c r="O55" i="1" s="1"/>
  <c r="M56" i="1"/>
  <c r="L56" i="1"/>
  <c r="K56" i="1"/>
  <c r="J56" i="1"/>
  <c r="I56" i="1"/>
  <c r="H56" i="1"/>
  <c r="G56" i="1"/>
  <c r="F56" i="1"/>
  <c r="E56" i="1"/>
  <c r="C56" i="1"/>
  <c r="N53" i="1"/>
  <c r="O53" i="1" s="1"/>
  <c r="N52" i="1"/>
  <c r="O52" i="1" s="1"/>
  <c r="N51" i="1"/>
  <c r="O51" i="1" s="1"/>
  <c r="N50" i="1"/>
  <c r="O50" i="1" s="1"/>
  <c r="N49" i="1"/>
  <c r="M43" i="1"/>
  <c r="L43" i="1"/>
  <c r="K43" i="1"/>
  <c r="J43" i="1"/>
  <c r="I43" i="1"/>
  <c r="H43" i="1"/>
  <c r="O30" i="1"/>
  <c r="G43" i="1"/>
  <c r="F43" i="1"/>
  <c r="E43" i="1"/>
  <c r="C43" i="1"/>
  <c r="O49" i="1" l="1"/>
  <c r="B56" i="1"/>
  <c r="N54" i="1"/>
  <c r="B43" i="1"/>
  <c r="K45" i="1"/>
  <c r="J45" i="1"/>
  <c r="I45" i="1"/>
  <c r="H45" i="1"/>
  <c r="G45" i="1"/>
  <c r="F45" i="1"/>
  <c r="E45" i="1"/>
  <c r="D45" i="1"/>
  <c r="C45" i="1"/>
  <c r="B45" i="1"/>
  <c r="N44" i="1"/>
  <c r="O44" i="1" s="1"/>
  <c r="M45" i="1"/>
  <c r="N42" i="1"/>
  <c r="O42" i="1" s="1"/>
  <c r="N41" i="1"/>
  <c r="O41" i="1" s="1"/>
  <c r="N40" i="1"/>
  <c r="O40" i="1" s="1"/>
  <c r="N39" i="1"/>
  <c r="O39" i="1" s="1"/>
  <c r="N38" i="1"/>
  <c r="M32" i="1"/>
  <c r="L32" i="1"/>
  <c r="K14" i="2"/>
  <c r="K15" i="2"/>
  <c r="J15" i="2"/>
  <c r="J14" i="2"/>
  <c r="M34" i="1"/>
  <c r="L34" i="1"/>
  <c r="K34" i="1"/>
  <c r="J34" i="1"/>
  <c r="I34" i="1"/>
  <c r="H34" i="1"/>
  <c r="G34" i="1"/>
  <c r="F34" i="1"/>
  <c r="E34" i="1"/>
  <c r="D34" i="1"/>
  <c r="C34" i="1"/>
  <c r="B34" i="1"/>
  <c r="N33" i="1"/>
  <c r="O33" i="1" s="1"/>
  <c r="N32" i="1"/>
  <c r="O32" i="1" s="1"/>
  <c r="N31" i="1"/>
  <c r="O31" i="1" s="1"/>
  <c r="N30" i="1"/>
  <c r="N29" i="1"/>
  <c r="O29" i="1"/>
  <c r="N28" i="1"/>
  <c r="O28" i="1" s="1"/>
  <c r="N27" i="1"/>
  <c r="O27" i="1" s="1"/>
  <c r="M23" i="1"/>
  <c r="I14" i="2"/>
  <c r="I15" i="2"/>
  <c r="L23" i="1"/>
  <c r="H14" i="2"/>
  <c r="H15" i="2"/>
  <c r="G15" i="2"/>
  <c r="G14" i="2"/>
  <c r="F15" i="2"/>
  <c r="F14" i="2"/>
  <c r="K23" i="1"/>
  <c r="P10" i="2"/>
  <c r="P9" i="2"/>
  <c r="Q5" i="2"/>
  <c r="P5" i="2"/>
  <c r="R5" i="2"/>
  <c r="Q7" i="2"/>
  <c r="P7" i="2"/>
  <c r="R7" i="2"/>
  <c r="Q6" i="2"/>
  <c r="P6" i="2"/>
  <c r="R6" i="2"/>
  <c r="J23" i="1"/>
  <c r="I23" i="1"/>
  <c r="H23" i="1"/>
  <c r="G23" i="1"/>
  <c r="F23" i="1"/>
  <c r="E23" i="1"/>
  <c r="D23" i="1"/>
  <c r="C23" i="1"/>
  <c r="B23" i="1"/>
  <c r="M12" i="1"/>
  <c r="L12" i="1"/>
  <c r="K12" i="1"/>
  <c r="J12" i="1"/>
  <c r="I12" i="1"/>
  <c r="H12" i="1"/>
  <c r="G12" i="1"/>
  <c r="F12" i="1"/>
  <c r="E12" i="1"/>
  <c r="D12" i="1"/>
  <c r="C12" i="1"/>
  <c r="B12" i="1"/>
  <c r="N22" i="1"/>
  <c r="O22" i="1"/>
  <c r="N21" i="1"/>
  <c r="O21" i="1"/>
  <c r="N20" i="1"/>
  <c r="O20" i="1"/>
  <c r="N19" i="1"/>
  <c r="O19" i="1"/>
  <c r="O23" i="1" s="1"/>
  <c r="N18" i="1"/>
  <c r="O18" i="1"/>
  <c r="N17" i="1"/>
  <c r="O17" i="1"/>
  <c r="N16" i="1"/>
  <c r="O16" i="1"/>
  <c r="N11" i="1"/>
  <c r="O11" i="1" s="1"/>
  <c r="N10" i="1"/>
  <c r="O10" i="1" s="1"/>
  <c r="N6" i="1"/>
  <c r="N12" i="1" s="1"/>
  <c r="O6" i="1"/>
  <c r="N7" i="1"/>
  <c r="O7" i="1" s="1"/>
  <c r="N8" i="1"/>
  <c r="O8" i="1" s="1"/>
  <c r="N9" i="1"/>
  <c r="O9" i="1"/>
  <c r="N5" i="1"/>
  <c r="O5" i="1"/>
  <c r="N23" i="1"/>
  <c r="O54" i="1" l="1"/>
  <c r="O56" i="1" s="1"/>
  <c r="N56" i="1"/>
  <c r="O38" i="1"/>
  <c r="L45" i="1"/>
  <c r="N43" i="1"/>
  <c r="O12" i="1"/>
  <c r="N34" i="1"/>
  <c r="O34" i="1"/>
  <c r="O43" i="1" l="1"/>
  <c r="N45" i="1"/>
  <c r="O45" i="1"/>
</calcChain>
</file>

<file path=xl/sharedStrings.xml><?xml version="1.0" encoding="utf-8"?>
<sst xmlns="http://schemas.openxmlformats.org/spreadsheetml/2006/main" count="142" uniqueCount="42">
  <si>
    <t>Production Volumes in lbs &amp; tons 2022-2023-2024-2025-2026</t>
  </si>
  <si>
    <t>Production Volume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</si>
  <si>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</si>
  <si>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</si>
  <si>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</si>
  <si>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</si>
  <si>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</si>
  <si>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</si>
  <si>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</si>
  <si>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</si>
  <si>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</si>
  <si>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</si>
  <si>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</si>
  <si>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</si>
  <si>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lbs 2022</t>
  </si>
  <si>
    <t>Tons 2022</t>
  </si>
  <si>
    <t>Gurnee</t>
  </si>
  <si>
    <t>Chicago (Oleo)</t>
  </si>
  <si>
    <t>Leuna</t>
  </si>
  <si>
    <t>Carnegie (Mallet Ingredients)</t>
  </si>
  <si>
    <t>Englewood</t>
  </si>
  <si>
    <t>Spain</t>
  </si>
  <si>
    <t xml:space="preserve">Tucson </t>
  </si>
  <si>
    <t>Total</t>
  </si>
  <si>
    <t>Total lbs 2023 YTD</t>
  </si>
  <si>
    <t>Tons 2023 YTD</t>
  </si>
  <si>
    <t>Total lbs 2024 YTD</t>
  </si>
  <si>
    <t>Tons 2024 YTD</t>
  </si>
  <si>
    <t>Tons 2025 YTD</t>
  </si>
  <si>
    <t>Total lbs 2026 YTD</t>
  </si>
  <si>
    <t>Tons 2026 YTD</t>
  </si>
  <si>
    <t>Scenario</t>
  </si>
  <si>
    <t>Plant</t>
  </si>
  <si>
    <t>FY Total lbs</t>
  </si>
  <si>
    <t>Avg lbs/Month</t>
  </si>
  <si>
    <t>FY Total Tons</t>
  </si>
  <si>
    <t>2022 Actuals</t>
  </si>
  <si>
    <t>2023 8+4</t>
  </si>
  <si>
    <t>2024 Budget v1</t>
  </si>
  <si>
    <t>YoY 2023 vs 2022</t>
  </si>
  <si>
    <t>YoY 2024 vs 2023</t>
  </si>
  <si>
    <t>Total lbs 2025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</si>
</sst>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1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0" applyFont="1" applyFill="1"/>
    <xf numFmtId="0" fontId="2" fillId="2" borderId="0" xfId="0" quotePrefix="1" applyFont="1" applyFill="1" applyProtection="1">
      <protection locked="0"/>
    </xf>
    <xf numFmtId="0" fontId="3" fillId="0" borderId="0" xfId="0" applyFont="1"/>
    <xf numFmtId="3" fontId="3" fillId="0" borderId="0" xfId="0" applyNumberFormat="1" applyFont="1"/>
    <xf numFmtId="165" fontId="3" fillId="0" borderId="0" xfId="1" applyNumberFormat="1" applyFont="1"/>
    <xf numFmtId="17" fontId="2" fillId="2" borderId="0" xfId="0" quotePrefix="1" applyNumberFormat="1" applyFont="1" applyFill="1" applyProtection="1">
      <protection locked="0"/>
    </xf>
    <xf numFmtId="165" fontId="2" fillId="2" borderId="0" xfId="1" applyNumberFormat="1" applyFont="1" applyFill="1"/>
    <xf numFmtId="3" fontId="2" fillId="2" borderId="0" xfId="0" applyNumberFormat="1" applyFont="1" applyFill="1"/>
    <xf numFmtId="165" fontId="0" fillId="0" borderId="0" xfId="1" applyNumberFormat="1" applyFont="1"/>
    <xf numFmtId="0" fontId="5" fillId="0" borderId="0" xfId="0" applyFont="1"/>
    <xf numFmtId="0" fontId="2" fillId="2" borderId="1" xfId="0" applyFont="1" applyFill="1" applyBorder="1"/>
    <xf numFmtId="17" fontId="2" fillId="2" borderId="1" xfId="0" quotePrefix="1" applyNumberFormat="1" applyFont="1" applyFill="1" applyBorder="1" applyProtection="1">
      <protection locked="0"/>
    </xf>
    <xf numFmtId="0" fontId="3" fillId="0" borderId="1" xfId="0" applyFont="1" applyBorder="1"/>
    <xf numFmtId="3" fontId="3" fillId="0" borderId="1" xfId="0" applyNumberFormat="1" applyFont="1" applyBorder="1"/>
    <xf numFmtId="3" fontId="6" fillId="0" borderId="1" xfId="0" applyNumberFormat="1" applyFont="1" applyBorder="1"/>
    <xf numFmtId="17" fontId="2" fillId="2" borderId="2" xfId="0" quotePrefix="1" applyNumberFormat="1" applyFont="1" applyFill="1" applyBorder="1" applyProtection="1">
      <protection locked="0"/>
    </xf>
    <xf numFmtId="3" fontId="3" fillId="0" borderId="2" xfId="0" applyNumberFormat="1" applyFont="1" applyBorder="1"/>
    <xf numFmtId="0" fontId="2" fillId="2" borderId="3" xfId="0" quotePrefix="1" applyFont="1" applyFill="1" applyBorder="1" applyProtection="1">
      <protection locked="0"/>
    </xf>
    <xf numFmtId="0" fontId="2" fillId="2" borderId="4" xfId="0" quotePrefix="1" applyFont="1" applyFill="1" applyBorder="1" applyProtection="1">
      <protection locked="0"/>
    </xf>
    <xf numFmtId="0" fontId="2" fillId="2" borderId="5" xfId="0" quotePrefix="1" applyFont="1" applyFill="1" applyBorder="1" applyProtection="1">
      <protection locked="0"/>
    </xf>
    <xf numFmtId="3" fontId="6" fillId="0" borderId="6" xfId="0" applyNumberFormat="1" applyFont="1" applyBorder="1"/>
    <xf numFmtId="3" fontId="6" fillId="0" borderId="7" xfId="0" applyNumberFormat="1" applyFont="1" applyBorder="1"/>
    <xf numFmtId="3" fontId="6" fillId="0" borderId="8" xfId="0" applyNumberFormat="1" applyFont="1" applyBorder="1"/>
    <xf numFmtId="3" fontId="6" fillId="0" borderId="9" xfId="0" applyNumberFormat="1" applyFont="1" applyBorder="1"/>
    <xf numFmtId="3" fontId="6" fillId="0" borderId="10" xfId="0" applyNumberFormat="1" applyFont="1" applyBorder="1"/>
    <xf numFmtId="0" fontId="7" fillId="0" borderId="0" xfId="0" applyFont="1"/>
    <xf numFmtId="9" fontId="6" fillId="0" borderId="1" xfId="2" applyFont="1" applyBorder="1" applyAlignment="1">
      <alignment horizontal="center"/>
    </xf>
    <xf numFmtId="164" fontId="0" fillId="0" borderId="0" xfId="0" applyNumberFormat="1"/>
    <xf numFmtId="9" fontId="0" fillId="0" borderId="0" xfId="2" applyFont="1"/>
    <xf numFmtId="9" fontId="3" fillId="0" borderId="0" xfId="2" applyFont="1"/>
    <xf numFmtId="3" fontId="0" fillId="0" borderId="0" xfId="0" applyNumberFormat="1"/>
    <xf numFmtId="9" fontId="0" fillId="0" borderId="0" xfId="0" applyNumberFormat="1"/>
    <xf numFmtId="0" fontId="2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F121BB0D-201A-4C26-958F-ED47EAA907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FCC2-4D1F-4800-B722-A9CD706A5ABE}">
  <dimension ref="A1:S56"/>
  <sheetViews>
    <sheetView showGridLines="0" tabSelected="1" zoomScale="90" zoomScaleNormal="90" workbookViewId="0">
      <pane ySplit="1" topLeftCell="A35" activePane="bottomLeft" state="frozen"/>
      <selection pane="bottomLeft" activeCell="F56" sqref="F56"/>
    </sheetView>
  </sheetViews>
  <sheetFormatPr defaultColWidth="11.453125" defaultRowHeight="14.5" x14ac:dyDescent="0.35"/>
  <cols>
    <col min="1" max="1" width="32.453125" customWidth="1"/>
    <col min="2" max="2" width="9.81640625" customWidth="1"/>
    <col min="3" max="3" width="12.54296875" customWidth="1"/>
    <col min="4" max="7" width="9.81640625" customWidth="1"/>
    <col min="8" max="8" width="10.81640625" customWidth="1"/>
    <col min="9" max="13" width="9.81640625" customWidth="1"/>
    <col min="14" max="14" width="15.7265625" bestFit="1" customWidth="1"/>
    <col min="15" max="15" width="12.7265625" bestFit="1" customWidth="1"/>
    <col min="16" max="16" width="14.453125" bestFit="1" customWidth="1"/>
  </cols>
  <sheetData>
    <row r="1" spans="1:19" ht="19.5" customHeight="1" x14ac:dyDescent="0.45">
      <c r="A1" s="10" t="s">
        <v>0</v>
      </c>
    </row>
    <row r="3" spans="1:19" x14ac:dyDescent="0.35">
      <c r="A3" s="1"/>
      <c r="B3" s="33">
        <v>2022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Q3" s="29"/>
    </row>
    <row r="4" spans="1:19" s="3" customFormat="1" ht="13" x14ac:dyDescent="0.3">
      <c r="A4" s="1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2" t="s">
        <v>14</v>
      </c>
      <c r="O4" s="2" t="s">
        <v>15</v>
      </c>
      <c r="Q4" s="30"/>
    </row>
    <row r="5" spans="1:19" s="3" customFormat="1" ht="13" x14ac:dyDescent="0.3">
      <c r="A5" s="3" t="s">
        <v>16</v>
      </c>
      <c r="B5" s="4">
        <v>10460000</v>
      </c>
      <c r="C5" s="4">
        <v>10770000</v>
      </c>
      <c r="D5" s="4">
        <v>12540000</v>
      </c>
      <c r="E5" s="4">
        <v>10710000</v>
      </c>
      <c r="F5" s="4">
        <v>12512000</v>
      </c>
      <c r="G5" s="4">
        <v>11078000</v>
      </c>
      <c r="H5" s="4">
        <v>11210000</v>
      </c>
      <c r="I5" s="4">
        <v>12784000</v>
      </c>
      <c r="J5" s="4">
        <v>10600000</v>
      </c>
      <c r="K5" s="4">
        <v>10930000</v>
      </c>
      <c r="L5" s="4">
        <v>11631000</v>
      </c>
      <c r="M5" s="4">
        <v>9350000</v>
      </c>
      <c r="N5" s="4">
        <f>SUM(B5:M5)</f>
        <v>134575000</v>
      </c>
      <c r="O5" s="4">
        <f>+(N5/2.20462)/1000</f>
        <v>61042.265787301221</v>
      </c>
      <c r="P5" s="5"/>
      <c r="Q5" s="30"/>
    </row>
    <row r="6" spans="1:19" s="3" customFormat="1" ht="13" x14ac:dyDescent="0.3">
      <c r="A6" s="3" t="s">
        <v>17</v>
      </c>
      <c r="B6" s="4">
        <v>34934103</v>
      </c>
      <c r="C6" s="4">
        <v>41434000</v>
      </c>
      <c r="D6" s="4">
        <v>45448000</v>
      </c>
      <c r="E6" s="4">
        <v>51752912</v>
      </c>
      <c r="F6" s="4">
        <v>47220000</v>
      </c>
      <c r="G6" s="4">
        <v>48187333</v>
      </c>
      <c r="H6" s="4">
        <v>36299119</v>
      </c>
      <c r="I6" s="4">
        <v>46293000</v>
      </c>
      <c r="J6" s="4">
        <v>47969961</v>
      </c>
      <c r="K6" s="4">
        <v>32983429</v>
      </c>
      <c r="L6" s="4">
        <v>31917202</v>
      </c>
      <c r="M6" s="4">
        <v>29677318</v>
      </c>
      <c r="N6" s="4">
        <f t="shared" ref="N6:N11" si="0">SUM(B6:M6)</f>
        <v>494116377</v>
      </c>
      <c r="O6" s="4">
        <f t="shared" ref="O6:O11" si="1">+(N6/2.20462)/1000</f>
        <v>224127.68504322742</v>
      </c>
      <c r="P6" s="5"/>
      <c r="Q6" s="30"/>
    </row>
    <row r="7" spans="1:19" s="3" customFormat="1" ht="13" x14ac:dyDescent="0.3">
      <c r="A7" s="3" t="s">
        <v>18</v>
      </c>
      <c r="B7" s="4">
        <v>9962014</v>
      </c>
      <c r="C7" s="4">
        <v>9176012</v>
      </c>
      <c r="D7" s="4">
        <v>10553734</v>
      </c>
      <c r="E7" s="4">
        <v>9631894</v>
      </c>
      <c r="F7" s="4">
        <v>5447937</v>
      </c>
      <c r="G7" s="4">
        <v>10365128</v>
      </c>
      <c r="H7" s="4">
        <v>11311402</v>
      </c>
      <c r="I7" s="4">
        <v>9431020</v>
      </c>
      <c r="J7" s="4">
        <v>8277515</v>
      </c>
      <c r="K7" s="4">
        <v>7204294</v>
      </c>
      <c r="L7" s="4">
        <v>7361226</v>
      </c>
      <c r="M7" s="4">
        <v>5760672</v>
      </c>
      <c r="N7" s="4">
        <f t="shared" si="0"/>
        <v>104482848</v>
      </c>
      <c r="O7" s="4">
        <f t="shared" si="1"/>
        <v>47392.679010441716</v>
      </c>
      <c r="P7" s="5"/>
      <c r="Q7" s="30"/>
    </row>
    <row r="8" spans="1:19" s="3" customFormat="1" ht="13" x14ac:dyDescent="0.3">
      <c r="A8" s="3" t="s">
        <v>19</v>
      </c>
      <c r="B8" s="4">
        <v>4441000</v>
      </c>
      <c r="C8" s="4">
        <v>4396000</v>
      </c>
      <c r="D8" s="4">
        <v>5087000</v>
      </c>
      <c r="E8" s="4">
        <v>5338000</v>
      </c>
      <c r="F8" s="4">
        <v>5195000</v>
      </c>
      <c r="G8" s="4">
        <v>4765000</v>
      </c>
      <c r="H8" s="4">
        <v>4282000</v>
      </c>
      <c r="I8" s="4">
        <v>5414000</v>
      </c>
      <c r="J8" s="4">
        <v>4949000</v>
      </c>
      <c r="K8" s="4">
        <v>4692000</v>
      </c>
      <c r="L8" s="4">
        <v>4584000</v>
      </c>
      <c r="M8" s="4">
        <v>3705000</v>
      </c>
      <c r="N8" s="4">
        <f t="shared" si="0"/>
        <v>56848000</v>
      </c>
      <c r="O8" s="4">
        <f t="shared" si="1"/>
        <v>25785.849715597251</v>
      </c>
      <c r="P8" s="5"/>
      <c r="Q8" s="30"/>
    </row>
    <row r="9" spans="1:19" s="3" customFormat="1" ht="13" x14ac:dyDescent="0.3">
      <c r="A9" s="3" t="s">
        <v>20</v>
      </c>
      <c r="B9" s="4">
        <v>212713</v>
      </c>
      <c r="C9" s="4">
        <v>201363</v>
      </c>
      <c r="D9" s="4">
        <v>137711</v>
      </c>
      <c r="E9" s="4">
        <v>99257</v>
      </c>
      <c r="F9" s="4">
        <v>281158</v>
      </c>
      <c r="G9" s="4">
        <v>179094</v>
      </c>
      <c r="H9" s="4">
        <v>220873</v>
      </c>
      <c r="I9" s="4">
        <v>251490</v>
      </c>
      <c r="J9" s="4">
        <v>211497</v>
      </c>
      <c r="K9" s="4">
        <v>185366</v>
      </c>
      <c r="L9" s="4">
        <v>110596</v>
      </c>
      <c r="M9" s="4">
        <v>271283</v>
      </c>
      <c r="N9" s="4">
        <f t="shared" si="0"/>
        <v>2362401</v>
      </c>
      <c r="O9" s="4">
        <f t="shared" si="1"/>
        <v>1071.5683428436648</v>
      </c>
      <c r="P9" s="5"/>
      <c r="Q9" s="30"/>
    </row>
    <row r="10" spans="1:19" x14ac:dyDescent="0.35">
      <c r="A10" s="3" t="s">
        <v>21</v>
      </c>
      <c r="B10" s="4">
        <v>1218090</v>
      </c>
      <c r="C10" s="4">
        <v>1550678</v>
      </c>
      <c r="D10" s="4">
        <v>2002449</v>
      </c>
      <c r="E10" s="4">
        <v>1324184</v>
      </c>
      <c r="F10" s="4">
        <v>1373935</v>
      </c>
      <c r="G10" s="4">
        <v>1537096</v>
      </c>
      <c r="H10" s="4">
        <v>1202627</v>
      </c>
      <c r="I10" s="4">
        <v>1139417</v>
      </c>
      <c r="J10" s="4">
        <v>1112483</v>
      </c>
      <c r="K10" s="4">
        <v>1095113</v>
      </c>
      <c r="L10" s="4">
        <v>1004105</v>
      </c>
      <c r="M10" s="4">
        <v>541144</v>
      </c>
      <c r="N10" s="4">
        <f t="shared" si="0"/>
        <v>15101321</v>
      </c>
      <c r="O10" s="4">
        <f t="shared" si="1"/>
        <v>6849.8521287115245</v>
      </c>
      <c r="P10" s="5"/>
      <c r="Q10" s="30"/>
    </row>
    <row r="11" spans="1:19" x14ac:dyDescent="0.35">
      <c r="A11" s="3" t="s">
        <v>22</v>
      </c>
      <c r="B11" s="4">
        <v>122588</v>
      </c>
      <c r="C11" s="4">
        <v>110106</v>
      </c>
      <c r="D11" s="4">
        <v>193284</v>
      </c>
      <c r="E11" s="4">
        <v>160260</v>
      </c>
      <c r="F11" s="4">
        <v>193260</v>
      </c>
      <c r="G11" s="4">
        <v>225485</v>
      </c>
      <c r="H11" s="4">
        <v>249108</v>
      </c>
      <c r="I11" s="4">
        <v>288859</v>
      </c>
      <c r="J11" s="4">
        <v>142036</v>
      </c>
      <c r="K11" s="4">
        <v>127908</v>
      </c>
      <c r="L11" s="4">
        <v>193140</v>
      </c>
      <c r="M11" s="4">
        <v>119879</v>
      </c>
      <c r="N11" s="4">
        <f t="shared" si="0"/>
        <v>2125913</v>
      </c>
      <c r="O11" s="4">
        <f t="shared" si="1"/>
        <v>964.29906287704921</v>
      </c>
      <c r="P11" s="5"/>
      <c r="Q11" s="30"/>
    </row>
    <row r="12" spans="1:19" x14ac:dyDescent="0.35">
      <c r="A12" s="1" t="s">
        <v>23</v>
      </c>
      <c r="B12" s="8">
        <f>SUM(B5:B11)</f>
        <v>61350508</v>
      </c>
      <c r="C12" s="8">
        <f t="shared" ref="C12:M12" si="2">SUM(C5:C11)</f>
        <v>67638159</v>
      </c>
      <c r="D12" s="8">
        <f t="shared" si="2"/>
        <v>75962178</v>
      </c>
      <c r="E12" s="8">
        <f t="shared" si="2"/>
        <v>79016507</v>
      </c>
      <c r="F12" s="8">
        <f t="shared" si="2"/>
        <v>72223290</v>
      </c>
      <c r="G12" s="8">
        <f t="shared" si="2"/>
        <v>76337136</v>
      </c>
      <c r="H12" s="8">
        <f t="shared" si="2"/>
        <v>64775129</v>
      </c>
      <c r="I12" s="8">
        <f t="shared" si="2"/>
        <v>75601786</v>
      </c>
      <c r="J12" s="8">
        <f t="shared" si="2"/>
        <v>73262492</v>
      </c>
      <c r="K12" s="8">
        <f t="shared" si="2"/>
        <v>57218110</v>
      </c>
      <c r="L12" s="8">
        <f t="shared" si="2"/>
        <v>56801269</v>
      </c>
      <c r="M12" s="8">
        <f t="shared" si="2"/>
        <v>49425296</v>
      </c>
      <c r="N12" s="7">
        <f>SUM(N5:N11)</f>
        <v>809611860</v>
      </c>
      <c r="O12" s="7">
        <f>SUM(O5:O11)</f>
        <v>367234.19909099978</v>
      </c>
      <c r="Q12" s="29"/>
      <c r="S12" s="31"/>
    </row>
    <row r="13" spans="1:19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Q13" s="29"/>
    </row>
    <row r="14" spans="1:19" x14ac:dyDescent="0.35">
      <c r="A14" s="1"/>
      <c r="B14" s="33">
        <v>2023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Q14" s="29"/>
    </row>
    <row r="15" spans="1:19" x14ac:dyDescent="0.35">
      <c r="A15" s="1" t="s">
        <v>1</v>
      </c>
      <c r="B15" s="6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6" t="s">
        <v>7</v>
      </c>
      <c r="H15" s="6" t="s">
        <v>8</v>
      </c>
      <c r="I15" s="6" t="s">
        <v>9</v>
      </c>
      <c r="J15" s="6" t="s">
        <v>10</v>
      </c>
      <c r="K15" s="6" t="s">
        <v>11</v>
      </c>
      <c r="L15" s="6" t="s">
        <v>12</v>
      </c>
      <c r="M15" s="6" t="s">
        <v>13</v>
      </c>
      <c r="N15" s="2" t="s">
        <v>24</v>
      </c>
      <c r="O15" s="2" t="s">
        <v>25</v>
      </c>
      <c r="Q15" s="29"/>
    </row>
    <row r="16" spans="1:19" x14ac:dyDescent="0.35">
      <c r="A16" s="3" t="s">
        <v>16</v>
      </c>
      <c r="B16" s="4">
        <v>8402252</v>
      </c>
      <c r="C16" s="4">
        <v>8610786</v>
      </c>
      <c r="D16" s="4">
        <v>12331582</v>
      </c>
      <c r="E16" s="4">
        <v>7684793</v>
      </c>
      <c r="F16" s="4">
        <v>7753760</v>
      </c>
      <c r="G16" s="4">
        <v>8515326</v>
      </c>
      <c r="H16" s="4">
        <v>6647219</v>
      </c>
      <c r="I16" s="4">
        <v>8345135</v>
      </c>
      <c r="J16" s="4">
        <v>8558073</v>
      </c>
      <c r="K16" s="4">
        <v>7924952</v>
      </c>
      <c r="L16" s="4">
        <v>8081470</v>
      </c>
      <c r="M16" s="4">
        <v>8880858</v>
      </c>
      <c r="N16" s="4">
        <f>SUM(B16:M16)</f>
        <v>101736206</v>
      </c>
      <c r="O16" s="4">
        <f>+(N16/2.20462)/1000</f>
        <v>46146.821674483588</v>
      </c>
      <c r="P16" s="5"/>
      <c r="Q16" s="30"/>
    </row>
    <row r="17" spans="1:19" x14ac:dyDescent="0.35">
      <c r="A17" s="3" t="s">
        <v>17</v>
      </c>
      <c r="B17" s="4">
        <v>39480325</v>
      </c>
      <c r="C17" s="4">
        <v>36415000</v>
      </c>
      <c r="D17" s="4">
        <v>41076591</v>
      </c>
      <c r="E17" s="4">
        <v>47919073</v>
      </c>
      <c r="F17" s="4">
        <v>42747920</v>
      </c>
      <c r="G17" s="4">
        <v>40054575</v>
      </c>
      <c r="H17" s="4">
        <v>32101873</v>
      </c>
      <c r="I17" s="4">
        <v>39752642</v>
      </c>
      <c r="J17" s="4">
        <v>33166637.000000004</v>
      </c>
      <c r="K17" s="4">
        <v>40158691</v>
      </c>
      <c r="L17" s="4">
        <v>35401709</v>
      </c>
      <c r="M17" s="4">
        <v>29487439</v>
      </c>
      <c r="N17" s="4">
        <f t="shared" ref="N17:N22" si="3">SUM(B17:M17)</f>
        <v>457762475</v>
      </c>
      <c r="O17" s="4">
        <f t="shared" ref="O17:O22" si="4">+(N17/2.20462)/1000</f>
        <v>207637.8128657093</v>
      </c>
      <c r="P17" s="29"/>
      <c r="Q17" s="29"/>
    </row>
    <row r="18" spans="1:19" x14ac:dyDescent="0.35">
      <c r="A18" s="3" t="s">
        <v>18</v>
      </c>
      <c r="B18" s="4">
        <v>7348054</v>
      </c>
      <c r="C18" s="4">
        <v>7541268</v>
      </c>
      <c r="D18" s="4">
        <v>13029828</v>
      </c>
      <c r="E18" s="4">
        <v>9637213</v>
      </c>
      <c r="F18" s="4">
        <v>8684443</v>
      </c>
      <c r="G18" s="4">
        <v>5915338</v>
      </c>
      <c r="H18" s="4">
        <v>2743848</v>
      </c>
      <c r="I18" s="4">
        <v>1579519</v>
      </c>
      <c r="J18" s="4">
        <v>7747822.4400000004</v>
      </c>
      <c r="K18" s="4">
        <v>6441899.6399999997</v>
      </c>
      <c r="L18" s="4">
        <v>10859958.119999999</v>
      </c>
      <c r="M18" s="4">
        <v>15688075.919999998</v>
      </c>
      <c r="N18" s="4">
        <f t="shared" si="3"/>
        <v>97217267.120000005</v>
      </c>
      <c r="O18" s="4">
        <f t="shared" si="4"/>
        <v>44097.06304034256</v>
      </c>
      <c r="P18" s="29"/>
      <c r="Q18" s="29"/>
    </row>
    <row r="19" spans="1:19" ht="18" customHeight="1" x14ac:dyDescent="0.35">
      <c r="A19" s="3" t="s">
        <v>19</v>
      </c>
      <c r="B19" s="4">
        <v>4856000</v>
      </c>
      <c r="C19" s="4">
        <v>3984000</v>
      </c>
      <c r="D19" s="4">
        <v>4963000</v>
      </c>
      <c r="E19" s="4">
        <v>4001000</v>
      </c>
      <c r="F19" s="4">
        <v>4709000</v>
      </c>
      <c r="G19" s="4">
        <v>4276392.21</v>
      </c>
      <c r="H19" s="4">
        <v>3853977</v>
      </c>
      <c r="I19" s="4">
        <v>4663070</v>
      </c>
      <c r="J19" s="4">
        <v>4240363</v>
      </c>
      <c r="K19" s="4">
        <v>4303483</v>
      </c>
      <c r="L19" s="4">
        <v>3792377</v>
      </c>
      <c r="M19" s="4">
        <v>3714500</v>
      </c>
      <c r="N19" s="4">
        <f t="shared" si="3"/>
        <v>51357162.210000001</v>
      </c>
      <c r="O19" s="4">
        <f t="shared" si="4"/>
        <v>23295.244627191991</v>
      </c>
      <c r="P19" s="29"/>
      <c r="Q19" s="29"/>
    </row>
    <row r="20" spans="1:19" x14ac:dyDescent="0.35">
      <c r="A20" s="3" t="s">
        <v>20</v>
      </c>
      <c r="B20" s="4">
        <v>145326</v>
      </c>
      <c r="C20" s="4">
        <v>271283</v>
      </c>
      <c r="D20" s="4">
        <v>99933</v>
      </c>
      <c r="E20" s="4">
        <v>31404</v>
      </c>
      <c r="F20" s="4">
        <v>103414</v>
      </c>
      <c r="G20" s="4">
        <v>240990</v>
      </c>
      <c r="H20" s="4">
        <v>117791.32</v>
      </c>
      <c r="I20" s="4">
        <v>236565.18381980006</v>
      </c>
      <c r="J20" s="4">
        <v>199813.13</v>
      </c>
      <c r="K20" s="4">
        <v>246891</v>
      </c>
      <c r="L20" s="4">
        <v>117945</v>
      </c>
      <c r="M20" s="4">
        <v>97099</v>
      </c>
      <c r="N20" s="4">
        <f t="shared" si="3"/>
        <v>1908454.6338198003</v>
      </c>
      <c r="O20" s="4">
        <f t="shared" si="4"/>
        <v>865.66148988025168</v>
      </c>
      <c r="P20" s="29"/>
      <c r="Q20" s="29"/>
    </row>
    <row r="21" spans="1:19" x14ac:dyDescent="0.35">
      <c r="A21" s="3" t="s">
        <v>21</v>
      </c>
      <c r="B21" s="4">
        <v>1202627</v>
      </c>
      <c r="C21" s="4">
        <v>1139417</v>
      </c>
      <c r="D21" s="4">
        <v>1112483</v>
      </c>
      <c r="E21" s="4">
        <v>1095113</v>
      </c>
      <c r="F21" s="4">
        <v>1004105</v>
      </c>
      <c r="G21" s="4">
        <v>541144</v>
      </c>
      <c r="H21" s="4">
        <v>1283000</v>
      </c>
      <c r="I21" s="4">
        <v>1094694</v>
      </c>
      <c r="J21" s="4">
        <v>1436049.79</v>
      </c>
      <c r="K21" s="4">
        <v>1398547</v>
      </c>
      <c r="L21" s="4">
        <v>960389</v>
      </c>
      <c r="M21" s="4">
        <v>1006948</v>
      </c>
      <c r="N21" s="4">
        <f t="shared" si="3"/>
        <v>13274516.789999999</v>
      </c>
      <c r="O21" s="4">
        <f t="shared" si="4"/>
        <v>6021.226692128349</v>
      </c>
      <c r="P21" s="29"/>
      <c r="Q21" s="31"/>
      <c r="S21" s="31"/>
    </row>
    <row r="22" spans="1:19" x14ac:dyDescent="0.35">
      <c r="A22" s="3" t="s">
        <v>22</v>
      </c>
      <c r="B22" s="4">
        <v>159550</v>
      </c>
      <c r="C22" s="4">
        <v>159564</v>
      </c>
      <c r="D22" s="4">
        <v>207787</v>
      </c>
      <c r="E22" s="4">
        <v>95975</v>
      </c>
      <c r="F22" s="4">
        <v>192096</v>
      </c>
      <c r="G22" s="4">
        <v>63504</v>
      </c>
      <c r="H22" s="4">
        <v>96680</v>
      </c>
      <c r="I22" s="4">
        <v>161316</v>
      </c>
      <c r="J22" s="4">
        <v>57444.86</v>
      </c>
      <c r="K22" s="4">
        <v>78155.44</v>
      </c>
      <c r="L22" s="4">
        <v>85482.83</v>
      </c>
      <c r="M22" s="4">
        <v>63718.6</v>
      </c>
      <c r="N22" s="4">
        <f t="shared" si="3"/>
        <v>1421273.7300000002</v>
      </c>
      <c r="O22" s="4">
        <f t="shared" si="4"/>
        <v>644.67968629514405</v>
      </c>
      <c r="P22" s="29"/>
      <c r="Q22" s="29"/>
      <c r="S22" s="31"/>
    </row>
    <row r="23" spans="1:19" x14ac:dyDescent="0.35">
      <c r="A23" s="1" t="s">
        <v>23</v>
      </c>
      <c r="B23" s="8">
        <f>SUM(B16:B22)</f>
        <v>61594134</v>
      </c>
      <c r="C23" s="8">
        <f t="shared" ref="C23:M23" si="5">SUM(C16:C22)</f>
        <v>58121318</v>
      </c>
      <c r="D23" s="8">
        <f t="shared" si="5"/>
        <v>72821204</v>
      </c>
      <c r="E23" s="8">
        <f t="shared" si="5"/>
        <v>70464571</v>
      </c>
      <c r="F23" s="8">
        <f t="shared" si="5"/>
        <v>65194738</v>
      </c>
      <c r="G23" s="8">
        <f t="shared" si="5"/>
        <v>59607269.210000001</v>
      </c>
      <c r="H23" s="8">
        <f t="shared" si="5"/>
        <v>46844388.32</v>
      </c>
      <c r="I23" s="8">
        <f t="shared" si="5"/>
        <v>55832941.183819801</v>
      </c>
      <c r="J23" s="8">
        <f t="shared" si="5"/>
        <v>55406203.219999999</v>
      </c>
      <c r="K23" s="8">
        <f t="shared" si="5"/>
        <v>60552619.079999998</v>
      </c>
      <c r="L23" s="8">
        <f t="shared" si="5"/>
        <v>59299330.949999996</v>
      </c>
      <c r="M23" s="8">
        <f t="shared" si="5"/>
        <v>58938638.520000003</v>
      </c>
      <c r="N23" s="7">
        <f>SUM(N16:N22)</f>
        <v>724677355.48381984</v>
      </c>
      <c r="O23" s="7">
        <f>SUM(O16:O22)</f>
        <v>328708.51007603115</v>
      </c>
      <c r="P23" s="28"/>
      <c r="Q23" s="32"/>
      <c r="S23" s="31"/>
    </row>
    <row r="25" spans="1:19" x14ac:dyDescent="0.35">
      <c r="A25" s="1"/>
      <c r="B25" s="33">
        <v>2024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</row>
    <row r="26" spans="1:19" x14ac:dyDescent="0.35">
      <c r="A26" s="1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  <c r="H26" s="6" t="s">
        <v>8</v>
      </c>
      <c r="I26" s="6" t="s">
        <v>9</v>
      </c>
      <c r="J26" s="6" t="s">
        <v>10</v>
      </c>
      <c r="K26" s="6" t="s">
        <v>11</v>
      </c>
      <c r="L26" s="6" t="s">
        <v>12</v>
      </c>
      <c r="M26" s="6" t="s">
        <v>13</v>
      </c>
      <c r="N26" s="2" t="s">
        <v>26</v>
      </c>
      <c r="O26" s="2" t="s">
        <v>27</v>
      </c>
    </row>
    <row r="27" spans="1:19" x14ac:dyDescent="0.35">
      <c r="A27" s="3" t="s">
        <v>16</v>
      </c>
      <c r="B27" s="4">
        <v>8806474</v>
      </c>
      <c r="C27" s="5">
        <v>10799993</v>
      </c>
      <c r="D27" s="4">
        <v>10395313</v>
      </c>
      <c r="E27" s="4">
        <v>10255459</v>
      </c>
      <c r="F27" s="4">
        <v>10074407</v>
      </c>
      <c r="G27" s="4">
        <v>10506306</v>
      </c>
      <c r="H27" s="4">
        <v>8687280</v>
      </c>
      <c r="I27" s="4">
        <v>10135146</v>
      </c>
      <c r="J27" s="4">
        <v>10352750</v>
      </c>
      <c r="K27" s="4">
        <v>10984968</v>
      </c>
      <c r="L27" s="4">
        <v>8941276</v>
      </c>
      <c r="M27" s="4">
        <v>8954926</v>
      </c>
      <c r="N27" s="4">
        <f>SUM(B27:M27)</f>
        <v>118894298</v>
      </c>
      <c r="O27" s="4">
        <f>+(N27/2.20462)/1000</f>
        <v>53929.610545127965</v>
      </c>
      <c r="P27" s="5"/>
      <c r="Q27" s="29"/>
    </row>
    <row r="28" spans="1:19" x14ac:dyDescent="0.35">
      <c r="A28" s="3" t="s">
        <v>17</v>
      </c>
      <c r="B28" s="4">
        <v>40376384</v>
      </c>
      <c r="C28" s="4">
        <v>41322880</v>
      </c>
      <c r="D28" s="4">
        <v>39983604</v>
      </c>
      <c r="E28" s="4">
        <v>49465284</v>
      </c>
      <c r="F28" s="4">
        <v>45994436</v>
      </c>
      <c r="G28" s="4">
        <v>39489457</v>
      </c>
      <c r="H28" s="4">
        <v>44387304</v>
      </c>
      <c r="I28" s="4">
        <v>40838701</v>
      </c>
      <c r="J28" s="4">
        <v>38590166</v>
      </c>
      <c r="K28" s="4">
        <v>42157803</v>
      </c>
      <c r="L28" s="4">
        <v>29953745</v>
      </c>
      <c r="M28" s="4">
        <v>37493719</v>
      </c>
      <c r="N28" s="4">
        <f t="shared" ref="N28:N33" si="6">SUM(B28:M28)</f>
        <v>490053483</v>
      </c>
      <c r="O28" s="4">
        <f t="shared" ref="O28:O33" si="7">+(N28/2.20462)/1000</f>
        <v>222284.78513303882</v>
      </c>
    </row>
    <row r="29" spans="1:19" x14ac:dyDescent="0.35">
      <c r="A29" s="3" t="s">
        <v>18</v>
      </c>
      <c r="B29" s="4">
        <v>9949450.0599999987</v>
      </c>
      <c r="C29" s="4">
        <v>12559714</v>
      </c>
      <c r="D29" s="4">
        <v>8754687</v>
      </c>
      <c r="E29" s="4">
        <v>9864002</v>
      </c>
      <c r="F29" s="4">
        <v>11207340</v>
      </c>
      <c r="G29" s="4">
        <v>11909094</v>
      </c>
      <c r="H29" s="4">
        <v>11917248</v>
      </c>
      <c r="I29" s="4">
        <v>11662907</v>
      </c>
      <c r="J29" s="4">
        <v>10354172</v>
      </c>
      <c r="K29" s="4">
        <v>5361230</v>
      </c>
      <c r="L29" s="4">
        <v>10297088</v>
      </c>
      <c r="M29" s="4">
        <v>11555572</v>
      </c>
      <c r="N29" s="4">
        <f t="shared" si="6"/>
        <v>125392504.06</v>
      </c>
      <c r="O29" s="4">
        <f t="shared" si="7"/>
        <v>56877.150737995667</v>
      </c>
      <c r="R29" s="31"/>
    </row>
    <row r="30" spans="1:19" x14ac:dyDescent="0.35">
      <c r="A30" s="3" t="s">
        <v>19</v>
      </c>
      <c r="B30" s="4">
        <v>4047426</v>
      </c>
      <c r="C30" s="4">
        <v>3879624</v>
      </c>
      <c r="D30" s="4">
        <v>3408406</v>
      </c>
      <c r="E30" s="4">
        <v>3876484</v>
      </c>
      <c r="F30" s="4">
        <v>3806313</v>
      </c>
      <c r="G30" s="4">
        <v>3616061</v>
      </c>
      <c r="H30" s="4">
        <v>3621439</v>
      </c>
      <c r="I30" s="4">
        <v>3787070</v>
      </c>
      <c r="J30" s="4">
        <v>3744392</v>
      </c>
      <c r="K30" s="4">
        <v>4536256.1100000003</v>
      </c>
      <c r="L30" s="4">
        <v>3200565</v>
      </c>
      <c r="M30" s="4">
        <v>3494175.21</v>
      </c>
      <c r="N30" s="4">
        <f t="shared" si="6"/>
        <v>45018211.32</v>
      </c>
      <c r="O30" s="4">
        <f>+(N30/2.20462)/1000</f>
        <v>20419.941450227252</v>
      </c>
      <c r="Q30" s="31"/>
    </row>
    <row r="31" spans="1:19" x14ac:dyDescent="0.35">
      <c r="A31" s="3" t="s">
        <v>20</v>
      </c>
      <c r="B31" s="4">
        <v>291303</v>
      </c>
      <c r="C31" s="4">
        <v>246541</v>
      </c>
      <c r="D31" s="4">
        <v>191614.49</v>
      </c>
      <c r="E31" s="4">
        <v>259924</v>
      </c>
      <c r="F31" s="4">
        <v>242686</v>
      </c>
      <c r="G31" s="4">
        <v>157771</v>
      </c>
      <c r="H31" s="4">
        <v>175617</v>
      </c>
      <c r="I31" s="4">
        <v>167430</v>
      </c>
      <c r="J31" s="4">
        <v>81794</v>
      </c>
      <c r="K31" s="4">
        <v>246544.26397259999</v>
      </c>
      <c r="L31" s="4">
        <v>188024</v>
      </c>
      <c r="M31" s="4">
        <v>207605</v>
      </c>
      <c r="N31" s="4">
        <f t="shared" si="6"/>
        <v>2456853.7539726002</v>
      </c>
      <c r="O31" s="4">
        <f t="shared" si="7"/>
        <v>1114.4114423223052</v>
      </c>
      <c r="Q31" s="29"/>
    </row>
    <row r="32" spans="1:19" x14ac:dyDescent="0.35">
      <c r="A32" s="3" t="s">
        <v>21</v>
      </c>
      <c r="B32" s="4">
        <v>1376171.74</v>
      </c>
      <c r="C32" s="4">
        <v>1360299.6</v>
      </c>
      <c r="D32" s="4">
        <v>1389496</v>
      </c>
      <c r="E32" s="4">
        <v>1559821.67</v>
      </c>
      <c r="F32" s="4">
        <v>1424385.84</v>
      </c>
      <c r="G32" s="4">
        <v>1425974.6</v>
      </c>
      <c r="H32" s="4">
        <v>1610622.33</v>
      </c>
      <c r="I32" s="4">
        <v>1269114.1000000001</v>
      </c>
      <c r="J32" s="4">
        <v>1497724</v>
      </c>
      <c r="K32" s="4">
        <v>1405272.2050900001</v>
      </c>
      <c r="L32" s="4">
        <f>677555.2*2.20462</f>
        <v>1493751.7450239998</v>
      </c>
      <c r="M32" s="4">
        <f>690680*2.20462</f>
        <v>1522686.9415999998</v>
      </c>
      <c r="N32" s="4">
        <f t="shared" si="6"/>
        <v>17335320.771713998</v>
      </c>
      <c r="O32" s="4">
        <f t="shared" si="7"/>
        <v>7863.1785848418313</v>
      </c>
    </row>
    <row r="33" spans="1:18" x14ac:dyDescent="0.35">
      <c r="A33" s="3" t="s">
        <v>22</v>
      </c>
      <c r="B33" s="4">
        <v>125136</v>
      </c>
      <c r="C33" s="4">
        <v>125676</v>
      </c>
      <c r="D33" s="4">
        <v>132444</v>
      </c>
      <c r="E33" s="4">
        <v>45612</v>
      </c>
      <c r="F33" s="4">
        <v>147060</v>
      </c>
      <c r="G33" s="4">
        <v>116640</v>
      </c>
      <c r="H33" s="4">
        <v>114984</v>
      </c>
      <c r="I33" s="4">
        <v>143064</v>
      </c>
      <c r="J33" s="4">
        <v>128448</v>
      </c>
      <c r="K33" s="4">
        <v>172764</v>
      </c>
      <c r="L33" s="4">
        <v>128700</v>
      </c>
      <c r="M33" s="4">
        <v>96552</v>
      </c>
      <c r="N33" s="4">
        <f t="shared" si="6"/>
        <v>1477080</v>
      </c>
      <c r="O33" s="4">
        <f t="shared" si="7"/>
        <v>669.99301466919474</v>
      </c>
      <c r="R33" s="31"/>
    </row>
    <row r="34" spans="1:18" x14ac:dyDescent="0.35">
      <c r="A34" s="1" t="s">
        <v>23</v>
      </c>
      <c r="B34" s="8">
        <f>SUM(B27:B33)</f>
        <v>64972344.800000004</v>
      </c>
      <c r="C34" s="8">
        <f t="shared" ref="C34:M34" si="8">SUM(C27:C33)</f>
        <v>70294727.599999994</v>
      </c>
      <c r="D34" s="8">
        <f t="shared" si="8"/>
        <v>64255564.490000002</v>
      </c>
      <c r="E34" s="8">
        <f t="shared" si="8"/>
        <v>75326586.670000002</v>
      </c>
      <c r="F34" s="8">
        <f t="shared" si="8"/>
        <v>72896627.840000004</v>
      </c>
      <c r="G34" s="8">
        <f>SUM(G27:G33)</f>
        <v>67221303.599999994</v>
      </c>
      <c r="H34" s="8">
        <f t="shared" si="8"/>
        <v>70514494.329999998</v>
      </c>
      <c r="I34" s="8">
        <f t="shared" si="8"/>
        <v>68003432.099999994</v>
      </c>
      <c r="J34" s="8">
        <f t="shared" si="8"/>
        <v>64749446</v>
      </c>
      <c r="K34" s="8">
        <f t="shared" si="8"/>
        <v>64864837.579062603</v>
      </c>
      <c r="L34" s="8">
        <f t="shared" si="8"/>
        <v>54203149.745024003</v>
      </c>
      <c r="M34" s="8">
        <f t="shared" si="8"/>
        <v>63325236.151600003</v>
      </c>
      <c r="N34" s="7">
        <f>SUM(N27:N33)</f>
        <v>800627750.90568662</v>
      </c>
      <c r="O34" s="7">
        <f>SUM(O27:O33)</f>
        <v>363159.07090822305</v>
      </c>
    </row>
    <row r="36" spans="1:18" x14ac:dyDescent="0.35">
      <c r="A36" s="1"/>
      <c r="B36" s="33">
        <v>2025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spans="1:18" x14ac:dyDescent="0.35">
      <c r="A37" s="1" t="s">
        <v>1</v>
      </c>
      <c r="B37" s="6" t="s">
        <v>2</v>
      </c>
      <c r="C37" s="6" t="s">
        <v>3</v>
      </c>
      <c r="D37" s="6" t="s">
        <v>4</v>
      </c>
      <c r="E37" s="6" t="s">
        <v>5</v>
      </c>
      <c r="F37" s="6" t="s">
        <v>6</v>
      </c>
      <c r="G37" s="6" t="s">
        <v>7</v>
      </c>
      <c r="H37" s="6" t="s">
        <v>8</v>
      </c>
      <c r="I37" s="6" t="s">
        <v>9</v>
      </c>
      <c r="J37" s="6" t="s">
        <v>10</v>
      </c>
      <c r="K37" s="6" t="s">
        <v>11</v>
      </c>
      <c r="L37" s="6" t="s">
        <v>12</v>
      </c>
      <c r="M37" s="6" t="s">
        <v>13</v>
      </c>
      <c r="N37" s="2" t="s">
        <v>41</v>
      </c>
      <c r="O37" s="2" t="s">
        <v>28</v>
      </c>
    </row>
    <row r="38" spans="1:18" x14ac:dyDescent="0.35">
      <c r="A38" s="3" t="s">
        <v>16</v>
      </c>
      <c r="B38" s="4">
        <v>9786613</v>
      </c>
      <c r="C38" s="4">
        <v>9497566</v>
      </c>
      <c r="D38" s="4">
        <v>11889706</v>
      </c>
      <c r="E38" s="4">
        <v>11269011</v>
      </c>
      <c r="F38" s="4">
        <v>11382251</v>
      </c>
      <c r="G38" s="4">
        <v>7367032</v>
      </c>
      <c r="H38" s="4">
        <v>9224885</v>
      </c>
      <c r="I38" s="4">
        <v>9248187</v>
      </c>
      <c r="J38" s="4">
        <v>9184295</v>
      </c>
      <c r="K38" s="4">
        <v>7130368</v>
      </c>
      <c r="L38" s="4">
        <v>7325297</v>
      </c>
      <c r="M38" s="4">
        <v>8279532</v>
      </c>
      <c r="N38" s="4">
        <f>SUM(B38:M38)</f>
        <v>111584743</v>
      </c>
      <c r="O38" s="4">
        <f>+(N38/2.20462)/1000</f>
        <v>50614.048225998136</v>
      </c>
      <c r="P38" s="5"/>
      <c r="Q38" s="29"/>
    </row>
    <row r="39" spans="1:18" x14ac:dyDescent="0.35">
      <c r="A39" s="3" t="s">
        <v>17</v>
      </c>
      <c r="B39" s="4">
        <v>35453712</v>
      </c>
      <c r="C39" s="4">
        <v>37223553</v>
      </c>
      <c r="D39" s="4">
        <v>39721418</v>
      </c>
      <c r="E39" s="4">
        <v>40538747</v>
      </c>
      <c r="F39" s="4">
        <v>42725506</v>
      </c>
      <c r="G39" s="4">
        <v>39674579</v>
      </c>
      <c r="H39" s="4">
        <v>35680474</v>
      </c>
      <c r="I39" s="4">
        <v>39198677</v>
      </c>
      <c r="J39" s="4">
        <v>39584920</v>
      </c>
      <c r="K39" s="4">
        <v>36793423</v>
      </c>
      <c r="L39" s="4">
        <v>35143582</v>
      </c>
      <c r="M39" s="4">
        <v>32392010</v>
      </c>
      <c r="N39" s="4">
        <f t="shared" ref="N39:N44" si="9">SUM(B39:M39)</f>
        <v>454130601</v>
      </c>
      <c r="O39" s="4">
        <f t="shared" ref="O39:O44" si="10">+(N39/2.20462)/1000</f>
        <v>205990.42057134566</v>
      </c>
    </row>
    <row r="40" spans="1:18" x14ac:dyDescent="0.35">
      <c r="A40" s="3" t="s">
        <v>18</v>
      </c>
      <c r="B40" s="4">
        <v>12312426</v>
      </c>
      <c r="C40" s="4">
        <v>12622528</v>
      </c>
      <c r="D40" s="4">
        <v>9530096</v>
      </c>
      <c r="E40" s="4">
        <v>13155676</v>
      </c>
      <c r="F40" s="4">
        <v>10263567</v>
      </c>
      <c r="G40" s="4">
        <v>10383507</v>
      </c>
      <c r="H40" s="4">
        <v>11828868</v>
      </c>
      <c r="I40" s="4">
        <v>10114817</v>
      </c>
      <c r="J40" s="4">
        <v>2671248</v>
      </c>
      <c r="K40" s="4">
        <v>6043368</v>
      </c>
      <c r="L40" s="4">
        <v>4294935</v>
      </c>
      <c r="M40" s="4">
        <v>6300134</v>
      </c>
      <c r="N40" s="4">
        <f t="shared" si="9"/>
        <v>109521170</v>
      </c>
      <c r="O40" s="4">
        <f t="shared" si="10"/>
        <v>49678.026145095304</v>
      </c>
    </row>
    <row r="41" spans="1:18" x14ac:dyDescent="0.35">
      <c r="A41" s="3" t="s">
        <v>19</v>
      </c>
      <c r="B41" s="4">
        <v>3738046</v>
      </c>
      <c r="C41" s="4">
        <v>3595885</v>
      </c>
      <c r="D41" s="4">
        <v>3313180</v>
      </c>
      <c r="E41" s="4">
        <v>3767099</v>
      </c>
      <c r="F41" s="4">
        <v>3925535</v>
      </c>
      <c r="G41" s="4">
        <v>4199282</v>
      </c>
      <c r="H41" s="4">
        <v>4250034</v>
      </c>
      <c r="I41" s="4">
        <v>3671025</v>
      </c>
      <c r="J41" s="4">
        <v>3749090</v>
      </c>
      <c r="K41" s="4">
        <v>4196071</v>
      </c>
      <c r="L41" s="4">
        <v>2811807</v>
      </c>
      <c r="M41" s="4">
        <v>3115324</v>
      </c>
      <c r="N41" s="4">
        <f t="shared" si="9"/>
        <v>44332378</v>
      </c>
      <c r="O41" s="4">
        <f t="shared" si="10"/>
        <v>20108.852319220547</v>
      </c>
    </row>
    <row r="42" spans="1:18" x14ac:dyDescent="0.35">
      <c r="A42" s="3" t="s">
        <v>20</v>
      </c>
      <c r="B42" s="4">
        <v>222432</v>
      </c>
      <c r="C42" s="4">
        <v>296133</v>
      </c>
      <c r="D42" s="4">
        <v>384826</v>
      </c>
      <c r="E42" s="4">
        <v>275078</v>
      </c>
      <c r="F42" s="4">
        <v>215894</v>
      </c>
      <c r="G42" s="4">
        <v>294606</v>
      </c>
      <c r="H42" s="4">
        <v>246963</v>
      </c>
      <c r="I42" s="4">
        <v>137106</v>
      </c>
      <c r="J42" s="4">
        <v>214785</v>
      </c>
      <c r="K42" s="4">
        <v>192397</v>
      </c>
      <c r="L42" s="4">
        <v>155111.9</v>
      </c>
      <c r="M42" s="4">
        <v>174338.66</v>
      </c>
      <c r="N42" s="4">
        <f t="shared" si="9"/>
        <v>2809670.56</v>
      </c>
      <c r="O42" s="4">
        <f t="shared" si="10"/>
        <v>1274.4466438660634</v>
      </c>
    </row>
    <row r="43" spans="1:18" x14ac:dyDescent="0.35">
      <c r="A43" s="3" t="s">
        <v>21</v>
      </c>
      <c r="B43" s="4">
        <f>683880*2.20462</f>
        <v>1507695.5255999998</v>
      </c>
      <c r="C43" s="4">
        <f>779287*2.20462</f>
        <v>1718031.7059399998</v>
      </c>
      <c r="D43" s="4">
        <v>1968175</v>
      </c>
      <c r="E43" s="4">
        <f>648385*2.20462</f>
        <v>1429442.5386999999</v>
      </c>
      <c r="F43" s="4">
        <f>680259*2.20462</f>
        <v>1499712.5965799999</v>
      </c>
      <c r="G43" s="4">
        <f>623725*2.20462</f>
        <v>1375076.6094999998</v>
      </c>
      <c r="H43" s="4">
        <f>910614*2.02642</f>
        <v>1845286.4218799998</v>
      </c>
      <c r="I43" s="4">
        <f>488126*2.20462</f>
        <v>1076132.3421199999</v>
      </c>
      <c r="J43" s="4">
        <f>545120*2.20462</f>
        <v>1201782.4543999999</v>
      </c>
      <c r="K43" s="4">
        <f>585153*2.20462</f>
        <v>1290040.0068599998</v>
      </c>
      <c r="L43" s="4">
        <f>496452*2.20462</f>
        <v>1094488.0082399999</v>
      </c>
      <c r="M43" s="4">
        <f>455570*2.20462</f>
        <v>1004358.7333999999</v>
      </c>
      <c r="N43" s="4">
        <f t="shared" si="9"/>
        <v>17010221.943219993</v>
      </c>
      <c r="O43" s="4">
        <f t="shared" si="10"/>
        <v>7715.7160613711176</v>
      </c>
    </row>
    <row r="44" spans="1:18" x14ac:dyDescent="0.35">
      <c r="A44" s="3" t="s">
        <v>22</v>
      </c>
      <c r="B44" s="4">
        <v>94732</v>
      </c>
      <c r="C44" s="4">
        <v>32148</v>
      </c>
      <c r="D44" s="4">
        <v>111136</v>
      </c>
      <c r="E44" s="4">
        <v>39106</v>
      </c>
      <c r="F44" s="4">
        <v>66600</v>
      </c>
      <c r="G44" s="4">
        <v>60732</v>
      </c>
      <c r="H44" s="4">
        <v>87084</v>
      </c>
      <c r="I44" s="4">
        <v>102924</v>
      </c>
      <c r="J44" s="4">
        <v>111744</v>
      </c>
      <c r="K44" s="4">
        <v>0</v>
      </c>
      <c r="L44" s="4">
        <v>160389</v>
      </c>
      <c r="M44" s="4">
        <v>206496</v>
      </c>
      <c r="N44" s="4">
        <f t="shared" si="9"/>
        <v>1073091</v>
      </c>
      <c r="O44" s="4">
        <f t="shared" si="10"/>
        <v>486.74646877920009</v>
      </c>
    </row>
    <row r="45" spans="1:18" x14ac:dyDescent="0.35">
      <c r="A45" s="1" t="s">
        <v>23</v>
      </c>
      <c r="B45" s="8">
        <f>SUM(B38:B44)</f>
        <v>63115656.525600001</v>
      </c>
      <c r="C45" s="8">
        <f t="shared" ref="C45:F45" si="11">SUM(C38:C44)</f>
        <v>64985844.705940001</v>
      </c>
      <c r="D45" s="8">
        <f t="shared" si="11"/>
        <v>66918537</v>
      </c>
      <c r="E45" s="8">
        <f>SUM(E38:E44)</f>
        <v>70474159.538699999</v>
      </c>
      <c r="F45" s="8">
        <f t="shared" si="11"/>
        <v>70079065.596579999</v>
      </c>
      <c r="G45" s="8">
        <f>SUM(G38:G44)</f>
        <v>63354814.609499998</v>
      </c>
      <c r="H45" s="8">
        <f t="shared" ref="H45:M45" si="12">SUM(H38:H44)</f>
        <v>63163594.421879999</v>
      </c>
      <c r="I45" s="8">
        <f t="shared" si="12"/>
        <v>63548868.342119999</v>
      </c>
      <c r="J45" s="8">
        <f t="shared" si="12"/>
        <v>56717864.454400003</v>
      </c>
      <c r="K45" s="8">
        <f t="shared" si="12"/>
        <v>55645667.006860003</v>
      </c>
      <c r="L45" s="8">
        <f t="shared" si="12"/>
        <v>50985609.908239998</v>
      </c>
      <c r="M45" s="8">
        <f t="shared" si="12"/>
        <v>51472193.393399999</v>
      </c>
      <c r="N45" s="7">
        <f>SUM(N38:N44)</f>
        <v>740461875.50321996</v>
      </c>
      <c r="O45" s="7">
        <f>SUM(O38:O44)</f>
        <v>335868.25643567607</v>
      </c>
    </row>
    <row r="47" spans="1:18" x14ac:dyDescent="0.35">
      <c r="A47" s="1"/>
      <c r="B47" s="33">
        <v>2026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</row>
    <row r="48" spans="1:18" x14ac:dyDescent="0.35">
      <c r="A48" s="1" t="s">
        <v>1</v>
      </c>
      <c r="B48" s="6" t="s">
        <v>2</v>
      </c>
      <c r="C48" s="6" t="s">
        <v>3</v>
      </c>
      <c r="D48" s="6" t="s">
        <v>4</v>
      </c>
      <c r="E48" s="6" t="s">
        <v>5</v>
      </c>
      <c r="F48" s="6" t="s">
        <v>6</v>
      </c>
      <c r="G48" s="6" t="s">
        <v>7</v>
      </c>
      <c r="H48" s="6" t="s">
        <v>8</v>
      </c>
      <c r="I48" s="6" t="s">
        <v>9</v>
      </c>
      <c r="J48" s="6" t="s">
        <v>10</v>
      </c>
      <c r="K48" s="6" t="s">
        <v>11</v>
      </c>
      <c r="L48" s="6" t="s">
        <v>12</v>
      </c>
      <c r="M48" s="6" t="s">
        <v>13</v>
      </c>
      <c r="N48" s="2" t="s">
        <v>29</v>
      </c>
      <c r="O48" s="2" t="s">
        <v>30</v>
      </c>
    </row>
    <row r="49" spans="1:15" x14ac:dyDescent="0.35">
      <c r="A49" s="3" t="s">
        <v>16</v>
      </c>
      <c r="B49" s="4">
        <v>9531124</v>
      </c>
      <c r="C49" s="4">
        <v>11459477</v>
      </c>
      <c r="D49" s="4">
        <v>11724014</v>
      </c>
      <c r="E49" s="4">
        <v>11369920</v>
      </c>
      <c r="F49" s="4">
        <v>11360795</v>
      </c>
      <c r="G49" s="4"/>
      <c r="H49" s="4"/>
      <c r="I49" s="4"/>
      <c r="J49" s="4"/>
      <c r="K49" s="4"/>
      <c r="L49" s="4"/>
      <c r="M49" s="4"/>
      <c r="N49" s="4">
        <f>SUM(B49:M49)</f>
        <v>55445330</v>
      </c>
      <c r="O49" s="4">
        <f>+(N49/2.20462)/1000</f>
        <v>25149.60854931916</v>
      </c>
    </row>
    <row r="50" spans="1:15" x14ac:dyDescent="0.35">
      <c r="A50" s="3" t="s">
        <v>17</v>
      </c>
      <c r="B50" s="4">
        <v>37007840</v>
      </c>
      <c r="C50" s="4">
        <v>38709418</v>
      </c>
      <c r="D50" s="4">
        <v>44080483</v>
      </c>
      <c r="E50" s="4">
        <v>41580329</v>
      </c>
      <c r="F50" s="4">
        <v>38859749</v>
      </c>
      <c r="G50" s="4"/>
      <c r="H50" s="4"/>
      <c r="I50" s="4"/>
      <c r="J50" s="4"/>
      <c r="K50" s="4"/>
      <c r="L50" s="4"/>
      <c r="M50" s="4"/>
      <c r="N50" s="4">
        <f t="shared" ref="N50:N55" si="13">SUM(B50:M50)</f>
        <v>200237819</v>
      </c>
      <c r="O50" s="4">
        <f t="shared" ref="O50:O55" si="14">+(N50/2.20462)/1000</f>
        <v>90826.45489925702</v>
      </c>
    </row>
    <row r="51" spans="1:15" x14ac:dyDescent="0.35">
      <c r="A51" s="3" t="s">
        <v>18</v>
      </c>
      <c r="B51" s="4">
        <v>7586653</v>
      </c>
      <c r="C51" s="4">
        <v>8544203</v>
      </c>
      <c r="D51" s="4">
        <v>7557758</v>
      </c>
      <c r="E51" s="4">
        <v>6819749</v>
      </c>
      <c r="F51" s="4">
        <v>9974885</v>
      </c>
      <c r="G51" s="4"/>
      <c r="H51" s="4"/>
      <c r="I51" s="4"/>
      <c r="J51" s="4"/>
      <c r="K51" s="4"/>
      <c r="L51" s="4"/>
      <c r="M51" s="4"/>
      <c r="N51" s="4">
        <f t="shared" si="13"/>
        <v>40483248</v>
      </c>
      <c r="O51" s="4">
        <f t="shared" si="14"/>
        <v>18362.914243724543</v>
      </c>
    </row>
    <row r="52" spans="1:15" x14ac:dyDescent="0.35">
      <c r="A52" s="3" t="s">
        <v>19</v>
      </c>
      <c r="B52" s="4">
        <v>4040881</v>
      </c>
      <c r="C52" s="4">
        <v>3596401</v>
      </c>
      <c r="D52" s="4">
        <v>3476277</v>
      </c>
      <c r="E52" s="4">
        <v>3461946</v>
      </c>
      <c r="F52" s="4">
        <v>3241677</v>
      </c>
      <c r="G52" s="4"/>
      <c r="H52" s="4"/>
      <c r="I52" s="4"/>
      <c r="J52" s="4"/>
      <c r="K52" s="4"/>
      <c r="L52" s="4"/>
      <c r="M52" s="4"/>
      <c r="N52" s="4">
        <f t="shared" si="13"/>
        <v>17817182</v>
      </c>
      <c r="O52" s="4">
        <f t="shared" si="14"/>
        <v>8081.7474213243104</v>
      </c>
    </row>
    <row r="53" spans="1:15" x14ac:dyDescent="0.35">
      <c r="A53" s="3" t="s">
        <v>20</v>
      </c>
      <c r="B53" s="4">
        <v>277876</v>
      </c>
      <c r="C53" s="4">
        <v>317354</v>
      </c>
      <c r="D53" s="4">
        <v>288136.58</v>
      </c>
      <c r="E53" s="4">
        <v>223031.66</v>
      </c>
      <c r="F53" s="4">
        <v>264425.2</v>
      </c>
      <c r="G53" s="4"/>
      <c r="H53" s="4"/>
      <c r="I53" s="4"/>
      <c r="J53" s="4"/>
      <c r="K53" s="4"/>
      <c r="L53" s="4"/>
      <c r="M53" s="4"/>
      <c r="N53" s="4">
        <f t="shared" si="13"/>
        <v>1370823.44</v>
      </c>
      <c r="O53" s="4">
        <f t="shared" si="14"/>
        <v>621.79579247217202</v>
      </c>
    </row>
    <row r="54" spans="1:15" x14ac:dyDescent="0.35">
      <c r="A54" s="3" t="s">
        <v>21</v>
      </c>
      <c r="B54" s="4">
        <f>520000*2.20462</f>
        <v>1146402.3999999999</v>
      </c>
      <c r="C54" s="4">
        <f>510000*2.20462</f>
        <v>1124356.2</v>
      </c>
      <c r="D54" s="4">
        <f>495147*2.20462</f>
        <v>1091610.97914</v>
      </c>
      <c r="E54" s="4">
        <f>459772*2.20462</f>
        <v>1013622.54664</v>
      </c>
      <c r="F54" s="4">
        <f>429720*2.20462</f>
        <v>947369.30639999988</v>
      </c>
      <c r="G54" s="4"/>
      <c r="H54" s="4"/>
      <c r="I54" s="4"/>
      <c r="J54" s="4"/>
      <c r="K54" s="4"/>
      <c r="L54" s="4"/>
      <c r="M54" s="4"/>
      <c r="N54" s="4">
        <f t="shared" si="13"/>
        <v>5323361.4321799995</v>
      </c>
      <c r="O54" s="4">
        <f t="shared" si="14"/>
        <v>2414.6390000000001</v>
      </c>
    </row>
    <row r="55" spans="1:15" x14ac:dyDescent="0.35">
      <c r="A55" s="3" t="s">
        <v>22</v>
      </c>
      <c r="B55" s="4">
        <v>0</v>
      </c>
      <c r="C55" s="4">
        <v>4752</v>
      </c>
      <c r="D55" s="4">
        <v>0</v>
      </c>
      <c r="E55" s="4">
        <v>0</v>
      </c>
      <c r="F55" s="4">
        <v>0</v>
      </c>
      <c r="G55" s="4"/>
      <c r="H55" s="4"/>
      <c r="I55" s="4"/>
      <c r="J55" s="4"/>
      <c r="K55" s="4"/>
      <c r="L55" s="4"/>
      <c r="M55" s="4"/>
      <c r="N55" s="4">
        <f t="shared" si="13"/>
        <v>4752</v>
      </c>
      <c r="O55" s="4">
        <f t="shared" si="14"/>
        <v>2.15547350563816</v>
      </c>
    </row>
    <row r="56" spans="1:15" x14ac:dyDescent="0.35">
      <c r="A56" s="1" t="s">
        <v>23</v>
      </c>
      <c r="B56" s="8">
        <f>SUM(B49:B55)</f>
        <v>59590776.399999999</v>
      </c>
      <c r="C56" s="8">
        <f t="shared" ref="C56:D56" si="15">SUM(C49:C55)</f>
        <v>63755961.200000003</v>
      </c>
      <c r="D56" s="8">
        <f t="shared" si="15"/>
        <v>68218279.559139997</v>
      </c>
      <c r="E56" s="8">
        <f>SUM(E49:E55)</f>
        <v>64468598.206639998</v>
      </c>
      <c r="F56" s="8">
        <f t="shared" ref="F56" si="16">SUM(F49:F55)</f>
        <v>64648900.506400004</v>
      </c>
      <c r="G56" s="8">
        <f>SUM(G49:G55)</f>
        <v>0</v>
      </c>
      <c r="H56" s="8">
        <f t="shared" ref="H56:M56" si="17">SUM(H49:H55)</f>
        <v>0</v>
      </c>
      <c r="I56" s="8">
        <f t="shared" si="17"/>
        <v>0</v>
      </c>
      <c r="J56" s="8">
        <f t="shared" si="17"/>
        <v>0</v>
      </c>
      <c r="K56" s="8">
        <f t="shared" si="17"/>
        <v>0</v>
      </c>
      <c r="L56" s="8">
        <f t="shared" si="17"/>
        <v>0</v>
      </c>
      <c r="M56" s="8">
        <f t="shared" si="17"/>
        <v>0</v>
      </c>
      <c r="N56" s="7">
        <f>SUM(N49:N55)</f>
        <v>320682515.87217999</v>
      </c>
      <c r="O56" s="7">
        <f>SUM(O49:O55)</f>
        <v>145459.31537960283</v>
      </c>
    </row>
  </sheetData>
  <mergeCells count="5">
    <mergeCell ref="B3:O3"/>
    <mergeCell ref="B14:O14"/>
    <mergeCell ref="B25:O25"/>
    <mergeCell ref="B36:O36"/>
    <mergeCell ref="B47:O47"/>
  </mergeCells>
  <phoneticPr fontId="4" type="noConversion"/>
  <dataValidations count="1">
    <dataValidation type="list" errorStyle="information" operator="equal" allowBlank="1" showInputMessage="1" sqref="B4:N4 B15:N15 B26:N26 B37:N37 B48:N48" xr:uid="{656BE952-65A8-4697-BF50-556E2D89E1D4}">
      <formula1>"a20a66fd455a49f6a39a0e126f7f41d2"</formula1>
    </dataValidation>
  </dataValidations>
  <pageMargins left="0.7" right="0.7" top="0.75" bottom="0.75" header="0.3" footer="0.3"/>
  <pageSetup orientation="portrait" r:id="rId1"/>
  <customProperties>
    <customPr name="isReportSheetChang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D9AD-F287-4C0B-AA2C-23B8CB3A445D}">
  <dimension ref="B2:S21"/>
  <sheetViews>
    <sheetView showGridLines="0" workbookViewId="0">
      <selection activeCell="K15" sqref="K15"/>
    </sheetView>
  </sheetViews>
  <sheetFormatPr defaultColWidth="11.453125" defaultRowHeight="14.5" x14ac:dyDescent="0.35"/>
  <cols>
    <col min="1" max="1" width="4" customWidth="1"/>
    <col min="2" max="2" width="14.7265625" customWidth="1"/>
    <col min="3" max="3" width="6.54296875" bestFit="1" customWidth="1"/>
    <col min="4" max="5" width="9.81640625" bestFit="1" customWidth="1"/>
    <col min="6" max="6" width="13.1796875" bestFit="1" customWidth="1"/>
    <col min="7" max="7" width="12.453125" customWidth="1"/>
    <col min="8" max="8" width="13" customWidth="1"/>
    <col min="9" max="13" width="13.1796875" bestFit="1" customWidth="1"/>
    <col min="14" max="14" width="9.81640625" bestFit="1" customWidth="1"/>
    <col min="15" max="15" width="15.453125" customWidth="1"/>
    <col min="16" max="16" width="10.81640625" bestFit="1" customWidth="1"/>
    <col min="17" max="17" width="12.7265625" customWidth="1"/>
    <col min="18" max="18" width="11.1796875" bestFit="1" customWidth="1"/>
  </cols>
  <sheetData>
    <row r="2" spans="2:19" x14ac:dyDescent="0.35">
      <c r="B2" s="26" t="s">
        <v>16</v>
      </c>
    </row>
    <row r="3" spans="2:19" ht="15" thickBot="1" x14ac:dyDescent="0.4"/>
    <row r="4" spans="2:19" x14ac:dyDescent="0.35">
      <c r="B4" s="11" t="s">
        <v>31</v>
      </c>
      <c r="C4" s="11" t="s">
        <v>32</v>
      </c>
      <c r="D4" s="12" t="s">
        <v>2</v>
      </c>
      <c r="E4" s="12" t="s">
        <v>3</v>
      </c>
      <c r="F4" s="12" t="s">
        <v>4</v>
      </c>
      <c r="G4" s="12" t="s">
        <v>5</v>
      </c>
      <c r="H4" s="12" t="s">
        <v>6</v>
      </c>
      <c r="I4" s="12" t="s">
        <v>7</v>
      </c>
      <c r="J4" s="12" t="s">
        <v>8</v>
      </c>
      <c r="K4" s="12" t="s">
        <v>9</v>
      </c>
      <c r="L4" s="12" t="s">
        <v>10</v>
      </c>
      <c r="M4" s="12" t="s">
        <v>11</v>
      </c>
      <c r="N4" s="12" t="s">
        <v>12</v>
      </c>
      <c r="O4" s="16" t="s">
        <v>13</v>
      </c>
      <c r="P4" s="18" t="s">
        <v>33</v>
      </c>
      <c r="Q4" s="19" t="s">
        <v>34</v>
      </c>
      <c r="R4" s="20" t="s">
        <v>35</v>
      </c>
    </row>
    <row r="5" spans="2:19" x14ac:dyDescent="0.35">
      <c r="B5" s="11" t="s">
        <v>36</v>
      </c>
      <c r="C5" s="13" t="s">
        <v>16</v>
      </c>
      <c r="D5" s="14">
        <v>10460000</v>
      </c>
      <c r="E5" s="14">
        <v>10770000</v>
      </c>
      <c r="F5" s="14">
        <v>12540000</v>
      </c>
      <c r="G5" s="14">
        <v>10710000</v>
      </c>
      <c r="H5" s="14">
        <v>12512000</v>
      </c>
      <c r="I5" s="14">
        <v>11078000</v>
      </c>
      <c r="J5" s="14">
        <v>11210000</v>
      </c>
      <c r="K5" s="14">
        <v>12784000</v>
      </c>
      <c r="L5" s="14">
        <v>10600000</v>
      </c>
      <c r="M5" s="14">
        <v>10930000</v>
      </c>
      <c r="N5" s="14">
        <v>11631000</v>
      </c>
      <c r="O5" s="17">
        <v>9350000</v>
      </c>
      <c r="P5" s="21">
        <f>SUM(D5:O5)</f>
        <v>134575000</v>
      </c>
      <c r="Q5" s="15">
        <f>AVERAGE(D5:O5)</f>
        <v>11214583.333333334</v>
      </c>
      <c r="R5" s="22">
        <f>+(P5/2.20462)/1000</f>
        <v>61042.265787301221</v>
      </c>
      <c r="S5" s="9"/>
    </row>
    <row r="6" spans="2:19" x14ac:dyDescent="0.35">
      <c r="B6" s="11" t="s">
        <v>37</v>
      </c>
      <c r="C6" s="13" t="s">
        <v>16</v>
      </c>
      <c r="D6" s="14">
        <v>8402252</v>
      </c>
      <c r="E6" s="14">
        <v>8610786</v>
      </c>
      <c r="F6" s="14">
        <v>12331582</v>
      </c>
      <c r="G6" s="14">
        <v>7684793</v>
      </c>
      <c r="H6" s="14">
        <v>7753760</v>
      </c>
      <c r="I6" s="14">
        <v>8515326</v>
      </c>
      <c r="J6" s="14">
        <v>6647219</v>
      </c>
      <c r="K6" s="14">
        <v>8345135</v>
      </c>
      <c r="L6" s="14">
        <v>8558073</v>
      </c>
      <c r="M6" s="14">
        <v>7700000</v>
      </c>
      <c r="N6" s="14">
        <v>5800000</v>
      </c>
      <c r="O6" s="17">
        <v>5500000</v>
      </c>
      <c r="P6" s="21">
        <f>SUM(D6:O6)</f>
        <v>95848926</v>
      </c>
      <c r="Q6" s="15">
        <f>AVERAGE(D6:O6)</f>
        <v>7987410.5</v>
      </c>
      <c r="R6" s="22">
        <f>+(P6/2.20462)/1000</f>
        <v>43476.393210621332</v>
      </c>
      <c r="S6" s="9"/>
    </row>
    <row r="7" spans="2:19" ht="15" thickBot="1" x14ac:dyDescent="0.4">
      <c r="B7" s="11" t="s">
        <v>38</v>
      </c>
      <c r="C7" s="13" t="s">
        <v>16</v>
      </c>
      <c r="D7" s="14">
        <v>7854641.0043350756</v>
      </c>
      <c r="E7" s="14">
        <v>7545915.8339574914</v>
      </c>
      <c r="F7" s="14">
        <v>7507532.7016499359</v>
      </c>
      <c r="G7" s="14">
        <v>8383508.3760258621</v>
      </c>
      <c r="H7" s="14">
        <v>8549812.8696353287</v>
      </c>
      <c r="I7" s="14">
        <v>9267859.9642295111</v>
      </c>
      <c r="J7" s="14">
        <v>8553854.175601203</v>
      </c>
      <c r="K7" s="14">
        <v>9696470.2558185179</v>
      </c>
      <c r="L7" s="14">
        <v>9549306.8989854585</v>
      </c>
      <c r="M7" s="14">
        <v>10018052.019185647</v>
      </c>
      <c r="N7" s="14">
        <v>8701783.8271110971</v>
      </c>
      <c r="O7" s="17">
        <v>8216926.8106648615</v>
      </c>
      <c r="P7" s="23">
        <f>SUM(D7:O7)</f>
        <v>103845664.73719999</v>
      </c>
      <c r="Q7" s="24">
        <f>AVERAGE(D7:O7)</f>
        <v>8653805.394766666</v>
      </c>
      <c r="R7" s="25">
        <f>+(P7/2.20462)/1000</f>
        <v>47103.657200424568</v>
      </c>
      <c r="S7" s="9"/>
    </row>
    <row r="9" spans="2:19" x14ac:dyDescent="0.35">
      <c r="O9" s="16" t="s">
        <v>39</v>
      </c>
      <c r="P9" s="27">
        <f>+(P6-P5)/P5</f>
        <v>-0.28776573657811627</v>
      </c>
    </row>
    <row r="10" spans="2:19" x14ac:dyDescent="0.35">
      <c r="O10" s="16" t="s">
        <v>40</v>
      </c>
      <c r="P10" s="27">
        <f>+(P7-P6)/P6</f>
        <v>8.3430655625708228E-2</v>
      </c>
    </row>
    <row r="13" spans="2:19" x14ac:dyDescent="0.35">
      <c r="F13">
        <v>2922</v>
      </c>
      <c r="G13">
        <v>4184</v>
      </c>
      <c r="H13">
        <v>4926</v>
      </c>
      <c r="I13">
        <v>7116</v>
      </c>
      <c r="J13">
        <v>4513</v>
      </c>
      <c r="K13">
        <v>5699</v>
      </c>
    </row>
    <row r="14" spans="2:19" x14ac:dyDescent="0.35">
      <c r="B14" s="26"/>
      <c r="F14">
        <f t="shared" ref="F14:K14" si="0">+F13*1000</f>
        <v>2922000</v>
      </c>
      <c r="G14">
        <f t="shared" si="0"/>
        <v>4184000</v>
      </c>
      <c r="H14">
        <f t="shared" si="0"/>
        <v>4926000</v>
      </c>
      <c r="I14">
        <f t="shared" si="0"/>
        <v>7116000</v>
      </c>
      <c r="J14">
        <f t="shared" si="0"/>
        <v>4513000</v>
      </c>
      <c r="K14">
        <f t="shared" si="0"/>
        <v>5699000</v>
      </c>
    </row>
    <row r="15" spans="2:19" x14ac:dyDescent="0.35">
      <c r="F15" s="9">
        <f t="shared" ref="F15:K15" si="1">+F14*2.20462</f>
        <v>6441899.6399999997</v>
      </c>
      <c r="G15" s="9">
        <f t="shared" si="1"/>
        <v>9224130.0800000001</v>
      </c>
      <c r="H15" s="9">
        <f t="shared" si="1"/>
        <v>10859958.119999999</v>
      </c>
      <c r="I15" s="9">
        <f t="shared" si="1"/>
        <v>15688075.919999998</v>
      </c>
      <c r="J15" s="9">
        <f t="shared" si="1"/>
        <v>9949450.0599999987</v>
      </c>
      <c r="K15" s="9">
        <f t="shared" si="1"/>
        <v>12564129.379999999</v>
      </c>
    </row>
    <row r="20" spans="9:13" x14ac:dyDescent="0.35">
      <c r="I20" s="9"/>
      <c r="J20" s="9"/>
      <c r="K20" s="9"/>
      <c r="L20" s="9"/>
      <c r="M20" s="9"/>
    </row>
    <row r="21" spans="9:13" x14ac:dyDescent="0.35">
      <c r="I21" s="9"/>
      <c r="J21" s="9"/>
      <c r="K21" s="9"/>
      <c r="L21" s="9"/>
      <c r="M21" s="9"/>
    </row>
  </sheetData>
  <dataValidations count="1">
    <dataValidation type="list" errorStyle="information" operator="equal" allowBlank="1" showInputMessage="1" sqref="D4:Q4" xr:uid="{494F5714-E690-4D94-AA63-5ABD7EB88BA8}">
      <formula1>"a20a66fd455a49f6a39a0e126f7f41d2"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fe390a9-c6c9-4685-a753-0360fe763b0b">
      <UserInfo>
        <DisplayName>Carol Que</DisplayName>
        <AccountId>159</AccountId>
        <AccountType/>
      </UserInfo>
      <UserInfo>
        <DisplayName>Martín Cattaneo</DisplayName>
        <AccountId>218</AccountId>
        <AccountType/>
      </UserInfo>
      <UserInfo>
        <DisplayName>Joe Dorzinsky</DisplayName>
        <AccountId>26</AccountId>
        <AccountType/>
      </UserInfo>
      <UserInfo>
        <DisplayName>Tatiana Salamanca</DisplayName>
        <AccountId>224</AccountId>
        <AccountType/>
      </UserInfo>
      <UserInfo>
        <DisplayName>Carlos Muñoz Gonzalez</DisplayName>
        <AccountId>13</AccountId>
        <AccountType/>
      </UserInfo>
      <UserInfo>
        <DisplayName>Andres Martinez</DisplayName>
        <AccountId>247</AccountId>
        <AccountType/>
      </UserInfo>
    </SharedWithUsers>
    <TaxCatchAll xmlns="1fe390a9-c6c9-4685-a753-0360fe763b0b" xsi:nil="true"/>
    <lcf76f155ced4ddcb4097134ff3c332f xmlns="47b21452-d536-4a85-9871-9d6462a90d1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94F1DCCFC30143BC090FD7D848CBE2" ma:contentTypeVersion="14" ma:contentTypeDescription="Create a new document." ma:contentTypeScope="" ma:versionID="de1662cc20e68a07789f7a43a805679c">
  <xsd:schema xmlns:xsd="http://www.w3.org/2001/XMLSchema" xmlns:xs="http://www.w3.org/2001/XMLSchema" xmlns:p="http://schemas.microsoft.com/office/2006/metadata/properties" xmlns:ns2="47b21452-d536-4a85-9871-9d6462a90d17" xmlns:ns3="1fe390a9-c6c9-4685-a753-0360fe763b0b" targetNamespace="http://schemas.microsoft.com/office/2006/metadata/properties" ma:root="true" ma:fieldsID="eec9c41e7143c6c979d165685cf8edc1" ns2:_="" ns3:_="">
    <xsd:import namespace="47b21452-d536-4a85-9871-9d6462a90d17"/>
    <xsd:import namespace="1fe390a9-c6c9-4685-a753-0360fe763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1452-d536-4a85-9871-9d6462a90d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a833a6-952d-4542-b23d-2caf5a50a2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390a9-c6c9-4685-a753-0360fe763b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b246139-a775-4884-bad3-33ad145d524a}" ma:internalName="TaxCatchAll" ma:showField="CatchAllData" ma:web="1fe390a9-c6c9-4685-a753-0360fe763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EDA80B-A127-41DF-A10F-D9C37E2A70D0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7b21452-d536-4a85-9871-9d6462a90d17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1fe390a9-c6c9-4685-a753-0360fe763b0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3BBDF3A-F70E-4285-8CC5-0DE9842CE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b21452-d536-4a85-9871-9d6462a90d17"/>
    <ds:schemaRef ds:uri="1fe390a9-c6c9-4685-a753-0360fe763b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46618B-D584-41EF-AFAB-0152A453EC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 Volumes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Aristizabal</dc:creator>
  <cp:keywords/>
  <dc:description/>
  <cp:lastModifiedBy>Dan DiZio</cp:lastModifiedBy>
  <cp:revision/>
  <dcterms:created xsi:type="dcterms:W3CDTF">2023-07-20T14:11:30Z</dcterms:created>
  <dcterms:modified xsi:type="dcterms:W3CDTF">2026-06-17T19:21:26Z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0x0101004194F1DCCFC30143BC090FD7D848CBE2</vt:lpwstr>
  </property>
  <property fmtid="{D5CDD505-2E9C-101B-9397-08002B2CF9AE}" pid="3" name="MediaServiceImageTags">
    <vt:lpwstr/>
  </property>
</Properties>
</file>